
<file path=[Content_Types].xml><?xml version="1.0" encoding="utf-8"?>
<Types xmlns="http://schemas.openxmlformats.org/package/2006/content-types">
  <Override PartName="/xl/activeX/activeX2.bin" ContentType="application/vnd.ms-office.activeX"/>
  <Override PartName="/xl/activeX/activeX4.bin" ContentType="application/vnd.ms-office.activeX"/>
  <Override PartName="/xl/embeddings/oleObject8.bin" ContentType="application/vnd.openxmlformats-officedocument.oleObject"/>
  <Override PartName="/xl/embeddings/oleObject14.bin" ContentType="application/vnd.openxmlformats-officedocument.oleObject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embeddings/oleObject6.bin" ContentType="application/vnd.openxmlformats-officedocument.oleObject"/>
  <Override PartName="/xl/embeddings/oleObject12.bin" ContentType="application/vnd.openxmlformats-officedocument.oleObject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activeX/activeX5.xml" ContentType="application/vnd.ms-office.activeX+xml"/>
  <Default Extension="emf" ContentType="image/x-emf"/>
  <Default Extension="jpeg" ContentType="image/jpeg"/>
  <Override PartName="/xl/embeddings/oleObject3.bin" ContentType="application/vnd.openxmlformats-officedocument.oleObject"/>
  <Override PartName="/xl/embeddings/oleObject4.bin" ContentType="application/vnd.openxmlformats-officedocument.oleObject"/>
  <Override PartName="/xl/embeddings/oleObject10.bin" ContentType="application/vnd.openxmlformats-officedocument.oleObject"/>
  <Override PartName="/xl/embeddings/oleObject11.bin" ContentType="application/vnd.openxmlformats-officedocument.oleObject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xl/drawings/drawing2.xml" ContentType="application/vnd.openxmlformats-officedocument.drawing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embeddings/oleObject1.bin" ContentType="application/vnd.openxmlformats-officedocument.oleObject"/>
  <Override PartName="/xl/embeddings/oleObject2.bin" ContentType="application/vnd.openxmlformats-officedocument.oleObject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activeX/activeX1.xml" ContentType="application/vnd.ms-office.activeX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activeX/activeX5.bin" ContentType="application/vnd.ms-office.activeX"/>
  <Override PartName="/xl/embeddings/oleObject9.bin" ContentType="application/vnd.openxmlformats-officedocument.oleObject"/>
  <Override PartName="/xl/embeddings/oleObject16.bin" ContentType="application/vnd.openxmlformats-officedocument.oleObject"/>
  <Override PartName="/xl/embeddings/oleObject17.bin" ContentType="application/vnd.openxmlformats-officedocument.oleObject"/>
  <Override PartName="/docProps/core.xml" ContentType="application/vnd.openxmlformats-package.core-properties+xml"/>
  <Default Extension="bin" ContentType="application/vnd.openxmlformats-officedocument.spreadsheetml.printerSettings"/>
  <Override PartName="/xl/activeX/activeX3.bin" ContentType="application/vnd.ms-office.activeX"/>
  <Default Extension="png" ContentType="image/png"/>
  <Override PartName="/xl/embeddings/oleObject7.bin" ContentType="application/vnd.openxmlformats-officedocument.oleObject"/>
  <Override PartName="/xl/embeddings/oleObject15.bin" ContentType="application/vnd.openxmlformats-officedocument.oleObject"/>
  <Override PartName="/xl/activeX/activeX1.bin" ContentType="application/vnd.ms-office.activeX"/>
  <Override PartName="/xl/embeddings/oleObject5.bin" ContentType="application/vnd.openxmlformats-officedocument.oleObject"/>
  <Override PartName="/xl/embeddings/oleObject13.bin" ContentType="application/vnd.openxmlformats-officedocument.oleOb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30" yWindow="0" windowWidth="11730" windowHeight="3555" tabRatio="610" firstSheet="1" activeTab="4"/>
  </bookViews>
  <sheets>
    <sheet name="note" sheetId="5" r:id="rId1"/>
    <sheet name="Package" sheetId="1" r:id="rId2"/>
    <sheet name="Die" sheetId="2" r:id="rId3"/>
    <sheet name="Performance" sheetId="3" r:id="rId4"/>
    <sheet name="IO Pad" sheetId="18" r:id="rId5"/>
    <sheet name="Power&amp;Gnd" sheetId="32" r:id="rId6"/>
    <sheet name="硬件使用说明" sheetId="22" r:id="rId7"/>
    <sheet name="接口位置图" sheetId="23" r:id="rId8"/>
    <sheet name="IP list" sheetId="19" r:id="rId9"/>
    <sheet name="特殊信号处理" sheetId="26" r:id="rId10"/>
    <sheet name="代码生成" sheetId="25" r:id="rId11"/>
    <sheet name="使用手册" sheetId="31" r:id="rId12"/>
    <sheet name="Sheet1" sheetId="33" state="hidden" r:id="rId13"/>
  </sheets>
  <functionGroups/>
  <externalReferences>
    <externalReference r:id="rId14"/>
  </externalReferences>
  <definedNames>
    <definedName name="_10">Sheet1!$A$10:$D$10</definedName>
    <definedName name="_11">Sheet1!$A$11:$D$11</definedName>
    <definedName name="_12">Sheet1!$A$12:$D$12</definedName>
    <definedName name="_13">Sheet1!$A$13:$D$13</definedName>
    <definedName name="_14">Sheet1!$A$14:$D$14</definedName>
    <definedName name="_15">Sheet1!$A$15:$D$15</definedName>
    <definedName name="_16">Sheet1!$A$16:$D$16</definedName>
    <definedName name="_18">Sheet1!$A$18:$D$18</definedName>
    <definedName name="_19">Sheet1!$A$19:$D$19</definedName>
    <definedName name="_20">Sheet1!$A$20:$D$20</definedName>
    <definedName name="_22">Sheet1!$A$22:$D$22</definedName>
    <definedName name="_23">Sheet1!$A$23:$D$23</definedName>
    <definedName name="_24">Sheet1!$A$24:$D$24</definedName>
    <definedName name="_26">Sheet1!$A$26:$D$26</definedName>
    <definedName name="_27">Sheet1!$A$27:$D$27</definedName>
    <definedName name="_29">Sheet1!$A$29:$D$29</definedName>
    <definedName name="_30">Sheet1!$A$30:$D$30</definedName>
    <definedName name="_31">Sheet1!$A$31:$C$31</definedName>
    <definedName name="_32">Sheet1!$A$32:$C$32</definedName>
    <definedName name="_33">Sheet1!$A$33:$C$33</definedName>
    <definedName name="_35">Sheet1!$A$35:$E$35</definedName>
    <definedName name="_36">Sheet1!$A$36:$E$36</definedName>
    <definedName name="_37">Sheet1!$A$37:$E$37</definedName>
    <definedName name="_38">Sheet1!$A$38:$E$38</definedName>
    <definedName name="_39">Sheet1!$A$39:$E$39</definedName>
    <definedName name="_40">Sheet1!$A$40:$E$40</definedName>
    <definedName name="_7">Sheet1!$A$7:$C$7</definedName>
    <definedName name="_8">Sheet1!$A$8:$C$8</definedName>
    <definedName name="_9">Sheet1!$A$9:$C$9</definedName>
    <definedName name="_xlnm._FilterDatabase" localSheetId="4" hidden="1">'IO Pad'!$A$1:$AO$56</definedName>
    <definedName name="_xlnm.Print_Area" localSheetId="4">'IO Pad'!$F$1:$T$27</definedName>
    <definedName name="SigRegion">[1]config!$P$5:$P$664</definedName>
  </definedNames>
  <calcPr calcId="125725" calcMode="manual"/>
</workbook>
</file>

<file path=xl/calcChain.xml><?xml version="1.0" encoding="utf-8"?>
<calcChain xmlns="http://schemas.openxmlformats.org/spreadsheetml/2006/main">
  <c r="B5" i="33"/>
  <c r="B6"/>
  <c r="B7"/>
  <c r="C7"/>
  <c r="B8"/>
  <c r="C8"/>
  <c r="B9"/>
  <c r="C9"/>
  <c r="B10"/>
  <c r="C10"/>
  <c r="D10"/>
  <c r="B11"/>
  <c r="C11"/>
  <c r="D11"/>
  <c r="B12"/>
  <c r="C12"/>
  <c r="D12"/>
  <c r="B13"/>
  <c r="C13"/>
  <c r="D13"/>
  <c r="B14"/>
  <c r="C14"/>
  <c r="D14"/>
  <c r="B15"/>
  <c r="C15"/>
  <c r="D15"/>
  <c r="C16"/>
  <c r="D16"/>
  <c r="B18"/>
  <c r="C18"/>
  <c r="D18"/>
  <c r="B19"/>
  <c r="C19"/>
  <c r="D19"/>
  <c r="B20"/>
  <c r="C20"/>
  <c r="D20"/>
  <c r="B22"/>
  <c r="C22"/>
  <c r="D22"/>
  <c r="B23"/>
  <c r="C23"/>
  <c r="D23"/>
  <c r="B24"/>
  <c r="C24"/>
  <c r="D24"/>
  <c r="B26"/>
  <c r="C26"/>
  <c r="D26"/>
  <c r="B27"/>
  <c r="C27"/>
  <c r="D27"/>
  <c r="B29"/>
  <c r="C29"/>
  <c r="D29"/>
  <c r="B30"/>
  <c r="C30"/>
  <c r="D30"/>
  <c r="B31"/>
  <c r="C31"/>
  <c r="B32"/>
  <c r="C32"/>
  <c r="B33"/>
  <c r="C33"/>
  <c r="B35"/>
  <c r="C35"/>
  <c r="D35"/>
  <c r="E35"/>
  <c r="B36"/>
  <c r="C36"/>
  <c r="D36"/>
  <c r="E36"/>
  <c r="B37"/>
  <c r="C37"/>
  <c r="D37"/>
  <c r="E37"/>
  <c r="B38"/>
  <c r="C38"/>
  <c r="D38"/>
  <c r="E38"/>
  <c r="B39"/>
  <c r="C39"/>
  <c r="D39"/>
  <c r="E39"/>
  <c r="B40"/>
  <c r="C40"/>
  <c r="D40"/>
  <c r="E40"/>
  <c r="B41"/>
  <c r="B42"/>
  <c r="B44"/>
  <c r="B46"/>
  <c r="B47"/>
  <c r="B4"/>
  <c r="E54" i="18" l="1"/>
  <c r="C54" l="1"/>
  <c r="U44" l="1"/>
  <c r="U16" l="1"/>
  <c r="B16" i="33" s="1"/>
  <c r="U8" i="18"/>
  <c r="U9"/>
  <c r="U10"/>
  <c r="U12"/>
  <c r="D54" l="1"/>
  <c r="B54"/>
  <c r="U42"/>
  <c r="U41"/>
  <c r="U27"/>
  <c r="U26"/>
  <c r="U15"/>
  <c r="U14"/>
  <c r="U13"/>
  <c r="U7"/>
  <c r="U6"/>
  <c r="U5"/>
  <c r="U4"/>
  <c r="T59" i="23"/>
  <c r="Z41"/>
  <c r="O41"/>
  <c r="T26"/>
  <c r="T41" s="1"/>
</calcChain>
</file>

<file path=xl/sharedStrings.xml><?xml version="1.0" encoding="utf-8"?>
<sst xmlns="http://schemas.openxmlformats.org/spreadsheetml/2006/main" count="2346" uniqueCount="1096">
  <si>
    <t>Off-chip Clock Frequency(MHz)</t>
    <phoneticPr fontId="3" type="noConversion"/>
  </si>
  <si>
    <t>Electrical Performace</t>
    <phoneticPr fontId="3" type="noConversion"/>
  </si>
  <si>
    <t>Pin pitch</t>
    <phoneticPr fontId="3" type="noConversion"/>
  </si>
  <si>
    <t>Package Type</t>
    <phoneticPr fontId="3" type="noConversion"/>
  </si>
  <si>
    <t xml:space="preserve">Body Size(mm) (Length*width*Thickness) </t>
    <phoneticPr fontId="3" type="noConversion"/>
  </si>
  <si>
    <t>MIN</t>
    <phoneticPr fontId="3" type="noConversion"/>
  </si>
  <si>
    <t>TYP</t>
    <phoneticPr fontId="3" type="noConversion"/>
  </si>
  <si>
    <t>MAX</t>
    <phoneticPr fontId="3" type="noConversion"/>
  </si>
  <si>
    <t>Thermal performance</t>
    <phoneticPr fontId="3" type="noConversion"/>
  </si>
  <si>
    <t>Storage temperatrure（℃）</t>
    <phoneticPr fontId="3" type="noConversion"/>
  </si>
  <si>
    <t>Air Flow</t>
    <phoneticPr fontId="3" type="noConversion"/>
  </si>
  <si>
    <t>Die Size(mm*mm)</t>
    <phoneticPr fontId="3" type="noConversion"/>
  </si>
  <si>
    <t>NA</t>
  </si>
  <si>
    <t xml:space="preserve">Number of PCB layers </t>
    <phoneticPr fontId="3" type="noConversion"/>
  </si>
  <si>
    <t>IP type</t>
    <phoneticPr fontId="3" type="noConversion"/>
  </si>
  <si>
    <t>IP name</t>
    <phoneticPr fontId="3" type="noConversion"/>
  </si>
  <si>
    <t>Frequrency</t>
    <phoneticPr fontId="3" type="noConversion"/>
  </si>
  <si>
    <t>vender</t>
    <phoneticPr fontId="3" type="noConversion"/>
  </si>
  <si>
    <t>Version</t>
    <phoneticPr fontId="3" type="noConversion"/>
  </si>
  <si>
    <t>Comment</t>
    <phoneticPr fontId="3" type="noConversion"/>
  </si>
  <si>
    <t>PCB Application Requirement:</t>
    <phoneticPr fontId="3" type="noConversion"/>
  </si>
  <si>
    <t>typ</t>
    <phoneticPr fontId="3" type="noConversion"/>
  </si>
  <si>
    <t>max</t>
    <phoneticPr fontId="3" type="noConversion"/>
  </si>
  <si>
    <t>min</t>
    <phoneticPr fontId="3" type="noConversion"/>
  </si>
  <si>
    <t xml:space="preserve"> package information:</t>
    <phoneticPr fontId="3" type="noConversion"/>
  </si>
  <si>
    <t xml:space="preserve"> Wafer process</t>
    <phoneticPr fontId="3" type="noConversion"/>
  </si>
  <si>
    <t>修改日期</t>
    <phoneticPr fontId="3" type="noConversion"/>
  </si>
  <si>
    <t>修改内容</t>
    <phoneticPr fontId="3" type="noConversion"/>
  </si>
  <si>
    <t>作者</t>
    <phoneticPr fontId="3" type="noConversion"/>
  </si>
  <si>
    <t>RoHS</t>
  </si>
  <si>
    <t xml:space="preserve">Environment requirement </t>
    <phoneticPr fontId="3" type="noConversion"/>
  </si>
  <si>
    <t xml:space="preserve"> Wafer manufacture vendor</t>
    <phoneticPr fontId="3" type="noConversion"/>
  </si>
  <si>
    <t xml:space="preserve"> Wafer Fab location</t>
    <phoneticPr fontId="3" type="noConversion"/>
  </si>
  <si>
    <t>3.other requirement:</t>
    <phoneticPr fontId="3" type="noConversion"/>
  </si>
  <si>
    <t>other Requirement：      （MCP,SIP,or multi-pkg for the same die,some signal bonding to P/G pin...)</t>
    <phoneticPr fontId="3" type="noConversion"/>
  </si>
  <si>
    <t>* Manufacture model</t>
    <phoneticPr fontId="3" type="noConversion"/>
  </si>
  <si>
    <t>4.Manufacture model</t>
    <phoneticPr fontId="3" type="noConversion"/>
  </si>
  <si>
    <t>Ambient temperatrure（℃）</t>
    <phoneticPr fontId="3" type="noConversion"/>
  </si>
  <si>
    <t>Junction temperatrure（℃）</t>
    <phoneticPr fontId="3" type="noConversion"/>
  </si>
  <si>
    <t>Moisture Sensitivity Level</t>
    <phoneticPr fontId="3" type="noConversion"/>
  </si>
  <si>
    <t>合封芯片</t>
    <phoneticPr fontId="3" type="noConversion"/>
  </si>
  <si>
    <t>Power Dissipation(W)</t>
    <phoneticPr fontId="3" type="noConversion"/>
  </si>
  <si>
    <t>1. LTE Package:</t>
    <phoneticPr fontId="3" type="noConversion"/>
  </si>
  <si>
    <t>TaiWan</t>
    <phoneticPr fontId="3" type="noConversion"/>
  </si>
  <si>
    <t>LTE Die information</t>
    <phoneticPr fontId="3" type="noConversion"/>
  </si>
  <si>
    <t>LTE package performance</t>
    <phoneticPr fontId="3" type="noConversion"/>
  </si>
  <si>
    <t>pull-up/down control</t>
  </si>
  <si>
    <t>TOP</t>
  </si>
  <si>
    <t>MUX_D</t>
  </si>
  <si>
    <t>MUX_C</t>
  </si>
  <si>
    <t>MUX_NA</t>
  </si>
  <si>
    <t>B</t>
  </si>
  <si>
    <t>DO</t>
  </si>
  <si>
    <t>DI</t>
  </si>
  <si>
    <t>SI</t>
  </si>
  <si>
    <t>BOD</t>
  </si>
  <si>
    <t>Y</t>
  </si>
  <si>
    <t>IOM_CTRL6</t>
  </si>
  <si>
    <t>IOM_CTRL7</t>
  </si>
  <si>
    <t>IOM_CTRL13</t>
  </si>
  <si>
    <t>IOM_CTRL15</t>
  </si>
  <si>
    <t>IOM_CTRL18</t>
  </si>
  <si>
    <t>IOM_CTRL19</t>
  </si>
  <si>
    <t>IOM_CTRL21</t>
  </si>
  <si>
    <t>IOM_CTRL22</t>
  </si>
  <si>
    <t>IOM_CTRL26</t>
  </si>
  <si>
    <t>OZ</t>
    <phoneticPr fontId="3" type="noConversion"/>
  </si>
  <si>
    <t>Pad Name</t>
    <phoneticPr fontId="38" type="noConversion"/>
  </si>
  <si>
    <t xml:space="preserve">DFT </t>
    <phoneticPr fontId="38" type="noConversion"/>
  </si>
  <si>
    <t>comment</t>
    <phoneticPr fontId="38" type="noConversion"/>
  </si>
  <si>
    <t>Replace0 Name</t>
    <phoneticPr fontId="38" type="noConversion"/>
  </si>
  <si>
    <t>Replace1 Name</t>
    <phoneticPr fontId="38" type="noConversion"/>
  </si>
  <si>
    <t>Replace1 CTRL</t>
    <phoneticPr fontId="38" type="noConversion"/>
  </si>
  <si>
    <t>Fuction0 Name</t>
    <phoneticPr fontId="38" type="noConversion"/>
  </si>
  <si>
    <r>
      <t>F</t>
    </r>
    <r>
      <rPr>
        <sz val="12"/>
        <rFont val="宋体"/>
        <family val="3"/>
        <charset val="134"/>
      </rPr>
      <t>uction1 Name</t>
    </r>
    <phoneticPr fontId="38" type="noConversion"/>
  </si>
  <si>
    <r>
      <t>u</t>
    </r>
    <r>
      <rPr>
        <sz val="12"/>
        <rFont val="宋体"/>
        <family val="3"/>
        <charset val="134"/>
      </rPr>
      <t>icc_sw2_en</t>
    </r>
    <phoneticPr fontId="38" type="noConversion"/>
  </si>
  <si>
    <t>Fuction2 Name</t>
    <phoneticPr fontId="38" type="noConversion"/>
  </si>
  <si>
    <t>增加DFT信号，需要按照次行进行复制粘贴</t>
    <phoneticPr fontId="38" type="noConversion"/>
  </si>
  <si>
    <t>PAD Name</t>
    <phoneticPr fontId="38" type="noConversion"/>
  </si>
  <si>
    <t xml:space="preserve">IOM </t>
    <phoneticPr fontId="38" type="noConversion"/>
  </si>
  <si>
    <t>UICC_DP</t>
    <phoneticPr fontId="38" type="noConversion"/>
  </si>
  <si>
    <t>UICC_DM</t>
    <phoneticPr fontId="38" type="noConversion"/>
  </si>
  <si>
    <t>uicc_sw1_en</t>
    <phoneticPr fontId="38" type="noConversion"/>
  </si>
  <si>
    <t>PD</t>
  </si>
  <si>
    <t>PD</t>
    <phoneticPr fontId="38" type="noConversion"/>
  </si>
  <si>
    <t>PU</t>
  </si>
  <si>
    <r>
      <t>P</t>
    </r>
    <r>
      <rPr>
        <sz val="12"/>
        <rFont val="宋体"/>
        <family val="3"/>
        <charset val="134"/>
      </rPr>
      <t>D</t>
    </r>
    <phoneticPr fontId="38" type="noConversion"/>
  </si>
  <si>
    <t>需要替换管脚IOM的控制信息，改信息的起始位置要与DFT的最后一个信号保持8行的间距</t>
    <phoneticPr fontId="38" type="noConversion"/>
  </si>
  <si>
    <t>APB</t>
    <phoneticPr fontId="35" type="noConversion"/>
  </si>
  <si>
    <r>
      <t>P</t>
    </r>
    <r>
      <rPr>
        <sz val="12"/>
        <rFont val="宋体"/>
        <family val="3"/>
        <charset val="134"/>
      </rPr>
      <t>D</t>
    </r>
    <phoneticPr fontId="3" type="noConversion"/>
  </si>
  <si>
    <r>
      <t>P</t>
    </r>
    <r>
      <rPr>
        <sz val="12"/>
        <rFont val="宋体"/>
        <family val="3"/>
        <charset val="134"/>
      </rPr>
      <t>U</t>
    </r>
    <phoneticPr fontId="3" type="noConversion"/>
  </si>
  <si>
    <r>
      <t>S</t>
    </r>
    <r>
      <rPr>
        <sz val="12"/>
        <rFont val="宋体"/>
        <family val="3"/>
        <charset val="134"/>
      </rPr>
      <t>US</t>
    </r>
    <phoneticPr fontId="3" type="noConversion"/>
  </si>
  <si>
    <r>
      <t>C</t>
    </r>
    <r>
      <rPr>
        <sz val="12"/>
        <rFont val="宋体"/>
        <family val="3"/>
        <charset val="134"/>
      </rPr>
      <t>TL</t>
    </r>
    <phoneticPr fontId="3" type="noConversion"/>
  </si>
  <si>
    <r>
      <t>S</t>
    </r>
    <r>
      <rPr>
        <sz val="12"/>
        <rFont val="宋体"/>
        <family val="3"/>
        <charset val="134"/>
      </rPr>
      <t>L</t>
    </r>
    <phoneticPr fontId="3" type="noConversion"/>
  </si>
  <si>
    <t>地址位宽</t>
    <phoneticPr fontId="3" type="noConversion"/>
  </si>
  <si>
    <t>数据位宽</t>
    <phoneticPr fontId="3" type="noConversion"/>
  </si>
  <si>
    <t>OE</t>
    <phoneticPr fontId="3" type="noConversion"/>
  </si>
  <si>
    <t>IOS_AF_CTRL基地址</t>
    <phoneticPr fontId="3" type="noConversion"/>
  </si>
  <si>
    <t>配置信息</t>
    <phoneticPr fontId="35" type="noConversion"/>
  </si>
  <si>
    <t>PD</t>
    <phoneticPr fontId="3" type="noConversion"/>
  </si>
  <si>
    <t>PU</t>
    <phoneticPr fontId="3" type="noConversion"/>
  </si>
  <si>
    <t>SV interface</t>
    <phoneticPr fontId="3" type="noConversion"/>
  </si>
  <si>
    <t>含义</t>
    <phoneticPr fontId="3" type="noConversion"/>
  </si>
  <si>
    <t>IOM_CTRL9</t>
  </si>
  <si>
    <t>IOM_CTRL20</t>
  </si>
  <si>
    <t>IOM_CTRL23</t>
  </si>
  <si>
    <t>IOM_CTRL25</t>
  </si>
  <si>
    <t>MMC0（6个pin,wifi接口）</t>
    <phoneticPr fontId="3" type="noConversion"/>
  </si>
  <si>
    <t>MMC1（6个pin，SD卡或emmc接口）</t>
  </si>
  <si>
    <t>AI</t>
  </si>
  <si>
    <t>AIO</t>
  </si>
  <si>
    <t>AO</t>
  </si>
  <si>
    <t>IOM_CTRL8</t>
  </si>
  <si>
    <t>LVCMOS</t>
  </si>
  <si>
    <t>4mA</t>
  </si>
  <si>
    <t>OD</t>
  </si>
  <si>
    <t>0mA</t>
  </si>
  <si>
    <r>
      <t>G</t>
    </r>
    <r>
      <rPr>
        <sz val="12"/>
        <rFont val="宋体"/>
        <family val="3"/>
        <charset val="134"/>
      </rPr>
      <t>PIO需求</t>
    </r>
    <phoneticPr fontId="3" type="noConversion"/>
  </si>
  <si>
    <t>NF_WP_N</t>
    <phoneticPr fontId="3" type="noConversion"/>
  </si>
  <si>
    <t>NandFlash</t>
    <phoneticPr fontId="3" type="noConversion"/>
  </si>
  <si>
    <t>BCM***_RST_N</t>
    <phoneticPr fontId="3" type="noConversion"/>
  </si>
  <si>
    <t>BCM***_WAKEUP_BB</t>
    <phoneticPr fontId="3" type="noConversion"/>
  </si>
  <si>
    <t>BB_WAKEU_BCM***</t>
    <phoneticPr fontId="3" type="noConversion"/>
  </si>
  <si>
    <t>43239:43362</t>
    <phoneticPr fontId="3" type="noConversion"/>
  </si>
  <si>
    <t>43239:43362:43236</t>
    <phoneticPr fontId="3" type="noConversion"/>
  </si>
  <si>
    <t>SPI/FLASH</t>
    <phoneticPr fontId="3" type="noConversion"/>
  </si>
  <si>
    <t>EMMC_RST_N</t>
    <phoneticPr fontId="3" type="noConversion"/>
  </si>
  <si>
    <t>EMMC</t>
    <phoneticPr fontId="3" type="noConversion"/>
  </si>
  <si>
    <t>SD_CARD_IN_N</t>
    <phoneticPr fontId="3" type="noConversion"/>
  </si>
  <si>
    <t>SD卡</t>
    <phoneticPr fontId="3" type="noConversion"/>
  </si>
  <si>
    <t>LCD</t>
    <phoneticPr fontId="3" type="noConversion"/>
  </si>
  <si>
    <t>LCD1_ID0</t>
    <phoneticPr fontId="3" type="noConversion"/>
  </si>
  <si>
    <t>LCD1_ID1</t>
  </si>
  <si>
    <t>OLED_12V_EN</t>
    <phoneticPr fontId="3" type="noConversion"/>
  </si>
  <si>
    <t>OLED_12V_IN_EN</t>
    <phoneticPr fontId="3" type="noConversion"/>
  </si>
  <si>
    <t>OLED_I8080/8bit:OLED_3bit:LCD_TFT_I8080/8bit/9bit-SPI/3-wire</t>
    <phoneticPr fontId="3" type="noConversion"/>
  </si>
  <si>
    <t>OLED_3bit:LCD_TFT_I8080/8bit/9bit-SPI/3-wire</t>
    <phoneticPr fontId="3" type="noConversion"/>
  </si>
  <si>
    <t>OLED_I8080/8bit:OLED_3bit</t>
    <phoneticPr fontId="3" type="noConversion"/>
  </si>
  <si>
    <t>GMAC</t>
    <phoneticPr fontId="3" type="noConversion"/>
  </si>
  <si>
    <t>GMII_RST_N</t>
    <phoneticPr fontId="3" type="noConversion"/>
  </si>
  <si>
    <t>GMII_INT_N</t>
    <phoneticPr fontId="3" type="noConversion"/>
  </si>
  <si>
    <t>Charger</t>
    <phoneticPr fontId="3" type="noConversion"/>
  </si>
  <si>
    <t>CURRENT_FAULT</t>
    <phoneticPr fontId="3" type="noConversion"/>
  </si>
  <si>
    <t>BQ24161_CD</t>
    <phoneticPr fontId="3" type="noConversion"/>
  </si>
  <si>
    <t>Charger_INT</t>
    <phoneticPr fontId="3" type="noConversion"/>
  </si>
  <si>
    <t>GPS</t>
    <phoneticPr fontId="3" type="noConversion"/>
  </si>
  <si>
    <t>GPS_PWR_ON</t>
    <phoneticPr fontId="3" type="noConversion"/>
  </si>
  <si>
    <t>GPS_ON_OFF</t>
    <phoneticPr fontId="3" type="noConversion"/>
  </si>
  <si>
    <t>GPS_RST_N</t>
    <phoneticPr fontId="3" type="noConversion"/>
  </si>
  <si>
    <t>USIM0,USIM1</t>
    <phoneticPr fontId="3" type="noConversion"/>
  </si>
  <si>
    <t>USIM0_DETECT</t>
    <phoneticPr fontId="3" type="noConversion"/>
  </si>
  <si>
    <t>USIM1_DETECT</t>
    <phoneticPr fontId="3" type="noConversion"/>
  </si>
  <si>
    <t>说明：GPIO是按照V7R1 Pilot的使用情况来分配的。上面共20个GPIO，可使用独立GPIO和与中断信号复用的GPIO</t>
    <phoneticPr fontId="3" type="noConversion"/>
  </si>
  <si>
    <t>IO Foundry</t>
    <phoneticPr fontId="3" type="noConversion"/>
  </si>
  <si>
    <t>IO Foundry</t>
    <phoneticPr fontId="3" type="noConversion"/>
  </si>
  <si>
    <t>初始值</t>
  </si>
  <si>
    <t>初始状态</t>
    <phoneticPr fontId="3" type="noConversion"/>
  </si>
  <si>
    <t>Dolphin</t>
    <phoneticPr fontId="3" type="noConversion"/>
  </si>
  <si>
    <r>
      <t>O</t>
    </r>
    <r>
      <rPr>
        <sz val="12"/>
        <rFont val="宋体"/>
        <family val="3"/>
        <charset val="134"/>
      </rPr>
      <t>E</t>
    </r>
    <phoneticPr fontId="3" type="noConversion"/>
  </si>
  <si>
    <r>
      <t>P</t>
    </r>
    <r>
      <rPr>
        <sz val="12"/>
        <rFont val="宋体"/>
        <family val="3"/>
        <charset val="134"/>
      </rPr>
      <t>S</t>
    </r>
    <phoneticPr fontId="3" type="noConversion"/>
  </si>
  <si>
    <r>
      <t>T</t>
    </r>
    <r>
      <rPr>
        <sz val="12"/>
        <rFont val="宋体"/>
        <family val="3"/>
        <charset val="134"/>
      </rPr>
      <t>SMC</t>
    </r>
    <phoneticPr fontId="3" type="noConversion"/>
  </si>
  <si>
    <t>PD</t>
    <phoneticPr fontId="3" type="noConversion"/>
  </si>
  <si>
    <r>
      <t>P</t>
    </r>
    <r>
      <rPr>
        <sz val="12"/>
        <rFont val="宋体"/>
        <family val="3"/>
        <charset val="134"/>
      </rPr>
      <t>U</t>
    </r>
    <phoneticPr fontId="3" type="noConversion"/>
  </si>
  <si>
    <r>
      <t>D</t>
    </r>
    <r>
      <rPr>
        <sz val="12"/>
        <rFont val="宋体"/>
        <family val="3"/>
        <charset val="134"/>
      </rPr>
      <t>S</t>
    </r>
    <phoneticPr fontId="3" type="noConversion"/>
  </si>
  <si>
    <t>HISI4D</t>
    <phoneticPr fontId="3" type="noConversion"/>
  </si>
  <si>
    <t>gmii_rx_clk</t>
    <phoneticPr fontId="38" type="noConversion"/>
  </si>
  <si>
    <t>GMII_RX_CLK</t>
    <phoneticPr fontId="38" type="noConversion"/>
  </si>
  <si>
    <t>GMII_TX_CLK</t>
    <phoneticPr fontId="38" type="noConversion"/>
  </si>
  <si>
    <t>GMII_CLK_125</t>
    <phoneticPr fontId="38" type="noConversion"/>
  </si>
  <si>
    <t>gmii_clk_125</t>
    <phoneticPr fontId="38" type="noConversion"/>
  </si>
  <si>
    <t>uicc_ctrl1_1</t>
    <phoneticPr fontId="38" type="noConversion"/>
  </si>
  <si>
    <t>Replace0 CTRL</t>
    <phoneticPr fontId="38" type="noConversion"/>
  </si>
  <si>
    <t>gmii_tx_clk</t>
    <phoneticPr fontId="38" type="noConversion"/>
  </si>
  <si>
    <t>sdio_clk</t>
    <phoneticPr fontId="38" type="noConversion"/>
  </si>
  <si>
    <t>IX</t>
  </si>
  <si>
    <t>IX</t>
    <phoneticPr fontId="3" type="noConversion"/>
  </si>
  <si>
    <t>OZ</t>
    <phoneticPr fontId="3" type="noConversion"/>
  </si>
  <si>
    <t>OH</t>
  </si>
  <si>
    <t>OH</t>
    <phoneticPr fontId="3" type="noConversion"/>
  </si>
  <si>
    <t>OL</t>
  </si>
  <si>
    <t>OL</t>
    <phoneticPr fontId="3" type="noConversion"/>
  </si>
  <si>
    <t>5'h8</t>
    <phoneticPr fontId="3" type="noConversion"/>
  </si>
  <si>
    <t>5'h4</t>
    <phoneticPr fontId="3" type="noConversion"/>
  </si>
  <si>
    <t>5'h0</t>
    <phoneticPr fontId="3" type="noConversion"/>
  </si>
  <si>
    <t>5'h10</t>
    <phoneticPr fontId="3" type="noConversion"/>
  </si>
  <si>
    <t>2'h1</t>
    <phoneticPr fontId="3" type="noConversion"/>
  </si>
  <si>
    <t>2'h0</t>
    <phoneticPr fontId="3" type="noConversion"/>
  </si>
  <si>
    <t>2'h2</t>
    <phoneticPr fontId="3" type="noConversion"/>
  </si>
  <si>
    <t>12'h40C</t>
    <phoneticPr fontId="3" type="noConversion"/>
  </si>
  <si>
    <t>12'h20C</t>
    <phoneticPr fontId="3" type="noConversion"/>
  </si>
  <si>
    <t>12'h00C</t>
    <phoneticPr fontId="3" type="noConversion"/>
  </si>
  <si>
    <t>12'h80C</t>
    <phoneticPr fontId="3" type="noConversion"/>
  </si>
  <si>
    <r>
      <t>n</t>
    </r>
    <r>
      <rPr>
        <sz val="12"/>
        <rFont val="宋体"/>
        <family val="3"/>
        <charset val="134"/>
      </rPr>
      <t>ote</t>
    </r>
    <phoneticPr fontId="39" type="noConversion"/>
  </si>
  <si>
    <r>
      <t>I</t>
    </r>
    <r>
      <rPr>
        <sz val="12"/>
        <rFont val="宋体"/>
        <family val="3"/>
        <charset val="134"/>
      </rPr>
      <t>O Pad</t>
    </r>
    <phoneticPr fontId="39" type="noConversion"/>
  </si>
  <si>
    <t>硬件使用说明</t>
    <phoneticPr fontId="39" type="noConversion"/>
  </si>
  <si>
    <t>表单名称</t>
    <phoneticPr fontId="39" type="noConversion"/>
  </si>
  <si>
    <t>功能介绍</t>
    <phoneticPr fontId="39" type="noConversion"/>
  </si>
  <si>
    <t>接口位置图</t>
    <phoneticPr fontId="39" type="noConversion"/>
  </si>
  <si>
    <t>特殊信号处理</t>
    <phoneticPr fontId="39" type="noConversion"/>
  </si>
  <si>
    <t>代码生成</t>
    <phoneticPr fontId="39" type="noConversion"/>
  </si>
  <si>
    <t>使用手册</t>
    <phoneticPr fontId="39" type="noConversion"/>
  </si>
  <si>
    <t>更改记录简要说明</t>
    <phoneticPr fontId="39" type="noConversion"/>
  </si>
  <si>
    <t>后端关注度</t>
    <phoneticPr fontId="39" type="noConversion"/>
  </si>
  <si>
    <t>验证/底软关注度</t>
    <phoneticPr fontId="39" type="noConversion"/>
  </si>
  <si>
    <t>表单信息来源</t>
    <phoneticPr fontId="39" type="noConversion"/>
  </si>
  <si>
    <t>硬件关注度</t>
    <phoneticPr fontId="39" type="noConversion"/>
  </si>
  <si>
    <t>IP list</t>
    <phoneticPr fontId="39" type="noConversion"/>
  </si>
  <si>
    <t>设计者</t>
    <phoneticPr fontId="39" type="noConversion"/>
  </si>
  <si>
    <t>芯片部门</t>
    <phoneticPr fontId="39" type="noConversion"/>
  </si>
  <si>
    <t>本文档可以用作以下用途：
1：IO复用设计人员产生IO复用设计代码，一般由设计人员对此表单进行维护；
2：为底软和验证人员提供切换IO功能的软件配置指导（相关寄存器配置）；
3：为硬件同事，提供软硬件接口文档；
4：为后端（Die和封装）同事提供详细的芯片IO信息（数目、复用功能、频率和位置等）</t>
    <phoneticPr fontId="39" type="noConversion"/>
  </si>
  <si>
    <t>摆放芯片Die中管脚位置</t>
    <phoneticPr fontId="39" type="noConversion"/>
  </si>
  <si>
    <t>填写IO复用设计信息及整理后端同事需要的IO信息</t>
    <phoneticPr fontId="39" type="noConversion"/>
  </si>
  <si>
    <t>记录芯片中重要IP的信息</t>
    <phoneticPr fontId="39" type="noConversion"/>
  </si>
  <si>
    <t>记录硬件单板设计需要的信息（例:可用GPIO数目）</t>
    <phoneticPr fontId="39" type="noConversion"/>
  </si>
  <si>
    <t>用于填写IO复用关系整理需要特殊处理的信息</t>
    <phoneticPr fontId="39" type="noConversion"/>
  </si>
  <si>
    <t>生成IO复用代码文件，及更新提取SI&amp;PKG_REG和SoftWare_REQ表单</t>
    <phoneticPr fontId="39" type="noConversion"/>
  </si>
  <si>
    <t>注：灰色部分的表单内容，可以到芯片稳定后期进行填写，设计阶段不涉及；</t>
    <phoneticPr fontId="39" type="noConversion"/>
  </si>
  <si>
    <t>一、使用须知</t>
    <phoneticPr fontId="39" type="noConversion"/>
  </si>
  <si>
    <t>二、表单介绍</t>
    <phoneticPr fontId="39" type="noConversion"/>
  </si>
  <si>
    <t>三、代码特点</t>
    <phoneticPr fontId="39" type="noConversion"/>
  </si>
  <si>
    <t>四、代码产生</t>
    <phoneticPr fontId="39" type="noConversion"/>
  </si>
  <si>
    <t xml:space="preserve">5：代码接口信号简单；
</t>
    <phoneticPr fontId="39" type="noConversion"/>
  </si>
  <si>
    <t>五、接口介绍</t>
    <phoneticPr fontId="39" type="noConversion"/>
  </si>
  <si>
    <t>Signal</t>
  </si>
  <si>
    <t>Num of Bits</t>
  </si>
  <si>
    <t>I/O</t>
  </si>
  <si>
    <t>Descriptions</t>
  </si>
  <si>
    <t>System interface</t>
  </si>
  <si>
    <t>pclk</t>
  </si>
  <si>
    <t>I</t>
  </si>
  <si>
    <t>presetn</t>
  </si>
  <si>
    <r>
      <t xml:space="preserve">APB </t>
    </r>
    <r>
      <rPr>
        <sz val="10.5"/>
        <rFont val="宋体"/>
        <family val="3"/>
        <charset val="134"/>
      </rPr>
      <t>异步复位信号</t>
    </r>
  </si>
  <si>
    <t>psel</t>
  </si>
  <si>
    <r>
      <t xml:space="preserve">APB </t>
    </r>
    <r>
      <rPr>
        <sz val="10.5"/>
        <rFont val="宋体"/>
        <family val="3"/>
        <charset val="134"/>
      </rPr>
      <t>片选信号</t>
    </r>
  </si>
  <si>
    <t>pwrite</t>
  </si>
  <si>
    <r>
      <t xml:space="preserve">APB </t>
    </r>
    <r>
      <rPr>
        <sz val="10.5"/>
        <rFont val="宋体"/>
        <family val="3"/>
        <charset val="134"/>
      </rPr>
      <t>读写操作指示信号</t>
    </r>
  </si>
  <si>
    <t>paddr</t>
  </si>
  <si>
    <r>
      <t xml:space="preserve">APB </t>
    </r>
    <r>
      <rPr>
        <sz val="10.5"/>
        <rFont val="宋体"/>
        <family val="3"/>
        <charset val="134"/>
      </rPr>
      <t>地址信号</t>
    </r>
  </si>
  <si>
    <t>pwdata</t>
  </si>
  <si>
    <t>`IOS_DATA_WIDTH</t>
  </si>
  <si>
    <r>
      <t xml:space="preserve">APB </t>
    </r>
    <r>
      <rPr>
        <sz val="10.5"/>
        <rFont val="宋体"/>
        <family val="3"/>
        <charset val="134"/>
      </rPr>
      <t>写数据信号</t>
    </r>
  </si>
  <si>
    <t>prdata</t>
  </si>
  <si>
    <t>O</t>
  </si>
  <si>
    <r>
      <t xml:space="preserve">APB </t>
    </r>
    <r>
      <rPr>
        <sz val="10.5"/>
        <rFont val="宋体"/>
        <family val="3"/>
        <charset val="134"/>
      </rPr>
      <t>读数据信号</t>
    </r>
  </si>
  <si>
    <t>tst_gatedclock</t>
  </si>
  <si>
    <t>低功耗接口信号</t>
  </si>
  <si>
    <t>auto_gatedclock_en</t>
  </si>
  <si>
    <t>dft_mode</t>
  </si>
  <si>
    <r>
      <t>DFT</t>
    </r>
    <r>
      <rPr>
        <sz val="10.5"/>
        <rFont val="宋体"/>
        <family val="3"/>
        <charset val="134"/>
      </rPr>
      <t>模式选择信号</t>
    </r>
  </si>
  <si>
    <t>PAD interface</t>
  </si>
  <si>
    <r>
      <t>PAD</t>
    </r>
    <r>
      <rPr>
        <sz val="10.5"/>
        <rFont val="宋体"/>
        <family val="3"/>
        <charset val="134"/>
      </rPr>
      <t>输入端口</t>
    </r>
  </si>
  <si>
    <t>pad_fuc_out</t>
  </si>
  <si>
    <r>
      <t xml:space="preserve">PAD </t>
    </r>
    <r>
      <rPr>
        <sz val="10.5"/>
        <rFont val="宋体"/>
        <family val="3"/>
        <charset val="134"/>
      </rPr>
      <t>输出端口</t>
    </r>
  </si>
  <si>
    <t>Pad_fuc_oe</t>
  </si>
  <si>
    <r>
      <t xml:space="preserve">PAD </t>
    </r>
    <r>
      <rPr>
        <sz val="10.5"/>
        <rFont val="宋体"/>
        <family val="3"/>
        <charset val="134"/>
      </rPr>
      <t>输出端口使能</t>
    </r>
  </si>
  <si>
    <t>pad_fuc_cfg</t>
  </si>
  <si>
    <t>`IOS_IOM_WIDTH-1</t>
  </si>
  <si>
    <r>
      <t xml:space="preserve">PAD </t>
    </r>
    <r>
      <rPr>
        <sz val="10.5"/>
        <rFont val="宋体"/>
        <family val="3"/>
        <charset val="134"/>
      </rPr>
      <t>端口配置信号</t>
    </r>
  </si>
  <si>
    <t>Soc interface</t>
  </si>
  <si>
    <t>fuc_out</t>
  </si>
  <si>
    <t>fuc_oe</t>
  </si>
  <si>
    <t>fuc_in</t>
  </si>
  <si>
    <t>interface</t>
    <phoneticPr fontId="39" type="noConversion"/>
  </si>
  <si>
    <t>接口类型</t>
    <phoneticPr fontId="35" type="noConversion"/>
  </si>
  <si>
    <t>代码产生分为两个阶段；
Step1：填写表单，产生代码蓝本；此步骤需要填写的表单有《IO Pad》、《特殊信号处理》和《代码生成》三个表单，填写完毕后，点击《代码生成》表单中的生成代码按钮，将会在指定目录下，产生一个auto_ioshare.txt代码蓝本文档；
Step2：上传蓝本文件至工作站，使用 perl 脚本 auto_ioshare 运行 auto_ioshare auto_ioshare.txt 便可在当前目录下的src/文件夹中产生最终的代码。代码共三个文件 :ioshare_def.v 、ioshare.v和ioshare_undef.v</t>
    <phoneticPr fontId="39" type="noConversion"/>
  </si>
  <si>
    <t>IOS_APB_SLV</t>
    <phoneticPr fontId="39" type="noConversion"/>
  </si>
  <si>
    <r>
      <t>APB intercface</t>
    </r>
    <r>
      <rPr>
        <sz val="10.5"/>
        <color rgb="FFFF0000"/>
        <rFont val="宋体"/>
        <family val="3"/>
        <charset val="134"/>
      </rPr>
      <t>，只有当《代码生成》表单中</t>
    </r>
    <r>
      <rPr>
        <sz val="10.5"/>
        <color rgb="FFFF0000"/>
        <rFont val="Arial"/>
        <family val="2"/>
      </rPr>
      <t xml:space="preserve"> </t>
    </r>
    <r>
      <rPr>
        <sz val="10.5"/>
        <color rgb="FFFF0000"/>
        <rFont val="宋体"/>
        <family val="3"/>
        <charset val="134"/>
      </rPr>
      <t>接口类型选择</t>
    </r>
    <r>
      <rPr>
        <sz val="10.5"/>
        <color rgb="FFFF0000"/>
        <rFont val="Arial"/>
        <family val="2"/>
      </rPr>
      <t>SV interface</t>
    </r>
    <r>
      <rPr>
        <sz val="10.5"/>
        <color rgb="FFFF0000"/>
        <rFont val="宋体"/>
        <family val="3"/>
        <charset val="134"/>
      </rPr>
      <t>时有效，且与上面的</t>
    </r>
    <r>
      <rPr>
        <sz val="10.5"/>
        <color rgb="FFFF0000"/>
        <rFont val="Arial"/>
        <family val="2"/>
      </rPr>
      <t>APB</t>
    </r>
    <r>
      <rPr>
        <sz val="10.5"/>
        <color rgb="FFFF0000"/>
        <rFont val="宋体"/>
        <family val="3"/>
        <charset val="134"/>
      </rPr>
      <t>总线接口信号不能共存</t>
    </r>
    <phoneticPr fontId="39" type="noConversion"/>
  </si>
  <si>
    <t>六、地址划分</t>
    <phoneticPr fontId="39" type="noConversion"/>
  </si>
  <si>
    <r>
      <t xml:space="preserve">APB </t>
    </r>
    <r>
      <rPr>
        <sz val="10.5"/>
        <rFont val="宋体"/>
        <family val="3"/>
        <charset val="134"/>
      </rPr>
      <t>时钟</t>
    </r>
    <phoneticPr fontId="39" type="noConversion"/>
  </si>
  <si>
    <t>IOS_AF_CTRL基地址</t>
    <phoneticPr fontId="3" type="noConversion"/>
  </si>
  <si>
    <t>2：标准 APB2.0 接口，32bit对齐，可选择interface类型；</t>
    <phoneticPr fontId="39" type="noConversion"/>
  </si>
  <si>
    <t>IOS寄存器空间划分为三段</t>
    <phoneticPr fontId="39" type="noConversion"/>
  </si>
  <si>
    <r>
      <t>I</t>
    </r>
    <r>
      <rPr>
        <sz val="12"/>
        <rFont val="宋体"/>
        <family val="3"/>
        <charset val="134"/>
      </rPr>
      <t>OS_MF_CTRL寄存器</t>
    </r>
    <phoneticPr fontId="39" type="noConversion"/>
  </si>
  <si>
    <t>IOS_AF_CTRL寄存器</t>
    <phoneticPr fontId="39" type="noConversion"/>
  </si>
  <si>
    <t>IOS基地址</t>
    <phoneticPr fontId="39" type="noConversion"/>
  </si>
  <si>
    <t>IOS_AF_CTRL基地址</t>
    <phoneticPr fontId="39" type="noConversion"/>
  </si>
  <si>
    <t>IOS_AF_CTRL基地址-4'h4</t>
    <phoneticPr fontId="39" type="noConversion"/>
  </si>
  <si>
    <t>末地址</t>
    <phoneticPr fontId="39" type="noConversion"/>
  </si>
  <si>
    <t>起地址</t>
    <phoneticPr fontId="39" type="noConversion"/>
  </si>
  <si>
    <t>`IOS_ADDR_WIDTH</t>
    <phoneticPr fontId="39" type="noConversion"/>
  </si>
  <si>
    <t>IOS_IOM_CTRL基地址</t>
    <phoneticPr fontId="3" type="noConversion"/>
  </si>
  <si>
    <t>IOS_IOM_CTRL寄存器</t>
    <phoneticPr fontId="39" type="noConversion"/>
  </si>
  <si>
    <t>注：地址位宽及地址划分的基地址，可在《代码生成》表单中配置信息处进行填写。</t>
    <phoneticPr fontId="39" type="noConversion"/>
  </si>
  <si>
    <t>IOS基地址</t>
    <phoneticPr fontId="3" type="noConversion"/>
  </si>
  <si>
    <t>七、《IO Pad》
     表单介绍</t>
    <phoneticPr fontId="39" type="noConversion"/>
  </si>
  <si>
    <t>Voltage</t>
  </si>
  <si>
    <t>PKG</t>
  </si>
  <si>
    <r>
      <t>M</t>
    </r>
    <r>
      <rPr>
        <sz val="12"/>
        <rFont val="宋体"/>
        <family val="3"/>
        <charset val="134"/>
      </rPr>
      <t>UX</t>
    </r>
    <phoneticPr fontId="39" type="noConversion"/>
  </si>
  <si>
    <t>Pad Name</t>
  </si>
  <si>
    <t>IO Direct</t>
  </si>
  <si>
    <t>Freq. max</t>
  </si>
  <si>
    <t>IO Foundry</t>
  </si>
  <si>
    <t>IO TYPE</t>
  </si>
  <si>
    <t>Drive</t>
  </si>
  <si>
    <t>表单信息</t>
    <phoneticPr fontId="39" type="noConversion"/>
  </si>
  <si>
    <t>含义</t>
    <phoneticPr fontId="39" type="noConversion"/>
  </si>
  <si>
    <t>管脚配置寄存器</t>
    <phoneticPr fontId="39" type="noConversion"/>
  </si>
  <si>
    <t>芯片内部上拉下
拉处理</t>
    <phoneticPr fontId="39" type="noConversion"/>
  </si>
  <si>
    <t>Buffer name</t>
    <phoneticPr fontId="39" type="noConversion"/>
  </si>
  <si>
    <t>Sig name</t>
  </si>
  <si>
    <t>Direct</t>
  </si>
  <si>
    <t>IOS_CTRL</t>
  </si>
  <si>
    <t>Freq</t>
  </si>
  <si>
    <t>Description</t>
  </si>
  <si>
    <t>含义及输入内容</t>
    <phoneticPr fontId="39" type="noConversion"/>
  </si>
  <si>
    <t>是否影响代码生成</t>
    <phoneticPr fontId="39" type="noConversion"/>
  </si>
  <si>
    <t>否</t>
    <phoneticPr fontId="39" type="noConversion"/>
  </si>
  <si>
    <t>是</t>
    <phoneticPr fontId="39" type="noConversion"/>
  </si>
  <si>
    <t>IOS_IOM_CTRL基地址-4'h4</t>
    <phoneticPr fontId="39" type="noConversion"/>
  </si>
  <si>
    <t>IOS_IOM_CTRL基地址</t>
    <phoneticPr fontId="39" type="noConversion"/>
  </si>
  <si>
    <t>表示芯片顶层代码例化PAD使用的Moudle名称，此处虽不涉及IO复用代码，但尽量要写的精确，以提高表单的精准度；</t>
    <phoneticPr fontId="39" type="noConversion"/>
  </si>
  <si>
    <t>用于填写芯片PAD的其它复用功能信息；</t>
    <phoneticPr fontId="39" type="noConversion"/>
  </si>
  <si>
    <r>
      <t>描述复用功能的含义，尽量写准确，</t>
    </r>
    <r>
      <rPr>
        <b/>
        <sz val="12"/>
        <rFont val="宋体"/>
        <family val="3"/>
        <charset val="134"/>
      </rPr>
      <t>可以为空；</t>
    </r>
    <phoneticPr fontId="39" type="noConversion"/>
  </si>
  <si>
    <t>重要等级</t>
    <phoneticPr fontId="39" type="noConversion"/>
  </si>
  <si>
    <t>★</t>
  </si>
  <si>
    <t>★</t>
    <phoneticPr fontId="39" type="noConversion"/>
  </si>
  <si>
    <t>★★★</t>
    <phoneticPr fontId="39" type="noConversion"/>
  </si>
  <si>
    <t>★★★★★</t>
    <phoneticPr fontId="39" type="noConversion"/>
  </si>
  <si>
    <t>★★</t>
    <phoneticPr fontId="39" type="noConversion"/>
  </si>
  <si>
    <t>★★★★</t>
    <phoneticPr fontId="39" type="noConversion"/>
  </si>
  <si>
    <t>Analog input</t>
  </si>
  <si>
    <t>Analog output</t>
  </si>
  <si>
    <t>Analog inout</t>
  </si>
  <si>
    <t>Schmitt trigger input</t>
  </si>
  <si>
    <t>Digital input (CMOS)</t>
  </si>
  <si>
    <t>Digital output (CMOS)</t>
  </si>
  <si>
    <t>Open Drain output</t>
  </si>
  <si>
    <t>Bidirectional digital with CMOS input</t>
  </si>
  <si>
    <t>Bidirectional digital with Open Drain output and CMOS input</t>
  </si>
  <si>
    <t>Direct</t>
    <phoneticPr fontId="39" type="noConversion"/>
  </si>
  <si>
    <t>Three State ouput</t>
    <phoneticPr fontId="39" type="noConversion"/>
  </si>
  <si>
    <r>
      <t>描述复用功能的频率，尽量写准确，便于后端同事参考，</t>
    </r>
    <r>
      <rPr>
        <b/>
        <sz val="12"/>
        <rFont val="宋体"/>
        <family val="3"/>
        <charset val="134"/>
      </rPr>
      <t>可以为空；</t>
    </r>
    <phoneticPr fontId="39" type="noConversion"/>
  </si>
  <si>
    <t>no_ctrl</t>
    <phoneticPr fontId="39" type="noConversion"/>
  </si>
  <si>
    <r>
      <rPr>
        <sz val="12"/>
        <rFont val="宋体"/>
        <family val="3"/>
        <charset val="134"/>
      </rPr>
      <t>表示该功能复用在</t>
    </r>
    <r>
      <rPr>
        <sz val="12"/>
        <rFont val="Arial"/>
        <family val="2"/>
      </rPr>
      <t>PAD</t>
    </r>
    <r>
      <rPr>
        <sz val="12"/>
        <rFont val="宋体"/>
        <family val="3"/>
        <charset val="134"/>
      </rPr>
      <t>上不需要控制信息；</t>
    </r>
    <r>
      <rPr>
        <sz val="12"/>
        <rFont val="Arial"/>
        <family val="2"/>
      </rPr>
      <t>eg. PAD</t>
    </r>
    <r>
      <rPr>
        <sz val="12"/>
        <rFont val="宋体"/>
        <family val="3"/>
        <charset val="134"/>
      </rPr>
      <t>只复用一种功能或者该功能是硬线输入</t>
    </r>
    <r>
      <rPr>
        <vertAlign val="superscript"/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；</t>
    </r>
    <phoneticPr fontId="39" type="noConversion"/>
  </si>
  <si>
    <r>
      <t>I</t>
    </r>
    <r>
      <rPr>
        <b/>
        <sz val="12"/>
        <rFont val="宋体"/>
        <family val="3"/>
        <charset val="134"/>
      </rPr>
      <t>OS_CTRL</t>
    </r>
    <phoneticPr fontId="39" type="noConversion"/>
  </si>
  <si>
    <t>八、《特殊信号处理》表单介绍</t>
    <phoneticPr fontId="39" type="noConversion"/>
  </si>
  <si>
    <t>Alternative 
function (n)…..</t>
    <phoneticPr fontId="39" type="noConversion"/>
  </si>
  <si>
    <t xml:space="preserve">Main Function </t>
    <phoneticPr fontId="39" type="noConversion"/>
  </si>
  <si>
    <r>
      <t>描述复用功能的方向，有下拉菜单可选，</t>
    </r>
    <r>
      <rPr>
        <b/>
        <sz val="12"/>
        <rFont val="宋体"/>
        <family val="3"/>
        <charset val="134"/>
      </rPr>
      <t>不能为空</t>
    </r>
    <r>
      <rPr>
        <sz val="12"/>
        <rFont val="宋体"/>
        <family val="3"/>
        <charset val="134"/>
      </rPr>
      <t>；详细说明见下表2；</t>
    </r>
    <phoneticPr fontId="39" type="noConversion"/>
  </si>
  <si>
    <r>
      <t>描述复用功能复用在PAD的详细信息，</t>
    </r>
    <r>
      <rPr>
        <b/>
        <sz val="12"/>
        <rFont val="宋体"/>
        <family val="3"/>
        <charset val="134"/>
      </rPr>
      <t>不能为空</t>
    </r>
    <r>
      <rPr>
        <sz val="12"/>
        <rFont val="宋体"/>
        <family val="3"/>
        <charset val="134"/>
      </rPr>
      <t>；详细说明见下表3；</t>
    </r>
    <phoneticPr fontId="39" type="noConversion"/>
  </si>
  <si>
    <t>表2</t>
    <phoneticPr fontId="39" type="noConversion"/>
  </si>
  <si>
    <t>表3</t>
    <phoneticPr fontId="39" type="noConversion"/>
  </si>
  <si>
    <t>表1</t>
    <phoneticPr fontId="39" type="noConversion"/>
  </si>
  <si>
    <t>管脚上电默认状态</t>
    <phoneticPr fontId="39" type="noConversion"/>
  </si>
  <si>
    <t>管脚上电默认状态</t>
    <phoneticPr fontId="39" type="noConversion"/>
  </si>
  <si>
    <r>
      <t>IOM</t>
    </r>
    <r>
      <rPr>
        <b/>
        <sz val="12"/>
        <rFont val="宋体"/>
        <family val="3"/>
        <charset val="134"/>
      </rPr>
      <t>初值设置（推荐）</t>
    </r>
    <phoneticPr fontId="39" type="noConversion"/>
  </si>
  <si>
    <t>说明</t>
    <phoneticPr fontId="39" type="noConversion"/>
  </si>
  <si>
    <t>同上</t>
    <phoneticPr fontId="39" type="noConversion"/>
  </si>
  <si>
    <t>3：经过IO复用处理的每个PAD维护一套独立的IO控制信息寄存器——IOM_CTRL，该控制寄存器主要包含两大部分，一是PAD的OE控制信号(OE为高，表示输出使能,只作用于方向为DO的信号)，该信号参与MUX逻辑，经过MUX后的OE信号与顶层PAD的OE端相连；二是PAD的config信号，直接输出与顶层PAD端控制接口相连；不同的IO有不同的控制信息，本工具可最多支持6种config信息。比如，对于Dolphin IO，config信号包含的信息有PD，PU，SUS，CTL和SL，config信息的含义和位宽可以根据具体对接IO的类型而改变；</t>
    <phoneticPr fontId="39" type="noConversion"/>
  </si>
  <si>
    <r>
      <rPr>
        <sz val="12"/>
        <color rgb="FFFF0000"/>
        <rFont val="Arial"/>
        <family val="2"/>
      </rPr>
      <t>Main Function</t>
    </r>
    <r>
      <rPr>
        <sz val="12"/>
        <color rgb="FFFF0000"/>
        <rFont val="宋体"/>
        <family val="3"/>
        <charset val="134"/>
      </rPr>
      <t>的方向可以是</t>
    </r>
    <r>
      <rPr>
        <sz val="12"/>
        <color rgb="FFFF0000"/>
        <rFont val="Arial"/>
        <family val="2"/>
      </rPr>
      <t>OZ/DO/B/BOD</t>
    </r>
    <r>
      <rPr>
        <sz val="12"/>
        <rFont val="宋体"/>
        <family val="3"/>
        <charset val="134"/>
      </rPr>
      <t>；对与</t>
    </r>
    <r>
      <rPr>
        <sz val="12"/>
        <rFont val="Arial"/>
        <family val="2"/>
      </rPr>
      <t>OZ/B/BOD</t>
    </r>
    <r>
      <rPr>
        <sz val="12"/>
        <rFont val="宋体"/>
        <family val="3"/>
        <charset val="134"/>
      </rPr>
      <t>功能，</t>
    </r>
    <r>
      <rPr>
        <sz val="12"/>
        <rFont val="Arial"/>
        <family val="2"/>
      </rPr>
      <t>OE</t>
    </r>
    <r>
      <rPr>
        <sz val="12"/>
        <rFont val="宋体"/>
        <family val="3"/>
        <charset val="134"/>
      </rPr>
      <t>控制来自</t>
    </r>
    <r>
      <rPr>
        <sz val="12"/>
        <rFont val="Arial"/>
        <family val="2"/>
      </rPr>
      <t>IP</t>
    </r>
    <r>
      <rPr>
        <sz val="12"/>
        <rFont val="宋体"/>
        <family val="3"/>
        <charset val="134"/>
      </rPr>
      <t>内部，对与</t>
    </r>
    <r>
      <rPr>
        <sz val="12"/>
        <rFont val="Arial"/>
        <family val="2"/>
      </rPr>
      <t>DO</t>
    </r>
    <r>
      <rPr>
        <sz val="12"/>
        <rFont val="宋体"/>
        <family val="3"/>
        <charset val="134"/>
      </rPr>
      <t>，</t>
    </r>
    <r>
      <rPr>
        <sz val="12"/>
        <rFont val="Arial"/>
        <family val="2"/>
      </rPr>
      <t>OE</t>
    </r>
    <r>
      <rPr>
        <sz val="12"/>
        <rFont val="宋体"/>
        <family val="3"/>
        <charset val="134"/>
      </rPr>
      <t>控制受控与</t>
    </r>
    <r>
      <rPr>
        <sz val="12"/>
        <rFont val="Arial"/>
        <family val="2"/>
      </rPr>
      <t>IOM</t>
    </r>
    <r>
      <rPr>
        <sz val="12"/>
        <rFont val="宋体"/>
        <family val="3"/>
        <charset val="134"/>
      </rPr>
      <t>控制信息的</t>
    </r>
    <r>
      <rPr>
        <sz val="12"/>
        <rFont val="Arial"/>
        <family val="2"/>
      </rPr>
      <t xml:space="preserve">OE bit </t>
    </r>
    <r>
      <rPr>
        <sz val="12"/>
        <rFont val="宋体"/>
        <family val="3"/>
        <charset val="134"/>
      </rPr>
      <t>这里要求，复位状态</t>
    </r>
    <r>
      <rPr>
        <sz val="12"/>
        <rFont val="Arial"/>
        <family val="2"/>
      </rPr>
      <t>OZ/DO/B/BOD</t>
    </r>
    <r>
      <rPr>
        <sz val="12"/>
        <rFont val="宋体"/>
        <family val="3"/>
        <charset val="134"/>
      </rPr>
      <t>的功能</t>
    </r>
    <r>
      <rPr>
        <sz val="12"/>
        <rFont val="Arial"/>
        <family val="2"/>
      </rPr>
      <t>OE</t>
    </r>
    <r>
      <rPr>
        <sz val="12"/>
        <rFont val="宋体"/>
        <family val="3"/>
        <charset val="134"/>
      </rPr>
      <t>控制信号为</t>
    </r>
    <r>
      <rPr>
        <sz val="12"/>
        <rFont val="Arial"/>
        <family val="2"/>
      </rPr>
      <t>1</t>
    </r>
    <phoneticPr fontId="39" type="noConversion"/>
  </si>
  <si>
    <r>
      <rPr>
        <sz val="12"/>
        <color rgb="FFFF0000"/>
        <rFont val="Arial"/>
        <family val="2"/>
      </rPr>
      <t>Main Function</t>
    </r>
    <r>
      <rPr>
        <sz val="12"/>
        <color rgb="FFFF0000"/>
        <rFont val="宋体"/>
        <family val="3"/>
        <charset val="134"/>
      </rPr>
      <t>的方向可以是</t>
    </r>
    <r>
      <rPr>
        <sz val="12"/>
        <color rgb="FFFF0000"/>
        <rFont val="Arial"/>
        <family val="2"/>
      </rPr>
      <t>OZ/DO/B</t>
    </r>
    <r>
      <rPr>
        <sz val="12"/>
        <rFont val="宋体"/>
        <family val="3"/>
        <charset val="134"/>
      </rPr>
      <t>；对与</t>
    </r>
    <r>
      <rPr>
        <sz val="12"/>
        <rFont val="Arial"/>
        <family val="2"/>
      </rPr>
      <t>OZ/B</t>
    </r>
    <r>
      <rPr>
        <sz val="12"/>
        <rFont val="宋体"/>
        <family val="3"/>
        <charset val="134"/>
      </rPr>
      <t>功能，</t>
    </r>
    <r>
      <rPr>
        <sz val="12"/>
        <rFont val="Arial"/>
        <family val="2"/>
      </rPr>
      <t>OE</t>
    </r>
    <r>
      <rPr>
        <sz val="12"/>
        <rFont val="宋体"/>
        <family val="3"/>
        <charset val="134"/>
      </rPr>
      <t>控制来自</t>
    </r>
    <r>
      <rPr>
        <sz val="12"/>
        <rFont val="Arial"/>
        <family val="2"/>
      </rPr>
      <t>IP</t>
    </r>
    <r>
      <rPr>
        <sz val="12"/>
        <rFont val="宋体"/>
        <family val="3"/>
        <charset val="134"/>
      </rPr>
      <t>内部，对与</t>
    </r>
    <r>
      <rPr>
        <sz val="12"/>
        <rFont val="Arial"/>
        <family val="2"/>
      </rPr>
      <t>DO</t>
    </r>
    <r>
      <rPr>
        <sz val="12"/>
        <rFont val="宋体"/>
        <family val="3"/>
        <charset val="134"/>
      </rPr>
      <t>，</t>
    </r>
    <r>
      <rPr>
        <sz val="12"/>
        <rFont val="Arial"/>
        <family val="2"/>
      </rPr>
      <t>OE</t>
    </r>
    <r>
      <rPr>
        <sz val="12"/>
        <rFont val="宋体"/>
        <family val="3"/>
        <charset val="134"/>
      </rPr>
      <t>控制受控与</t>
    </r>
    <r>
      <rPr>
        <sz val="12"/>
        <rFont val="Arial"/>
        <family val="2"/>
      </rPr>
      <t>IOM</t>
    </r>
    <r>
      <rPr>
        <sz val="12"/>
        <rFont val="宋体"/>
        <family val="3"/>
        <charset val="134"/>
      </rPr>
      <t>控制信息的</t>
    </r>
    <r>
      <rPr>
        <sz val="12"/>
        <rFont val="Arial"/>
        <family val="2"/>
      </rPr>
      <t xml:space="preserve">OE bit </t>
    </r>
    <r>
      <rPr>
        <sz val="12"/>
        <rFont val="宋体"/>
        <family val="3"/>
        <charset val="134"/>
      </rPr>
      <t>这里要求，复位状态</t>
    </r>
    <r>
      <rPr>
        <sz val="12"/>
        <rFont val="Arial"/>
        <family val="2"/>
      </rPr>
      <t>OZ/DO/B</t>
    </r>
    <r>
      <rPr>
        <sz val="12"/>
        <rFont val="宋体"/>
        <family val="3"/>
        <charset val="134"/>
      </rPr>
      <t>的功能</t>
    </r>
    <r>
      <rPr>
        <sz val="12"/>
        <rFont val="Arial"/>
        <family val="2"/>
      </rPr>
      <t>OE</t>
    </r>
    <r>
      <rPr>
        <sz val="12"/>
        <rFont val="宋体"/>
        <family val="3"/>
        <charset val="134"/>
      </rPr>
      <t>控制信号为</t>
    </r>
    <r>
      <rPr>
        <sz val="12"/>
        <rFont val="Arial"/>
        <family val="2"/>
      </rPr>
      <t>1</t>
    </r>
    <phoneticPr fontId="39" type="noConversion"/>
  </si>
  <si>
    <r>
      <t>OE=0</t>
    </r>
    <r>
      <rPr>
        <sz val="12"/>
        <rFont val="宋体"/>
        <family val="3"/>
        <charset val="134"/>
      </rPr>
      <t>，使能</t>
    </r>
    <r>
      <rPr>
        <sz val="12"/>
        <rFont val="Arial"/>
        <family val="2"/>
      </rPr>
      <t>PAD</t>
    </r>
    <r>
      <rPr>
        <sz val="12"/>
        <rFont val="宋体"/>
        <family val="3"/>
        <charset val="134"/>
      </rPr>
      <t>下拉，管脚采用默认驱动值</t>
    </r>
    <phoneticPr fontId="39" type="noConversion"/>
  </si>
  <si>
    <r>
      <t>OE=0</t>
    </r>
    <r>
      <rPr>
        <sz val="12"/>
        <rFont val="宋体"/>
        <family val="3"/>
        <charset val="134"/>
      </rPr>
      <t>，使能</t>
    </r>
    <r>
      <rPr>
        <sz val="12"/>
        <rFont val="Arial"/>
        <family val="2"/>
      </rPr>
      <t>PAD</t>
    </r>
    <r>
      <rPr>
        <sz val="12"/>
        <rFont val="宋体"/>
        <family val="3"/>
        <charset val="134"/>
      </rPr>
      <t>上拉，管脚采用默认驱动值</t>
    </r>
    <phoneticPr fontId="39" type="noConversion"/>
  </si>
  <si>
    <r>
      <t>OE=0</t>
    </r>
    <r>
      <rPr>
        <sz val="12"/>
        <rFont val="宋体"/>
        <family val="3"/>
        <charset val="134"/>
      </rPr>
      <t>，不使能</t>
    </r>
    <r>
      <rPr>
        <sz val="12"/>
        <rFont val="Arial"/>
        <family val="2"/>
      </rPr>
      <t>PAD</t>
    </r>
    <r>
      <rPr>
        <sz val="12"/>
        <rFont val="宋体"/>
        <family val="3"/>
        <charset val="134"/>
      </rPr>
      <t>上、下拉，管脚采用默认驱动值</t>
    </r>
    <phoneticPr fontId="39" type="noConversion"/>
  </si>
  <si>
    <r>
      <t>OE=1</t>
    </r>
    <r>
      <rPr>
        <sz val="12"/>
        <rFont val="宋体"/>
        <family val="3"/>
        <charset val="134"/>
      </rPr>
      <t>，不使能</t>
    </r>
    <r>
      <rPr>
        <sz val="12"/>
        <rFont val="Arial"/>
        <family val="2"/>
      </rPr>
      <t>PAD</t>
    </r>
    <r>
      <rPr>
        <sz val="12"/>
        <rFont val="宋体"/>
        <family val="3"/>
        <charset val="134"/>
      </rPr>
      <t>上、下拉，管脚采用默认驱动值</t>
    </r>
    <phoneticPr fontId="39" type="noConversion"/>
  </si>
  <si>
    <t>表4</t>
    <phoneticPr fontId="39" type="noConversion"/>
  </si>
  <si>
    <t>表5</t>
    <phoneticPr fontId="39" type="noConversion"/>
  </si>
  <si>
    <t>此列不用填写</t>
    <phoneticPr fontId="39" type="noConversion"/>
  </si>
  <si>
    <t>九、《代码生成》表单介绍</t>
    <phoneticPr fontId="39" type="noConversion"/>
  </si>
  <si>
    <t>表6</t>
    <phoneticPr fontId="39" type="noConversion"/>
  </si>
  <si>
    <t>按钮名称</t>
    <phoneticPr fontId="39" type="noConversion"/>
  </si>
  <si>
    <t>功能</t>
    <phoneticPr fontId="39" type="noConversion"/>
  </si>
  <si>
    <t>更新软硬件接口文档</t>
    <phoneticPr fontId="39" type="noConversion"/>
  </si>
  <si>
    <t>获取文件路径</t>
    <phoneticPr fontId="39" type="noConversion"/>
  </si>
  <si>
    <t>生成代码</t>
    <phoneticPr fontId="39" type="noConversion"/>
  </si>
  <si>
    <r>
      <t>用于选择存放生成a</t>
    </r>
    <r>
      <rPr>
        <sz val="12"/>
        <rFont val="宋体"/>
        <family val="3"/>
        <charset val="134"/>
      </rPr>
      <t>uto_ioshare.txt的路径</t>
    </r>
    <phoneticPr fontId="39" type="noConversion"/>
  </si>
  <si>
    <t>根据《IO Pad》、《特殊信号处理》和《代码生成》表单的内容生成auto_ioshare.txt文档</t>
    <phoneticPr fontId="39" type="noConversion"/>
  </si>
  <si>
    <t>表7：配置信息</t>
    <phoneticPr fontId="35" type="noConversion"/>
  </si>
  <si>
    <t>配置信息</t>
    <phoneticPr fontId="39" type="noConversion"/>
  </si>
  <si>
    <t>接口类型</t>
    <phoneticPr fontId="39" type="noConversion"/>
  </si>
  <si>
    <t>下拉菜单可选；只能选择 SV interface或 Verilog两种；决定APB总线的代码类型；</t>
    <phoneticPr fontId="39" type="noConversion"/>
  </si>
  <si>
    <t>地址位宽</t>
    <phoneticPr fontId="39" type="noConversion"/>
  </si>
  <si>
    <t>数据位宽</t>
    <phoneticPr fontId="39" type="noConversion"/>
  </si>
  <si>
    <t>IOS代码APB总线的地址位宽；</t>
    <phoneticPr fontId="39" type="noConversion"/>
  </si>
  <si>
    <t>IOS_AF_CTRL基地址</t>
    <phoneticPr fontId="39" type="noConversion"/>
  </si>
  <si>
    <t>IOS_IOM_CTRL基地址</t>
    <phoneticPr fontId="39" type="noConversion"/>
  </si>
  <si>
    <t>用于确定IOS_AF_CTRL寄存器的基地址；注意位宽要与地址位宽保持相同；</t>
    <phoneticPr fontId="39" type="noConversion"/>
  </si>
  <si>
    <t>APB总线的数据位宽；通常为32bit；</t>
    <phoneticPr fontId="39" type="noConversion"/>
  </si>
  <si>
    <t>用于确定IOS_IOM_CTRL寄存器的基地址；注意位宽要与地址位宽保持相同；</t>
    <phoneticPr fontId="39" type="noConversion"/>
  </si>
  <si>
    <t>表8</t>
    <phoneticPr fontId="35" type="noConversion"/>
  </si>
  <si>
    <t>IO Foundry</t>
    <phoneticPr fontId="39" type="noConversion"/>
  </si>
  <si>
    <t>配置信息</t>
    <phoneticPr fontId="39" type="noConversion"/>
  </si>
  <si>
    <t>高bit位置</t>
    <phoneticPr fontId="39" type="noConversion"/>
  </si>
  <si>
    <t>高bit位置</t>
    <phoneticPr fontId="3" type="noConversion"/>
  </si>
  <si>
    <t>低bit位置</t>
    <phoneticPr fontId="3" type="noConversion"/>
  </si>
  <si>
    <t>低bit位置</t>
    <phoneticPr fontId="39" type="noConversion"/>
  </si>
  <si>
    <t>初始状态</t>
    <phoneticPr fontId="39" type="noConversion"/>
  </si>
  <si>
    <t>初始值</t>
    <phoneticPr fontId="39" type="noConversion"/>
  </si>
  <si>
    <t>禁止改动，只支持6种管脚上电默认状态，不支持个人定义及扩展；</t>
    <phoneticPr fontId="39" type="noConversion"/>
  </si>
  <si>
    <t>定义使用PAD的厂商，若增加，可按上表形式进行增加；</t>
    <phoneticPr fontId="39" type="noConversion"/>
  </si>
  <si>
    <t>寄存器类型</t>
    <phoneticPr fontId="39" type="noConversion"/>
  </si>
  <si>
    <t>IOS_MF_CTRL</t>
    <phoneticPr fontId="39" type="noConversion"/>
  </si>
  <si>
    <t>IOS_AF_CTRL</t>
    <phoneticPr fontId="39" type="noConversion"/>
  </si>
  <si>
    <t>`IOS_DATA_WIDTH{1'b1}</t>
    <phoneticPr fontId="39" type="noConversion"/>
  </si>
  <si>
    <t>IOS_IOM_CTRL</t>
    <phoneticPr fontId="39" type="noConversion"/>
  </si>
  <si>
    <t>`IOS_DATA_WIDTH{1'b0}</t>
    <phoneticPr fontId="39" type="noConversion"/>
  </si>
  <si>
    <r>
      <rPr>
        <sz val="10.5"/>
        <rFont val="宋体"/>
        <family val="3"/>
        <charset val="134"/>
      </rPr>
      <t>具体根据</t>
    </r>
    <r>
      <rPr>
        <sz val="10.5"/>
        <rFont val="Arial"/>
        <family val="2"/>
      </rPr>
      <t>IO</t>
    </r>
    <r>
      <rPr>
        <sz val="10.5"/>
        <rFont val="宋体"/>
        <family val="3"/>
        <charset val="134"/>
      </rPr>
      <t>类型及上电默认状态，初值参考下面的表</t>
    </r>
    <r>
      <rPr>
        <sz val="10.5"/>
        <rFont val="Arial"/>
        <family val="2"/>
      </rPr>
      <t>1</t>
    </r>
    <r>
      <rPr>
        <sz val="10.5"/>
        <rFont val="宋体"/>
        <family val="3"/>
        <charset val="134"/>
      </rPr>
      <t>和表</t>
    </r>
    <r>
      <rPr>
        <sz val="10.5"/>
        <rFont val="Arial"/>
        <family val="2"/>
      </rPr>
      <t>8</t>
    </r>
    <phoneticPr fontId="39" type="noConversion"/>
  </si>
  <si>
    <t>寄存器初值</t>
    <phoneticPr fontId="39" type="noConversion"/>
  </si>
  <si>
    <t>高bit位置</t>
    <phoneticPr fontId="3" type="noConversion"/>
  </si>
  <si>
    <t>SV interface</t>
  </si>
  <si>
    <t>九、注意事项</t>
    <phoneticPr fontId="39" type="noConversion"/>
  </si>
  <si>
    <t>pad_fuc_in/pad_fuc_sh_in</t>
    <phoneticPr fontId="39" type="noConversion"/>
  </si>
  <si>
    <t>1：如果IO的其中一种复用功能是施密特输入（即功能的方向为SI），则针对该IO的顶层接口信号会存在两个输入信号：pad_fuc_in和pad_fuc_sh_in，对于同时支持两种输入接口的IO（Dolphin）是没有问题的；而对于只支持施密特或者非施密特输入的IO（TSMC or HISI4D），集成时需要做如下处理：assign pad_fuc_in = pad_fuc_sh_in，否则pad_fuc_in将没有驱动，造成不可预知的问题；</t>
    <phoneticPr fontId="39" type="noConversion"/>
  </si>
  <si>
    <t>设计人员关注度</t>
    <phoneticPr fontId="39" type="noConversion"/>
  </si>
  <si>
    <t>4：可在同一个IO复用代码中支持多种Foundry 数字IO；</t>
    <phoneticPr fontId="39" type="noConversion"/>
  </si>
  <si>
    <t>是</t>
  </si>
  <si>
    <t>输入门控控制</t>
    <phoneticPr fontId="3" type="noConversion"/>
  </si>
  <si>
    <r>
      <t>描述*</t>
    </r>
    <r>
      <rPr>
        <sz val="12"/>
        <rFont val="宋体"/>
        <family val="3"/>
        <charset val="134"/>
      </rPr>
      <t>**_SI&amp;PKG_REQ_auto_ios文档使用方法</t>
    </r>
    <phoneticPr fontId="39" type="noConversion"/>
  </si>
  <si>
    <t>描述PAD供电电压及电压域；</t>
    <phoneticPr fontId="39" type="noConversion"/>
  </si>
  <si>
    <t>描述PAD是否出封装；
Y代表出Die和出封装，N表示不出封装但出Die;
空白表示不能确定，可用于初期排布电源、地或其它信号；</t>
    <phoneticPr fontId="39" type="noConversion"/>
  </si>
  <si>
    <t>描述PAD方向，IO Direct 是PAD的所有复用功能方向的并集；</t>
    <phoneticPr fontId="39" type="noConversion"/>
  </si>
  <si>
    <t>1：使用STD_CELL标准MUX单元去搭建IOSHARE(以下简称IOS)代码，并兼容代码的可读性和后续网表ECO性；</t>
    <phoneticPr fontId="39" type="noConversion"/>
  </si>
  <si>
    <t>描述PAD最大工作频率，Freq.max是PAD的所有复用功能频率的最大值；</t>
    <phoneticPr fontId="39" type="noConversion"/>
  </si>
  <si>
    <r>
      <t xml:space="preserve">描述PAD的IO Foundry；
不同Foundry 数字IO的IOM控制信息不同，具体参见《代码生成》表单的IO Foundry信息；IO Foundry </t>
    </r>
    <r>
      <rPr>
        <b/>
        <sz val="12"/>
        <rFont val="宋体"/>
        <family val="3"/>
        <charset val="134"/>
      </rPr>
      <t>不能为空</t>
    </r>
    <r>
      <rPr>
        <sz val="12"/>
        <rFont val="宋体"/>
        <family val="3"/>
        <charset val="134"/>
      </rPr>
      <t>。</t>
    </r>
    <phoneticPr fontId="39" type="noConversion"/>
  </si>
  <si>
    <r>
      <t>描述PAD 电平特性；LVCMOS ，SSTL等，</t>
    </r>
    <r>
      <rPr>
        <b/>
        <sz val="12"/>
        <rFont val="宋体"/>
        <family val="3"/>
        <charset val="134"/>
      </rPr>
      <t>可以为空</t>
    </r>
    <phoneticPr fontId="39" type="noConversion"/>
  </si>
  <si>
    <r>
      <t>描述数字PAD的默认驱动强度，可以依据IO Direct进行填写，输入方向可以写0mA，输出或双向功能的PAD可以写默认强度值；此处有下拉菜单可选，对于模拟IO</t>
    </r>
    <r>
      <rPr>
        <b/>
        <sz val="12"/>
        <rFont val="宋体"/>
        <family val="3"/>
        <charset val="134"/>
      </rPr>
      <t>可以为空</t>
    </r>
    <r>
      <rPr>
        <sz val="12"/>
        <rFont val="宋体"/>
        <family val="3"/>
        <charset val="134"/>
      </rPr>
      <t>；</t>
    </r>
    <phoneticPr fontId="39" type="noConversion"/>
  </si>
  <si>
    <r>
      <t>描述PAD的控制信息IOM（参见《代码生成》表单中 IO Foundry信息），是否受寄存器配置，此处只可填两种类型：
NA_CTRL表示PAD的控制信息固定接死或不可以通过寄存器配置；
IOM_CTRL(n)表示PAD的控制信息受该寄存器控制，结合n值与IOS_IOM_CTRL的基地址可推算出相关寄存器的绝对值:addr(IOM_CTRLn)=IOS_IOM_CTRL基地址+n*4'h4,(n=0,1…)；</t>
    </r>
    <r>
      <rPr>
        <sz val="12"/>
        <color rgb="FFFF0000"/>
        <rFont val="宋体"/>
        <family val="3"/>
        <charset val="134"/>
      </rPr>
      <t>寄存器的初值由管脚上电默认状态列信息决定</t>
    </r>
    <r>
      <rPr>
        <sz val="12"/>
        <rFont val="宋体"/>
        <family val="3"/>
        <charset val="134"/>
      </rPr>
      <t>，此处</t>
    </r>
    <r>
      <rPr>
        <b/>
        <sz val="12"/>
        <rFont val="宋体"/>
        <family val="3"/>
        <charset val="134"/>
      </rPr>
      <t>不能为空</t>
    </r>
    <r>
      <rPr>
        <sz val="12"/>
        <rFont val="宋体"/>
        <family val="3"/>
        <charset val="134"/>
      </rPr>
      <t>；</t>
    </r>
    <phoneticPr fontId="39" type="noConversion"/>
  </si>
  <si>
    <t>十、新增特性</t>
    <phoneticPr fontId="39" type="noConversion"/>
  </si>
  <si>
    <t>tsmc</t>
    <phoneticPr fontId="3" type="noConversion"/>
  </si>
  <si>
    <t>28hpm</t>
    <phoneticPr fontId="3" type="noConversion"/>
  </si>
  <si>
    <t>8.3x9.7(before shrink)</t>
    <phoneticPr fontId="3" type="noConversion"/>
  </si>
  <si>
    <t>FCBGA</t>
    <phoneticPr fontId="3" type="noConversion"/>
  </si>
  <si>
    <t>25x25x2.13</t>
    <phoneticPr fontId="3" type="noConversion"/>
  </si>
  <si>
    <t>25x25x2.3</t>
    <phoneticPr fontId="3" type="noConversion"/>
  </si>
  <si>
    <t>25x25x2.47</t>
    <phoneticPr fontId="3" type="noConversion"/>
  </si>
  <si>
    <t>IOS_ADDR_WIDTH{1'b0}</t>
    <phoneticPr fontId="39" type="noConversion"/>
  </si>
  <si>
    <r>
      <t xml:space="preserve">SOC </t>
    </r>
    <r>
      <rPr>
        <sz val="10.5"/>
        <rFont val="宋体"/>
        <family val="3"/>
        <charset val="134"/>
      </rPr>
      <t>输出到</t>
    </r>
    <r>
      <rPr>
        <sz val="10.5"/>
        <rFont val="Arial"/>
        <family val="2"/>
      </rPr>
      <t>ioshare</t>
    </r>
    <r>
      <rPr>
        <sz val="10.5"/>
        <rFont val="宋体"/>
        <family val="3"/>
        <charset val="134"/>
      </rPr>
      <t>的</t>
    </r>
    <r>
      <rPr>
        <sz val="10.5"/>
        <rFont val="Arial"/>
        <family val="2"/>
      </rPr>
      <t>IP</t>
    </r>
    <r>
      <rPr>
        <sz val="10.5"/>
        <rFont val="宋体"/>
        <family val="3"/>
        <charset val="134"/>
      </rPr>
      <t>输出使能信号</t>
    </r>
    <phoneticPr fontId="39" type="noConversion"/>
  </si>
  <si>
    <r>
      <t>SOC</t>
    </r>
    <r>
      <rPr>
        <sz val="10.5"/>
        <rFont val="宋体"/>
        <family val="3"/>
        <charset val="134"/>
      </rPr>
      <t>输出到</t>
    </r>
    <r>
      <rPr>
        <sz val="10.5"/>
        <rFont val="Arial"/>
        <family val="2"/>
      </rPr>
      <t>ioshare</t>
    </r>
    <r>
      <rPr>
        <sz val="10.5"/>
        <rFont val="宋体"/>
        <family val="3"/>
        <charset val="134"/>
      </rPr>
      <t>的</t>
    </r>
    <r>
      <rPr>
        <sz val="10.5"/>
        <rFont val="Arial"/>
        <family val="2"/>
      </rPr>
      <t>IP</t>
    </r>
    <r>
      <rPr>
        <sz val="10.5"/>
        <rFont val="宋体"/>
        <family val="3"/>
        <charset val="134"/>
      </rPr>
      <t>输出信号</t>
    </r>
    <phoneticPr fontId="39" type="noConversion"/>
  </si>
  <si>
    <r>
      <t>ioshare</t>
    </r>
    <r>
      <rPr>
        <sz val="10.5"/>
        <rFont val="宋体"/>
        <family val="3"/>
        <charset val="134"/>
      </rPr>
      <t>输出到</t>
    </r>
    <r>
      <rPr>
        <sz val="10.5"/>
        <rFont val="Arial"/>
        <family val="2"/>
      </rPr>
      <t>SOC</t>
    </r>
    <r>
      <rPr>
        <sz val="10.5"/>
        <rFont val="宋体"/>
        <family val="3"/>
        <charset val="134"/>
      </rPr>
      <t>的</t>
    </r>
    <r>
      <rPr>
        <sz val="10.5"/>
        <rFont val="Arial"/>
        <family val="2"/>
      </rPr>
      <t>IP</t>
    </r>
    <r>
      <rPr>
        <sz val="10.5"/>
        <rFont val="宋体"/>
        <family val="3"/>
        <charset val="134"/>
      </rPr>
      <t>输入信号</t>
    </r>
    <phoneticPr fontId="39" type="noConversion"/>
  </si>
  <si>
    <t>描述PAD的复用功能是否经过IOS的STDCELL(MUX)处理；
此处有下拉菜单供设计者选择，不能为空。
MUX_D表示采用普通MUX；
MUX_C表示采用时钟MUX，一般复用功能含时钟信号应选用此种MUX，但面积会稍大些，信号质量好；
MUX_NA表示不使用MUX处理，通常对于模拟信号或确定不需要通过IOS的数字信号；</t>
    <phoneticPr fontId="39" type="noConversion"/>
  </si>
  <si>
    <t>描述顶层PAD名称，一般大写；
代码会根据此PAD名称，将其转换为小写，增加前后缀，作为与顶层的接口信号；eg:pad_(Pad Name)_in/sh_in/out/oe/cfg；</t>
    <phoneticPr fontId="39" type="noConversion"/>
  </si>
  <si>
    <r>
      <t>描述在芯片上电且处于复位状态,或芯片解复位，但无程序运行状态下的PAD状态；
此处有下拉菜单可选，详细说明见下表1，</t>
    </r>
    <r>
      <rPr>
        <b/>
        <sz val="12"/>
        <rFont val="宋体"/>
        <family val="3"/>
        <charset val="134"/>
      </rPr>
      <t>不能为空。</t>
    </r>
    <phoneticPr fontId="39" type="noConversion"/>
  </si>
  <si>
    <r>
      <t>表示PAD的上、下拉，是否寄存器可配置；</t>
    </r>
    <r>
      <rPr>
        <b/>
        <sz val="12"/>
        <rFont val="宋体"/>
        <family val="3"/>
        <charset val="134"/>
      </rPr>
      <t>可以为空；</t>
    </r>
    <phoneticPr fontId="39" type="noConversion"/>
  </si>
  <si>
    <r>
      <t>用于填写芯片上电后，软件无配置的PAD第一功能，此处</t>
    </r>
    <r>
      <rPr>
        <b/>
        <sz val="12"/>
        <rFont val="宋体"/>
        <family val="3"/>
        <charset val="134"/>
      </rPr>
      <t>不能为空；</t>
    </r>
    <phoneticPr fontId="39" type="noConversion"/>
  </si>
  <si>
    <t>PAD真值表</t>
    <phoneticPr fontId="39" type="noConversion"/>
  </si>
  <si>
    <t>OUT</t>
    <phoneticPr fontId="39" type="noConversion"/>
  </si>
  <si>
    <t>OE</t>
    <phoneticPr fontId="39" type="noConversion"/>
  </si>
  <si>
    <t>PAD</t>
    <phoneticPr fontId="39" type="noConversion"/>
  </si>
  <si>
    <t>Z</t>
    <phoneticPr fontId="39" type="noConversion"/>
  </si>
  <si>
    <t>x/x</t>
    <phoneticPr fontId="39" type="noConversion"/>
  </si>
  <si>
    <t>x</t>
    <phoneticPr fontId="39" type="noConversion"/>
  </si>
  <si>
    <t>x表示0或1</t>
    <phoneticPr fontId="39" type="noConversion"/>
  </si>
  <si>
    <r>
      <t>P</t>
    </r>
    <r>
      <rPr>
        <sz val="12"/>
        <rFont val="宋体"/>
        <family val="3"/>
        <charset val="134"/>
      </rPr>
      <t>U/PD</t>
    </r>
    <phoneticPr fontId="39" type="noConversion"/>
  </si>
  <si>
    <r>
      <t>0</t>
    </r>
    <r>
      <rPr>
        <sz val="12"/>
        <rFont val="宋体"/>
        <family val="3"/>
        <charset val="134"/>
      </rPr>
      <t>/0</t>
    </r>
    <phoneticPr fontId="39" type="noConversion"/>
  </si>
  <si>
    <r>
      <t>x</t>
    </r>
    <r>
      <rPr>
        <sz val="12"/>
        <rFont val="宋体"/>
        <family val="3"/>
        <charset val="134"/>
      </rPr>
      <t>/x</t>
    </r>
    <phoneticPr fontId="39" type="noConversion"/>
  </si>
  <si>
    <r>
      <t>0</t>
    </r>
    <r>
      <rPr>
        <sz val="12"/>
        <rFont val="宋体"/>
        <family val="3"/>
        <charset val="134"/>
      </rPr>
      <t>/1</t>
    </r>
    <phoneticPr fontId="39" type="noConversion"/>
  </si>
  <si>
    <r>
      <t>1</t>
    </r>
    <r>
      <rPr>
        <sz val="12"/>
        <rFont val="宋体"/>
        <family val="3"/>
        <charset val="134"/>
      </rPr>
      <t>/0</t>
    </r>
    <phoneticPr fontId="39" type="noConversion"/>
  </si>
  <si>
    <t>internal PAD Pull-Down enable , PAD in input State</t>
    <phoneticPr fontId="39" type="noConversion"/>
  </si>
  <si>
    <t>internal PAD Pull-Up enable , PAD in input State</t>
    <phoneticPr fontId="39" type="noConversion"/>
  </si>
  <si>
    <t>internal PAD Pull-Down/Pull-Up disable , PAD in output  High-Z State</t>
    <phoneticPr fontId="39" type="noConversion"/>
  </si>
  <si>
    <t>internal PAD Pull-Down/Pull-Up disable , PAD in output High State</t>
    <phoneticPr fontId="39" type="noConversion"/>
  </si>
  <si>
    <t>internal PAD Pull-Down/Pull-Up disable , PAD  in output Low State</t>
    <phoneticPr fontId="39" type="noConversion"/>
  </si>
  <si>
    <t>结构图</t>
    <phoneticPr fontId="39" type="noConversion"/>
  </si>
  <si>
    <t>含义</t>
    <phoneticPr fontId="39" type="noConversion"/>
  </si>
  <si>
    <t>注1：管脚上电默认状态的OZ与功能方向的OZ含义不同；</t>
    <phoneticPr fontId="39" type="noConversion"/>
  </si>
  <si>
    <t>Packgae</t>
    <phoneticPr fontId="39" type="noConversion"/>
  </si>
  <si>
    <t>填写芯片封装信息</t>
    <phoneticPr fontId="39" type="noConversion"/>
  </si>
  <si>
    <t>后端同事</t>
    <phoneticPr fontId="39" type="noConversion"/>
  </si>
  <si>
    <t>Die</t>
    <phoneticPr fontId="39" type="noConversion"/>
  </si>
  <si>
    <t>填写芯片Die信息</t>
    <phoneticPr fontId="39" type="noConversion"/>
  </si>
  <si>
    <t>Performance</t>
    <phoneticPr fontId="39" type="noConversion"/>
  </si>
  <si>
    <t>填写芯片封装性能</t>
    <phoneticPr fontId="39" type="noConversion"/>
  </si>
  <si>
    <t>Y</t>
    <phoneticPr fontId="39" type="noConversion"/>
  </si>
  <si>
    <t>N</t>
    <phoneticPr fontId="39" type="noConversion"/>
  </si>
  <si>
    <t>设计及硬件同事共同确认</t>
    <phoneticPr fontId="39" type="noConversion"/>
  </si>
  <si>
    <r>
      <rPr>
        <sz val="12"/>
        <rFont val="宋体"/>
        <family val="3"/>
        <charset val="134"/>
      </rPr>
      <t>对接</t>
    </r>
    <r>
      <rPr>
        <sz val="12"/>
        <rFont val="Arial"/>
        <family val="2"/>
      </rPr>
      <t>IO</t>
    </r>
    <r>
      <rPr>
        <sz val="12"/>
        <rFont val="宋体"/>
        <family val="3"/>
        <charset val="134"/>
      </rPr>
      <t>结构图</t>
    </r>
    <phoneticPr fontId="39" type="noConversion"/>
  </si>
  <si>
    <t>注1：硬线输入功能是指复用在该PAD的输入功能一直存在，不受功能复用寄存器控制，不影响其他复用功能工作；一般芯片上电解复位后会自动锁存管脚状态，之后PAD切换到其它功能，可以采用硬线输入。通常使用硬线输入的目的是为了节约芯片PAD数目。</t>
    <phoneticPr fontId="39" type="noConversion"/>
  </si>
  <si>
    <t>IO复用关系的自动化产生，难免顾虑不到一些特殊信号的要求。比如后端需要某些时钟信号DFT时可控；或者一些IP内部会控制一些IOM的信息，例如uicc管脚的下拉控制就来自于其ip内部；针对这些特殊需求，SI&amp;PKG_REQ专门提供《特殊信号处理》表单用于描述这些信息，以便脚本自动化完成这些功能；</t>
    <phoneticPr fontId="39" type="noConversion"/>
  </si>
  <si>
    <r>
      <t>表4描述的是DFT处理表格，在DFT模式下，即芯片在dft_mode=1时，fuction中描述的各时钟信号都可以从复用的PAD中获得，而不需软件切换复用功能；</t>
    </r>
    <r>
      <rPr>
        <sz val="12"/>
        <color rgb="FFFF0000"/>
        <rFont val="宋体"/>
        <family val="3"/>
        <charset val="134"/>
      </rPr>
      <t>fuctionN_name可以依据复用关系的复杂度，按照表格形式自由增加；</t>
    </r>
    <phoneticPr fontId="39" type="noConversion"/>
  </si>
  <si>
    <r>
      <t>表5描述的是IOM特殊处理表格，IOM列表示当功能切换时，IOM相应的属性（PD，PU，SL，CTL，DS等，不同IO属性可能略有不同）不受IOM_CTRL的相应bit控制,而是受IP的控制；</t>
    </r>
    <r>
      <rPr>
        <sz val="12"/>
        <color rgb="FFFF0000"/>
        <rFont val="宋体"/>
        <family val="3"/>
        <charset val="134"/>
      </rPr>
      <t>ReplceN_name 用来描述IP替换IOM相应属性的信号；ReplaceN_CTRL 为功能切换控制信号，此信号要于IOS_CTRL的fuc_ctrlN_n保持一致；RepalceN_name和RelpaceN_CTRL可按照复用关系的复杂度，按照表格形式组对增加，切记，每一行只能对应一种IOM属性；</t>
    </r>
    <phoneticPr fontId="39" type="noConversion"/>
  </si>
  <si>
    <t>《代码生成》表单实现了最终代码产生的方式及一些代码全局配置信息；</t>
    <phoneticPr fontId="39" type="noConversion"/>
  </si>
  <si>
    <t>目前已经不支持，所有人员共同使用IO Pad 表单</t>
    <phoneticPr fontId="39" type="noConversion"/>
  </si>
  <si>
    <r>
      <t>芯片集成IOS代码时分配的基地址，通常用于软件计算IOS内部寄存器的绝对地址；</t>
    </r>
    <r>
      <rPr>
        <sz val="12"/>
        <color rgb="FFFF0000"/>
        <rFont val="宋体"/>
        <family val="3"/>
        <charset val="134"/>
      </rPr>
      <t>绝对地址:abs_addr(IOS)=IOS基地址+ISO_(MF/AF/IOM)_CTRL基地址 +n*4'h4;其中IOS_MF_CTRL基地址为全0</t>
    </r>
    <r>
      <rPr>
        <sz val="12"/>
        <rFont val="宋体"/>
        <family val="3"/>
        <charset val="134"/>
      </rPr>
      <t>；</t>
    </r>
    <phoneticPr fontId="39" type="noConversion"/>
  </si>
  <si>
    <t>用于根据PAD的上电默认状态确定IOM_CTRL初值，具体初值需要根据PAD的类型确定，初值的推荐原则请参考表1；</t>
    <phoneticPr fontId="39" type="noConversion"/>
  </si>
  <si>
    <r>
      <t>定义所使用PAD的接口配置属性；使用IOM_CTRL寄存器进行控制；目前每种PAD最多只支持6种属性；属性按表格由上往下排，中间不允许有空白；</t>
    </r>
    <r>
      <rPr>
        <sz val="12"/>
        <color rgb="FFFF0000"/>
        <rFont val="宋体"/>
        <family val="3"/>
        <charset val="134"/>
      </rPr>
      <t>属性OE只能作为IOM_CTRL的最高位，且只作为DO信号的输出使能，高有效，对其它的方向功能无影响；</t>
    </r>
    <phoneticPr fontId="39" type="noConversion"/>
  </si>
  <si>
    <t>定义属性在IOM_CTRL的高bit起始位置；如果是1bit信号，高bit位置等于低bit位置；</t>
    <phoneticPr fontId="39" type="noConversion"/>
  </si>
  <si>
    <t>定义属性在IOM_CTRL的低bit起始位置；如果是1bit信号，低bit位置等于高bit位置；</t>
    <phoneticPr fontId="39" type="noConversion"/>
  </si>
  <si>
    <t>CLKIN_SLEEP</t>
  </si>
  <si>
    <t>IOM_CTRL1</t>
  </si>
  <si>
    <t>IOM_CTRL4</t>
  </si>
  <si>
    <t>IOM_CTRL5</t>
  </si>
  <si>
    <t>描述复用功能名称，对于使用MUX逻辑实现的功能要求小写。
1:多比特的信号要表示清楚信号的对应比特数，比如gpio0[1]:表示第0组GPIO的第1bit信号；
2：多比特信号的bit数一定要写全，不允许出现缺少情况，比如Sig name 只出现了gpio0[1]，而没有出现其它有关gpio0的bit描述，代码会以出现bit信息最高值表示信号的位宽，这样gpio0的位宽为2bit，gpio0[0]将会没有Drive或Load；
3：Sig name要尽量保持与内部ip代码接口信号一直，便于后续代码集成；
4：对于双向的Sig name，填写Sig_name时要去掉_out 或 _in的关键字母，工具会根据Sig name的双向特性，自动为信号添加***_out，***_in和***_oe等接口信号；</t>
    <phoneticPr fontId="39" type="noConversion"/>
  </si>
  <si>
    <t>pull-up control</t>
  </si>
  <si>
    <t>HISI4D</t>
  </si>
  <si>
    <t>1.8VD(P3)</t>
  </si>
  <si>
    <r>
      <t>2：IOS_CTRL的信息</t>
    </r>
    <r>
      <rPr>
        <sz val="12"/>
        <color rgb="FFFF0000"/>
        <rFont val="宋体"/>
        <family val="3"/>
        <charset val="134"/>
      </rPr>
      <t>非常重要。
To :</t>
    </r>
    <r>
      <rPr>
        <sz val="12"/>
        <rFont val="宋体"/>
        <family val="3"/>
        <charset val="134"/>
      </rPr>
      <t xml:space="preserve">硬件人员可以根据控制功能切换的IOS_CTRL寄存器差别，判断那些功能可以单独切换，那些功能是成组切换，以便单板设计上的灵活性；
</t>
    </r>
    <r>
      <rPr>
        <sz val="12"/>
        <color rgb="FFFF0000"/>
        <rFont val="宋体"/>
        <family val="3"/>
        <charset val="134"/>
      </rPr>
      <t>To :</t>
    </r>
    <r>
      <rPr>
        <sz val="12"/>
        <rFont val="宋体"/>
        <family val="3"/>
        <charset val="134"/>
      </rPr>
      <t xml:space="preserve">软件人员要保证每一个PAD只允许出现一种功能配置,即一个复用控制寄存器的相应bit为1，其它的bit都必须为0；
</t>
    </r>
    <r>
      <rPr>
        <sz val="12"/>
        <color rgb="FFFF0000"/>
        <rFont val="宋体"/>
        <family val="3"/>
        <charset val="134"/>
      </rPr>
      <t>To :</t>
    </r>
    <r>
      <rPr>
        <sz val="12"/>
        <color theme="1"/>
        <rFont val="宋体"/>
        <family val="3"/>
        <charset val="134"/>
      </rPr>
      <t>代码设计人员要保证控制寄存器的合理分配和控制信息(fuc_ctrlN_n)描述的正确性,具体要求要遵守表3描述；</t>
    </r>
    <phoneticPr fontId="39" type="noConversion"/>
  </si>
  <si>
    <t>IOM_CTRL12</t>
  </si>
  <si>
    <t>IOM_CTRL16</t>
  </si>
  <si>
    <t>GPIO_0_12</t>
  </si>
  <si>
    <t>gpio0[4]</t>
  </si>
  <si>
    <t>gpio0[5]</t>
  </si>
  <si>
    <t>gpio0[9]</t>
  </si>
  <si>
    <t>gpio0[21]</t>
  </si>
  <si>
    <t>gpio0[22]</t>
  </si>
  <si>
    <t>gpio0[23]</t>
  </si>
  <si>
    <t>gpio0[24]</t>
  </si>
  <si>
    <t xml:space="preserve"> </t>
    <phoneticPr fontId="38" type="noConversion"/>
  </si>
  <si>
    <t>时钟自动门控使能信号</t>
    <phoneticPr fontId="39" type="noConversion"/>
  </si>
  <si>
    <t>PDDUKW4DS_V_HI</t>
  </si>
  <si>
    <t>PDDUKW4D_V_HI</t>
  </si>
  <si>
    <t>OT</t>
    <phoneticPr fontId="39" type="noConversion"/>
  </si>
  <si>
    <t>OT</t>
  </si>
  <si>
    <t>IOM_CTRL2</t>
  </si>
  <si>
    <t>IOM_CTRL10</t>
  </si>
  <si>
    <r>
      <t>fuc_ctrlN_n</t>
    </r>
    <r>
      <rPr>
        <sz val="12"/>
        <rFont val="宋体"/>
        <family val="3"/>
        <charset val="134"/>
      </rPr>
      <t>表示为</t>
    </r>
    <r>
      <rPr>
        <sz val="12"/>
        <rFont val="Arial"/>
        <family val="2"/>
      </rPr>
      <t>fuc</t>
    </r>
    <r>
      <rPr>
        <sz val="12"/>
        <rFont val="宋体"/>
        <family val="3"/>
        <charset val="134"/>
      </rPr>
      <t>复用到</t>
    </r>
    <r>
      <rPr>
        <sz val="12"/>
        <rFont val="Arial"/>
        <family val="2"/>
      </rPr>
      <t>PAD</t>
    </r>
    <r>
      <rPr>
        <sz val="12"/>
        <rFont val="宋体"/>
        <family val="3"/>
        <charset val="134"/>
      </rPr>
      <t xml:space="preserve">上的功能控制；
</t>
    </r>
    <r>
      <rPr>
        <sz val="12"/>
        <rFont val="Arial"/>
        <family val="2"/>
      </rPr>
      <t>N:</t>
    </r>
    <r>
      <rPr>
        <sz val="12"/>
        <rFont val="宋体"/>
        <family val="3"/>
        <charset val="134"/>
      </rPr>
      <t>表示</t>
    </r>
    <r>
      <rPr>
        <sz val="12"/>
        <rFont val="Arial"/>
        <family val="2"/>
      </rPr>
      <t>PAD</t>
    </r>
    <r>
      <rPr>
        <sz val="12"/>
        <rFont val="宋体"/>
        <family val="3"/>
        <charset val="134"/>
      </rPr>
      <t>总数，</t>
    </r>
    <r>
      <rPr>
        <sz val="12"/>
        <rFont val="Arial"/>
        <family val="2"/>
      </rPr>
      <t>n:</t>
    </r>
    <r>
      <rPr>
        <sz val="12"/>
        <rFont val="宋体"/>
        <family val="3"/>
        <charset val="134"/>
      </rPr>
      <t>表示第几个</t>
    </r>
    <r>
      <rPr>
        <sz val="12"/>
        <rFont val="Arial"/>
        <family val="2"/>
      </rPr>
      <t>PAD</t>
    </r>
    <r>
      <rPr>
        <sz val="12"/>
        <rFont val="宋体"/>
        <family val="3"/>
        <charset val="134"/>
      </rPr>
      <t>数</t>
    </r>
    <r>
      <rPr>
        <sz val="12"/>
        <rFont val="Arial"/>
        <family val="2"/>
      </rPr>
      <t>;(N&gt;=1; 1</t>
    </r>
    <r>
      <rPr>
        <sz val="12"/>
        <rFont val="宋体"/>
        <family val="3"/>
        <charset val="134"/>
      </rPr>
      <t>≤</t>
    </r>
    <r>
      <rPr>
        <sz val="12"/>
        <rFont val="Arial"/>
        <family val="2"/>
      </rPr>
      <t>n</t>
    </r>
    <r>
      <rPr>
        <sz val="12"/>
        <rFont val="宋体"/>
        <family val="3"/>
        <charset val="134"/>
      </rPr>
      <t>≤</t>
    </r>
    <r>
      <rPr>
        <sz val="12"/>
        <rFont val="Arial"/>
        <family val="2"/>
      </rPr>
      <t>N)</t>
    </r>
    <r>
      <rPr>
        <sz val="12"/>
        <rFont val="宋体"/>
        <family val="3"/>
        <charset val="134"/>
      </rPr>
      <t>。当</t>
    </r>
    <r>
      <rPr>
        <sz val="12"/>
        <rFont val="Arial"/>
        <family val="2"/>
      </rPr>
      <t>N</t>
    </r>
    <r>
      <rPr>
        <sz val="12"/>
        <rFont val="宋体"/>
        <family val="3"/>
        <charset val="134"/>
      </rPr>
      <t>大于</t>
    </r>
    <r>
      <rPr>
        <sz val="12"/>
        <rFont val="Arial"/>
        <family val="2"/>
      </rPr>
      <t>1</t>
    </r>
    <r>
      <rPr>
        <sz val="12"/>
        <rFont val="宋体"/>
        <family val="3"/>
        <charset val="134"/>
      </rPr>
      <t>时，表示该功能复用到多处</t>
    </r>
    <r>
      <rPr>
        <sz val="12"/>
        <rFont val="Arial"/>
        <family val="2"/>
      </rPr>
      <t>PAD</t>
    </r>
    <r>
      <rPr>
        <sz val="12"/>
        <rFont val="宋体"/>
        <family val="3"/>
        <charset val="134"/>
      </rPr>
      <t>。当该功能含有输入功能（</t>
    </r>
    <r>
      <rPr>
        <sz val="12"/>
        <rFont val="Arial"/>
        <family val="2"/>
      </rPr>
      <t>B</t>
    </r>
    <r>
      <rPr>
        <sz val="12"/>
        <rFont val="宋体"/>
        <family val="3"/>
        <charset val="134"/>
      </rPr>
      <t>或</t>
    </r>
    <r>
      <rPr>
        <sz val="12"/>
        <rFont val="Arial"/>
        <family val="2"/>
      </rPr>
      <t>DI</t>
    </r>
    <r>
      <rPr>
        <sz val="12"/>
        <rFont val="宋体"/>
        <family val="3"/>
        <charset val="134"/>
      </rPr>
      <t>或</t>
    </r>
    <r>
      <rPr>
        <sz val="12"/>
        <rFont val="Arial"/>
        <family val="2"/>
      </rPr>
      <t>SI</t>
    </r>
    <r>
      <rPr>
        <sz val="12"/>
        <rFont val="宋体"/>
        <family val="3"/>
        <charset val="134"/>
      </rPr>
      <t>）时，输入功能来自不同</t>
    </r>
    <r>
      <rPr>
        <sz val="12"/>
        <rFont val="Arial"/>
        <family val="2"/>
      </rPr>
      <t>PAD</t>
    </r>
    <r>
      <rPr>
        <sz val="12"/>
        <rFont val="宋体"/>
        <family val="3"/>
        <charset val="134"/>
      </rPr>
      <t>的优先级</t>
    </r>
    <r>
      <rPr>
        <sz val="12"/>
        <rFont val="Arial"/>
        <family val="2"/>
      </rPr>
      <t>n</t>
    </r>
    <r>
      <rPr>
        <sz val="12"/>
        <rFont val="宋体"/>
        <family val="3"/>
        <charset val="134"/>
      </rPr>
      <t>值越小越高。</t>
    </r>
    <r>
      <rPr>
        <sz val="12"/>
        <rFont val="Arial"/>
        <family val="2"/>
      </rPr>
      <t>ios_m(a)f_ctrlX[x]</t>
    </r>
    <r>
      <rPr>
        <sz val="12"/>
        <rFont val="宋体"/>
        <family val="3"/>
        <charset val="134"/>
      </rPr>
      <t>表示</t>
    </r>
    <r>
      <rPr>
        <sz val="12"/>
        <rFont val="Arial"/>
        <family val="2"/>
      </rPr>
      <t>fuc_ctrlN_n</t>
    </r>
    <r>
      <rPr>
        <sz val="12"/>
        <rFont val="宋体"/>
        <family val="3"/>
        <charset val="134"/>
      </rPr>
      <t>是</t>
    </r>
    <r>
      <rPr>
        <sz val="12"/>
        <rFont val="Arial"/>
        <family val="2"/>
      </rPr>
      <t>ios_m(a)f_ctrlX</t>
    </r>
    <r>
      <rPr>
        <sz val="12"/>
        <rFont val="宋体"/>
        <family val="3"/>
        <charset val="134"/>
      </rPr>
      <t>寄存器的的第</t>
    </r>
    <r>
      <rPr>
        <sz val="12"/>
        <rFont val="Arial"/>
        <family val="2"/>
      </rPr>
      <t>x</t>
    </r>
    <r>
      <rPr>
        <sz val="12"/>
        <rFont val="宋体"/>
        <family val="3"/>
        <charset val="134"/>
      </rPr>
      <t>位；</t>
    </r>
    <r>
      <rPr>
        <sz val="12"/>
        <rFont val="Arial"/>
        <family val="2"/>
      </rPr>
      <t>(0</t>
    </r>
    <r>
      <rPr>
        <sz val="12"/>
        <rFont val="宋体"/>
        <family val="3"/>
        <charset val="134"/>
      </rPr>
      <t>≤</t>
    </r>
    <r>
      <rPr>
        <sz val="12"/>
        <rFont val="Arial"/>
        <family val="2"/>
      </rPr>
      <t>x</t>
    </r>
    <r>
      <rPr>
        <sz val="12"/>
        <rFont val="宋体"/>
        <family val="3"/>
        <charset val="134"/>
      </rPr>
      <t>≤</t>
    </r>
    <r>
      <rPr>
        <sz val="12"/>
        <rFont val="Arial"/>
        <family val="2"/>
      </rPr>
      <t>31)</t>
    </r>
    <r>
      <rPr>
        <sz val="12"/>
        <rFont val="宋体"/>
        <family val="3"/>
        <charset val="134"/>
      </rPr>
      <t>；</t>
    </r>
    <r>
      <rPr>
        <sz val="12"/>
        <rFont val="Arial"/>
        <family val="2"/>
      </rPr>
      <t>Dv</t>
    </r>
    <r>
      <rPr>
        <sz val="12"/>
        <rFont val="宋体"/>
        <family val="3"/>
        <charset val="134"/>
      </rPr>
      <t>表示该功能（</t>
    </r>
    <r>
      <rPr>
        <sz val="12"/>
        <rFont val="Arial"/>
        <family val="2"/>
      </rPr>
      <t>B</t>
    </r>
    <r>
      <rPr>
        <sz val="12"/>
        <rFont val="宋体"/>
        <family val="3"/>
        <charset val="134"/>
      </rPr>
      <t>或</t>
    </r>
    <r>
      <rPr>
        <sz val="12"/>
        <rFont val="Arial"/>
        <family val="2"/>
      </rPr>
      <t>DI</t>
    </r>
    <r>
      <rPr>
        <sz val="12"/>
        <rFont val="宋体"/>
        <family val="3"/>
        <charset val="134"/>
      </rPr>
      <t>或</t>
    </r>
    <r>
      <rPr>
        <sz val="12"/>
        <rFont val="Arial"/>
        <family val="2"/>
      </rPr>
      <t>SI</t>
    </r>
    <r>
      <rPr>
        <sz val="12"/>
        <rFont val="宋体"/>
        <family val="3"/>
        <charset val="134"/>
      </rPr>
      <t>）在该</t>
    </r>
    <r>
      <rPr>
        <sz val="12"/>
        <rFont val="Arial"/>
        <family val="2"/>
      </rPr>
      <t>PAD</t>
    </r>
    <r>
      <rPr>
        <sz val="12"/>
        <rFont val="宋体"/>
        <family val="3"/>
        <charset val="134"/>
      </rPr>
      <t>不复用出去时，该功能信号的输入使用的默认值，</t>
    </r>
    <r>
      <rPr>
        <sz val="12"/>
        <rFont val="Arial"/>
        <family val="2"/>
      </rPr>
      <t>v</t>
    </r>
    <r>
      <rPr>
        <sz val="12"/>
        <rFont val="宋体"/>
        <family val="3"/>
        <charset val="134"/>
      </rPr>
      <t>取值为</t>
    </r>
    <r>
      <rPr>
        <sz val="12"/>
        <rFont val="Arial"/>
        <family val="2"/>
      </rPr>
      <t>0</t>
    </r>
    <r>
      <rPr>
        <sz val="12"/>
        <rFont val="宋体"/>
        <family val="3"/>
        <charset val="134"/>
      </rPr>
      <t>或者</t>
    </r>
    <r>
      <rPr>
        <sz val="12"/>
        <rFont val="Arial"/>
        <family val="2"/>
      </rPr>
      <t>1</t>
    </r>
    <r>
      <rPr>
        <sz val="12"/>
        <rFont val="宋体"/>
        <family val="3"/>
        <charset val="134"/>
      </rPr>
      <t xml:space="preserve">；
</t>
    </r>
    <r>
      <rPr>
        <sz val="12"/>
        <color rgb="FFFF0000"/>
        <rFont val="宋体"/>
        <family val="3"/>
        <charset val="134"/>
      </rPr>
      <t>使用方法及注意事项：
一、切记</t>
    </r>
    <r>
      <rPr>
        <sz val="12"/>
        <color rgb="FFFF0000"/>
        <rFont val="Arial"/>
        <family val="2"/>
      </rPr>
      <t>N</t>
    </r>
    <r>
      <rPr>
        <sz val="12"/>
        <color rgb="FFFF0000"/>
        <rFont val="宋体"/>
        <family val="3"/>
        <charset val="134"/>
      </rPr>
      <t>和</t>
    </r>
    <r>
      <rPr>
        <sz val="12"/>
        <color rgb="FFFF0000"/>
        <rFont val="Arial"/>
        <family val="2"/>
      </rPr>
      <t>n</t>
    </r>
    <r>
      <rPr>
        <sz val="12"/>
        <color rgb="FFFF0000"/>
        <rFont val="宋体"/>
        <family val="3"/>
        <charset val="134"/>
      </rPr>
      <t>要全面匹配</t>
    </r>
    <r>
      <rPr>
        <sz val="12"/>
        <color rgb="FFFF0000"/>
        <rFont val="Arial"/>
        <family val="2"/>
      </rPr>
      <t xml:space="preserve"> </t>
    </r>
    <r>
      <rPr>
        <sz val="12"/>
        <color rgb="FFFF0000"/>
        <rFont val="宋体"/>
        <family val="3"/>
        <charset val="134"/>
      </rPr>
      <t>，比如</t>
    </r>
    <r>
      <rPr>
        <sz val="12"/>
        <color rgb="FFFF0000"/>
        <rFont val="Arial"/>
        <family val="2"/>
      </rPr>
      <t>N=7</t>
    </r>
    <r>
      <rPr>
        <sz val="12"/>
        <color rgb="FFFF0000"/>
        <rFont val="宋体"/>
        <family val="3"/>
        <charset val="134"/>
      </rPr>
      <t>，那么</t>
    </r>
    <r>
      <rPr>
        <sz val="12"/>
        <color rgb="FFFF0000"/>
        <rFont val="Arial"/>
        <family val="2"/>
      </rPr>
      <t>n</t>
    </r>
    <r>
      <rPr>
        <sz val="12"/>
        <color rgb="FFFF0000"/>
        <rFont val="宋体"/>
        <family val="3"/>
        <charset val="134"/>
      </rPr>
      <t>的取值必须有</t>
    </r>
    <r>
      <rPr>
        <sz val="12"/>
        <color rgb="FFFF0000"/>
        <rFont val="Arial"/>
        <family val="2"/>
      </rPr>
      <t xml:space="preserve"> 1</t>
    </r>
    <r>
      <rPr>
        <sz val="12"/>
        <color rgb="FFFF0000"/>
        <rFont val="宋体"/>
        <family val="3"/>
        <charset val="134"/>
      </rPr>
      <t>、</t>
    </r>
    <r>
      <rPr>
        <sz val="12"/>
        <color rgb="FFFF0000"/>
        <rFont val="Arial"/>
        <family val="2"/>
      </rPr>
      <t>2</t>
    </r>
    <r>
      <rPr>
        <sz val="12"/>
        <color rgb="FFFF0000"/>
        <rFont val="宋体"/>
        <family val="3"/>
        <charset val="134"/>
      </rPr>
      <t>、</t>
    </r>
    <r>
      <rPr>
        <sz val="12"/>
        <color rgb="FFFF0000"/>
        <rFont val="Arial"/>
        <family val="2"/>
      </rPr>
      <t>3</t>
    </r>
    <r>
      <rPr>
        <sz val="12"/>
        <color rgb="FFFF0000"/>
        <rFont val="宋体"/>
        <family val="3"/>
        <charset val="134"/>
      </rPr>
      <t>、</t>
    </r>
    <r>
      <rPr>
        <sz val="12"/>
        <color rgb="FFFF0000"/>
        <rFont val="Arial"/>
        <family val="2"/>
      </rPr>
      <t>4</t>
    </r>
    <r>
      <rPr>
        <sz val="12"/>
        <color rgb="FFFF0000"/>
        <rFont val="宋体"/>
        <family val="3"/>
        <charset val="134"/>
      </rPr>
      <t>、</t>
    </r>
    <r>
      <rPr>
        <sz val="12"/>
        <color rgb="FFFF0000"/>
        <rFont val="Arial"/>
        <family val="2"/>
      </rPr>
      <t>5</t>
    </r>
    <r>
      <rPr>
        <sz val="12"/>
        <color rgb="FFFF0000"/>
        <rFont val="宋体"/>
        <family val="3"/>
        <charset val="134"/>
      </rPr>
      <t>、</t>
    </r>
    <r>
      <rPr>
        <sz val="12"/>
        <color rgb="FFFF0000"/>
        <rFont val="Arial"/>
        <family val="2"/>
      </rPr>
      <t>6</t>
    </r>
    <r>
      <rPr>
        <sz val="12"/>
        <color rgb="FFFF0000"/>
        <rFont val="宋体"/>
        <family val="3"/>
        <charset val="134"/>
      </rPr>
      <t>、</t>
    </r>
    <r>
      <rPr>
        <sz val="12"/>
        <color rgb="FFFF0000"/>
        <rFont val="Arial"/>
        <family val="2"/>
      </rPr>
      <t>7</t>
    </r>
    <r>
      <rPr>
        <sz val="12"/>
        <color rgb="FFFF0000"/>
        <rFont val="宋体"/>
        <family val="3"/>
        <charset val="134"/>
      </rPr>
      <t>；且必须唯一，不能重复；对与</t>
    </r>
    <r>
      <rPr>
        <sz val="12"/>
        <color rgb="FFFF0000"/>
        <rFont val="Arial"/>
        <family val="2"/>
      </rPr>
      <t xml:space="preserve">Main Function </t>
    </r>
    <r>
      <rPr>
        <sz val="12"/>
        <color rgb="FFFF0000"/>
        <rFont val="宋体"/>
        <family val="3"/>
        <charset val="134"/>
      </rPr>
      <t>要分配</t>
    </r>
    <r>
      <rPr>
        <sz val="12"/>
        <color rgb="FFFF0000"/>
        <rFont val="Arial"/>
        <family val="2"/>
      </rPr>
      <t>ios_mf_ctrl</t>
    </r>
    <r>
      <rPr>
        <sz val="12"/>
        <color rgb="FFFF0000"/>
        <rFont val="宋体"/>
        <family val="3"/>
        <charset val="134"/>
      </rPr>
      <t>（默认值全</t>
    </r>
    <r>
      <rPr>
        <sz val="12"/>
        <color rgb="FFFF0000"/>
        <rFont val="Arial"/>
        <family val="2"/>
      </rPr>
      <t>1</t>
    </r>
    <r>
      <rPr>
        <sz val="12"/>
        <color rgb="FFFF0000"/>
        <rFont val="宋体"/>
        <family val="3"/>
        <charset val="134"/>
      </rPr>
      <t>）控制寄存器，对与</t>
    </r>
    <r>
      <rPr>
        <sz val="12"/>
        <color rgb="FFFF0000"/>
        <rFont val="Arial"/>
        <family val="2"/>
      </rPr>
      <t xml:space="preserve">Alternative function </t>
    </r>
    <r>
      <rPr>
        <sz val="12"/>
        <color rgb="FFFF0000"/>
        <rFont val="宋体"/>
        <family val="3"/>
        <charset val="134"/>
      </rPr>
      <t>要分配</t>
    </r>
    <r>
      <rPr>
        <sz val="12"/>
        <color rgb="FFFF0000"/>
        <rFont val="Arial"/>
        <family val="2"/>
      </rPr>
      <t>ios_af_ctrl</t>
    </r>
    <r>
      <rPr>
        <sz val="12"/>
        <color rgb="FFFF0000"/>
        <rFont val="宋体"/>
        <family val="3"/>
        <charset val="134"/>
      </rPr>
      <t>（默认值全</t>
    </r>
    <r>
      <rPr>
        <sz val="12"/>
        <color rgb="FFFF0000"/>
        <rFont val="Arial"/>
        <family val="2"/>
      </rPr>
      <t>0</t>
    </r>
    <r>
      <rPr>
        <sz val="12"/>
        <color rgb="FFFF0000"/>
        <rFont val="宋体"/>
        <family val="3"/>
        <charset val="134"/>
      </rPr>
      <t>）控制寄存器；
二、</t>
    </r>
    <r>
      <rPr>
        <sz val="12"/>
        <color rgb="FFFF0000"/>
        <rFont val="Arial"/>
        <family val="2"/>
      </rPr>
      <t>fuc_ctrlN_n</t>
    </r>
    <r>
      <rPr>
        <sz val="12"/>
        <color rgb="FFFF0000"/>
        <rFont val="宋体"/>
        <family val="3"/>
        <charset val="134"/>
      </rPr>
      <t>的描述必须是唯一的，对于成组功能的切换，允许不同的</t>
    </r>
    <r>
      <rPr>
        <sz val="12"/>
        <color rgb="FFFF0000"/>
        <rFont val="Arial"/>
        <family val="2"/>
      </rPr>
      <t>fuc_ctrlN_n</t>
    </r>
    <r>
      <rPr>
        <sz val="12"/>
        <color rgb="FFFF0000"/>
        <rFont val="宋体"/>
        <family val="3"/>
        <charset val="134"/>
      </rPr>
      <t>对应相同的控制寄存器</t>
    </r>
    <r>
      <rPr>
        <sz val="12"/>
        <color rgb="FFFF0000"/>
        <rFont val="Arial"/>
        <family val="2"/>
      </rPr>
      <t>ios_m(a)f_ctrlX[x],</t>
    </r>
    <r>
      <rPr>
        <sz val="12"/>
        <color rgb="FFFF0000"/>
        <rFont val="宋体"/>
        <family val="3"/>
        <charset val="134"/>
      </rPr>
      <t>推荐</t>
    </r>
    <r>
      <rPr>
        <sz val="12"/>
        <color rgb="FFFF0000"/>
        <rFont val="Arial"/>
        <family val="2"/>
      </rPr>
      <t>fuc</t>
    </r>
    <r>
      <rPr>
        <sz val="12"/>
        <color rgb="FFFF0000"/>
        <rFont val="宋体"/>
        <family val="3"/>
        <charset val="134"/>
      </rPr>
      <t>使用功能名称；
三、</t>
    </r>
    <r>
      <rPr>
        <sz val="12"/>
        <color rgb="FFFF0000"/>
        <rFont val="Arial"/>
        <family val="2"/>
      </rPr>
      <t>Dv</t>
    </r>
    <r>
      <rPr>
        <sz val="12"/>
        <color rgb="FFFF0000"/>
        <rFont val="宋体"/>
        <family val="3"/>
        <charset val="134"/>
      </rPr>
      <t>的值要重视，</t>
    </r>
    <r>
      <rPr>
        <sz val="12"/>
        <color rgb="FFFF0000"/>
        <rFont val="Arial"/>
        <family val="2"/>
      </rPr>
      <t>v</t>
    </r>
    <r>
      <rPr>
        <sz val="12"/>
        <color rgb="FFFF0000"/>
        <rFont val="宋体"/>
        <family val="3"/>
        <charset val="134"/>
      </rPr>
      <t>的取值</t>
    </r>
    <r>
      <rPr>
        <sz val="12"/>
        <color rgb="FFFF0000"/>
        <rFont val="Arial"/>
        <family val="2"/>
      </rPr>
      <t>0</t>
    </r>
    <r>
      <rPr>
        <sz val="12"/>
        <color rgb="FFFF0000"/>
        <rFont val="宋体"/>
        <family val="3"/>
        <charset val="134"/>
      </rPr>
      <t>或</t>
    </r>
    <r>
      <rPr>
        <sz val="12"/>
        <color rgb="FFFF0000"/>
        <rFont val="Arial"/>
        <family val="2"/>
      </rPr>
      <t>1</t>
    </r>
    <r>
      <rPr>
        <sz val="12"/>
        <color rgb="FFFF0000"/>
        <rFont val="宋体"/>
        <family val="3"/>
        <charset val="134"/>
      </rPr>
      <t>要与具体</t>
    </r>
    <r>
      <rPr>
        <sz val="12"/>
        <color rgb="FFFF0000"/>
        <rFont val="Arial"/>
        <family val="2"/>
      </rPr>
      <t>IP</t>
    </r>
    <r>
      <rPr>
        <sz val="12"/>
        <color rgb="FFFF0000"/>
        <rFont val="宋体"/>
        <family val="3"/>
        <charset val="134"/>
      </rPr>
      <t>的责任人确认清楚，防止选择不正确的值对芯片造成不可预知的问题（尤其是输入时钟信号，时钟</t>
    </r>
    <r>
      <rPr>
        <sz val="12"/>
        <color rgb="FFFF0000"/>
        <rFont val="Arial"/>
        <family val="2"/>
      </rPr>
      <t>Gating</t>
    </r>
    <r>
      <rPr>
        <sz val="12"/>
        <color rgb="FFFF0000"/>
        <rFont val="宋体"/>
        <family val="3"/>
        <charset val="134"/>
      </rPr>
      <t>电路和时钟无毛刺切换电路的组合会引入</t>
    </r>
    <r>
      <rPr>
        <sz val="12"/>
        <color rgb="FFFF0000"/>
        <rFont val="Arial"/>
        <family val="2"/>
      </rPr>
      <t>Latch+MUX</t>
    </r>
    <r>
      <rPr>
        <sz val="12"/>
        <color rgb="FFFF0000"/>
        <rFont val="宋体"/>
        <family val="3"/>
        <charset val="134"/>
      </rPr>
      <t>的逻辑，而这种逻辑会在</t>
    </r>
    <r>
      <rPr>
        <sz val="12"/>
        <color rgb="FFFF0000"/>
        <rFont val="Arial"/>
        <family val="2"/>
      </rPr>
      <t>Dv</t>
    </r>
    <r>
      <rPr>
        <sz val="12"/>
        <color rgb="FFFF0000"/>
        <rFont val="宋体"/>
        <family val="3"/>
        <charset val="134"/>
      </rPr>
      <t>选值的不合理情况下，影响正常时钟的使用）；
四、结合</t>
    </r>
    <r>
      <rPr>
        <sz val="12"/>
        <color rgb="FFFF0000"/>
        <rFont val="Arial"/>
        <family val="2"/>
      </rPr>
      <t>n</t>
    </r>
    <r>
      <rPr>
        <sz val="12"/>
        <color rgb="FFFF0000"/>
        <rFont val="宋体"/>
        <family val="3"/>
        <charset val="134"/>
      </rPr>
      <t>值与</t>
    </r>
    <r>
      <rPr>
        <sz val="12"/>
        <color rgb="FFFF0000"/>
        <rFont val="Arial"/>
        <family val="2"/>
      </rPr>
      <t>IOS_(M/A)F_CTRL</t>
    </r>
    <r>
      <rPr>
        <sz val="12"/>
        <color rgb="FFFF0000"/>
        <rFont val="宋体"/>
        <family val="3"/>
        <charset val="134"/>
      </rPr>
      <t>的基地址可推算出相关寄存器的绝对值</t>
    </r>
    <r>
      <rPr>
        <sz val="12"/>
        <color rgb="FFFF0000"/>
        <rFont val="Arial"/>
        <family val="2"/>
      </rPr>
      <t>: addr(IOS_(M/A)F_CTRLn)=IOS_(M/A)F_CTRL</t>
    </r>
    <r>
      <rPr>
        <sz val="12"/>
        <color rgb="FFFF0000"/>
        <rFont val="宋体"/>
        <family val="3"/>
        <charset val="134"/>
      </rPr>
      <t>基地址</t>
    </r>
    <r>
      <rPr>
        <sz val="12"/>
        <color rgb="FFFF0000"/>
        <rFont val="Arial"/>
        <family val="2"/>
      </rPr>
      <t>+n*4'h4,(n=0,1</t>
    </r>
    <r>
      <rPr>
        <sz val="12"/>
        <color rgb="FFFF0000"/>
        <rFont val="宋体"/>
        <family val="3"/>
        <charset val="134"/>
      </rPr>
      <t>…</t>
    </r>
    <r>
      <rPr>
        <sz val="12"/>
        <color rgb="FFFF0000"/>
        <rFont val="Arial"/>
        <family val="2"/>
      </rPr>
      <t>)</t>
    </r>
    <r>
      <rPr>
        <sz val="12"/>
        <color rgb="FFFF0000"/>
        <rFont val="宋体"/>
        <family val="3"/>
        <charset val="134"/>
      </rPr>
      <t>；</t>
    </r>
    <r>
      <rPr>
        <sz val="12"/>
        <color rgb="FFFF0000"/>
        <rFont val="Arial"/>
        <family val="2"/>
      </rPr>
      <t>IOS_MF_CTRL</t>
    </r>
    <r>
      <rPr>
        <sz val="12"/>
        <color rgb="FFFF0000"/>
        <rFont val="宋体"/>
        <family val="3"/>
        <charset val="134"/>
      </rPr>
      <t>基地址为全</t>
    </r>
    <r>
      <rPr>
        <sz val="12"/>
        <color rgb="FFFF0000"/>
        <rFont val="Arial"/>
        <family val="2"/>
      </rPr>
      <t>0</t>
    </r>
    <r>
      <rPr>
        <sz val="12"/>
        <color rgb="FFFF0000"/>
        <rFont val="宋体"/>
        <family val="3"/>
        <charset val="134"/>
      </rPr>
      <t>；</t>
    </r>
    <r>
      <rPr>
        <sz val="12"/>
        <rFont val="Arial"/>
        <family val="2"/>
      </rPr>
      <t xml:space="preserve">
</t>
    </r>
    <phoneticPr fontId="39" type="noConversion"/>
  </si>
  <si>
    <t>fuc_ctrlN_n:ios_m(a)f_ctrlX[x]:Dv</t>
    <phoneticPr fontId="39" type="noConversion"/>
  </si>
  <si>
    <t>Alternative function (1)</t>
  </si>
  <si>
    <t>Alternative function (2)</t>
  </si>
  <si>
    <t>Alternative function (3)</t>
  </si>
  <si>
    <r>
      <rPr>
        <sz val="12"/>
        <color rgb="FFFF0000"/>
        <rFont val="Arial"/>
        <family val="2"/>
      </rPr>
      <t>Main Function</t>
    </r>
    <r>
      <rPr>
        <sz val="12"/>
        <color rgb="FFFF0000"/>
        <rFont val="宋体"/>
        <family val="3"/>
        <charset val="134"/>
      </rPr>
      <t>的方向可以是</t>
    </r>
    <r>
      <rPr>
        <sz val="12"/>
        <color rgb="FFFF0000"/>
        <rFont val="Arial"/>
        <family val="2"/>
      </rPr>
      <t>OZ/DO</t>
    </r>
    <r>
      <rPr>
        <sz val="12"/>
        <rFont val="宋体"/>
        <family val="3"/>
        <charset val="134"/>
      </rPr>
      <t>；对与</t>
    </r>
    <r>
      <rPr>
        <sz val="12"/>
        <rFont val="Arial"/>
        <family val="2"/>
      </rPr>
      <t>OZ</t>
    </r>
    <r>
      <rPr>
        <sz val="12"/>
        <rFont val="宋体"/>
        <family val="3"/>
        <charset val="134"/>
      </rPr>
      <t>功能，</t>
    </r>
    <r>
      <rPr>
        <sz val="12"/>
        <rFont val="Arial"/>
        <family val="2"/>
      </rPr>
      <t>OE</t>
    </r>
    <r>
      <rPr>
        <sz val="12"/>
        <rFont val="宋体"/>
        <family val="3"/>
        <charset val="134"/>
      </rPr>
      <t>控制来自</t>
    </r>
    <r>
      <rPr>
        <sz val="12"/>
        <rFont val="Arial"/>
        <family val="2"/>
      </rPr>
      <t>IP</t>
    </r>
    <r>
      <rPr>
        <sz val="12"/>
        <rFont val="宋体"/>
        <family val="3"/>
        <charset val="134"/>
      </rPr>
      <t>内部，对与</t>
    </r>
    <r>
      <rPr>
        <sz val="12"/>
        <rFont val="Arial"/>
        <family val="2"/>
      </rPr>
      <t>DO</t>
    </r>
    <r>
      <rPr>
        <sz val="12"/>
        <rFont val="宋体"/>
        <family val="3"/>
        <charset val="134"/>
      </rPr>
      <t>，</t>
    </r>
    <r>
      <rPr>
        <sz val="12"/>
        <rFont val="Arial"/>
        <family val="2"/>
      </rPr>
      <t>OE</t>
    </r>
    <r>
      <rPr>
        <sz val="12"/>
        <rFont val="宋体"/>
        <family val="3"/>
        <charset val="134"/>
      </rPr>
      <t>控制受控与</t>
    </r>
    <r>
      <rPr>
        <sz val="12"/>
        <rFont val="Arial"/>
        <family val="2"/>
      </rPr>
      <t>IOM</t>
    </r>
    <r>
      <rPr>
        <sz val="12"/>
        <rFont val="宋体"/>
        <family val="3"/>
        <charset val="134"/>
      </rPr>
      <t>控制信息的</t>
    </r>
    <r>
      <rPr>
        <sz val="12"/>
        <rFont val="Arial"/>
        <family val="2"/>
      </rPr>
      <t xml:space="preserve">OE bit </t>
    </r>
    <r>
      <rPr>
        <sz val="12"/>
        <rFont val="宋体"/>
        <family val="3"/>
        <charset val="134"/>
      </rPr>
      <t>这里要求，复位状态</t>
    </r>
    <r>
      <rPr>
        <sz val="12"/>
        <rFont val="Arial"/>
        <family val="2"/>
      </rPr>
      <t>OZ/DO</t>
    </r>
    <r>
      <rPr>
        <sz val="12"/>
        <rFont val="宋体"/>
        <family val="3"/>
        <charset val="134"/>
      </rPr>
      <t>的功能</t>
    </r>
    <r>
      <rPr>
        <sz val="12"/>
        <rFont val="Arial"/>
        <family val="2"/>
      </rPr>
      <t>OE</t>
    </r>
    <r>
      <rPr>
        <sz val="12"/>
        <rFont val="宋体"/>
        <family val="3"/>
        <charset val="134"/>
      </rPr>
      <t>控制信号为</t>
    </r>
    <r>
      <rPr>
        <sz val="12"/>
        <rFont val="Arial"/>
        <family val="2"/>
      </rPr>
      <t>0</t>
    </r>
    <phoneticPr fontId="39" type="noConversion"/>
  </si>
  <si>
    <r>
      <t>OE=0</t>
    </r>
    <r>
      <rPr>
        <sz val="12"/>
        <rFont val="宋体"/>
        <family val="3"/>
        <charset val="134"/>
      </rPr>
      <t>，不使能</t>
    </r>
    <r>
      <rPr>
        <sz val="12"/>
        <rFont val="Arial"/>
        <family val="2"/>
      </rPr>
      <t>PAD</t>
    </r>
    <r>
      <rPr>
        <sz val="12"/>
        <rFont val="宋体"/>
        <family val="3"/>
        <charset val="134"/>
      </rPr>
      <t>上、下拉，管脚采用默认驱动值（与</t>
    </r>
    <r>
      <rPr>
        <sz val="12"/>
        <rFont val="Arial"/>
        <family val="2"/>
      </rPr>
      <t>IX</t>
    </r>
    <r>
      <rPr>
        <sz val="12"/>
        <rFont val="宋体"/>
        <family val="3"/>
        <charset val="134"/>
      </rPr>
      <t>需求相同）</t>
    </r>
    <phoneticPr fontId="39" type="noConversion"/>
  </si>
  <si>
    <t>internal PAD Pull-Down/Pull-Up disable , PAD  in input State</t>
    <phoneticPr fontId="39" type="noConversion"/>
  </si>
  <si>
    <t>mmc1_data[1]</t>
  </si>
  <si>
    <t>mmc1_data[2]</t>
  </si>
  <si>
    <t>mmc1_data[3]</t>
  </si>
  <si>
    <t xml:space="preserve">在《代码生成》表单中，新增了输入门控控制的配置选项，可用于PAD的低功耗，实现对PAD接收Buffer的自动控制；
输入门控控制可选下拉菜单：是、否；
代码实现及控制方式：
当选择"是"时，每个PAD的IOM_CTRL(NA_CTRL无此功能)会增加1bit控制信息，bit位置位于各Foundry IO的OE比特位置加1；此信号的名称为EG，会作为pad_fuc_cfg信号的最高bit；
假设PAD有接收buff使能控制信号E（如Dolphin IO的接收buffer使能信号E），高有效； 那么顶层集成建议E=(~EG)|(~OE);OE：IO的输出使能控制信号，来自IOS的pad_fuc_oe，高有效;
当EG=0时，管脚的接收buff 始终为打开模式；
当EG=1时，管脚的接收buff 受OE的自动控制，OE为高（输出模式），关闭接收buff，反之，则打开；
当选择"否"时，不会增加该控制bit；
</t>
    <phoneticPr fontId="39" type="noConversion"/>
  </si>
  <si>
    <t>GPIO_0_16</t>
  </si>
  <si>
    <t>GPIO_0_17</t>
  </si>
  <si>
    <t>GPIO_0_18</t>
  </si>
  <si>
    <t>GPIO_0_19</t>
  </si>
  <si>
    <t>GPIO_0_21</t>
  </si>
  <si>
    <t>GPIO_0_22</t>
  </si>
  <si>
    <t>GPIO_0_23</t>
  </si>
  <si>
    <t>GPIO_0_24</t>
  </si>
  <si>
    <t>gpio0[16]</t>
  </si>
  <si>
    <t>gpio0[17]</t>
  </si>
  <si>
    <t>gpio0[18]</t>
  </si>
  <si>
    <t>gpio0[19]</t>
  </si>
  <si>
    <t>gpio0[20]</t>
  </si>
  <si>
    <t>IOM_CTRL3</t>
  </si>
  <si>
    <t>usim0_ctrl1_1:ios_mf_ctrl1[0]:D0</t>
  </si>
  <si>
    <t>12'hD00</t>
    <phoneticPr fontId="3" type="noConversion"/>
  </si>
  <si>
    <t>0x90010000</t>
    <phoneticPr fontId="3" type="noConversion"/>
  </si>
  <si>
    <t>GPIO_0_11</t>
  </si>
  <si>
    <t>IOS_ADDR_WIDTH{1'b1}-4'h4</t>
    <phoneticPr fontId="39" type="noConversion"/>
  </si>
  <si>
    <r>
      <t>1</t>
    </r>
    <r>
      <rPr>
        <sz val="12"/>
        <rFont val="宋体"/>
        <family val="3"/>
        <charset val="134"/>
      </rPr>
      <t>011 1111 1111</t>
    </r>
    <phoneticPr fontId="39" type="noConversion"/>
  </si>
  <si>
    <r>
      <t>1</t>
    </r>
    <r>
      <rPr>
        <sz val="12"/>
        <rFont val="宋体"/>
        <family val="3"/>
        <charset val="134"/>
      </rPr>
      <t>100 0000 0000</t>
    </r>
    <phoneticPr fontId="39" type="noConversion"/>
  </si>
  <si>
    <t>N</t>
  </si>
  <si>
    <t>12'hC70</t>
    <phoneticPr fontId="3" type="noConversion"/>
  </si>
  <si>
    <t>0x90010000</t>
    <phoneticPr fontId="3" type="noConversion"/>
  </si>
  <si>
    <r>
      <t xml:space="preserve">王润泽 </t>
    </r>
    <r>
      <rPr>
        <sz val="12"/>
        <rFont val="宋体"/>
        <family val="3"/>
        <charset val="134"/>
      </rPr>
      <t>00126104</t>
    </r>
    <phoneticPr fontId="3" type="noConversion"/>
  </si>
  <si>
    <t>SDIO、MMC1_FB_CLK挪至ao；GSBI合入GPIO</t>
    <phoneticPr fontId="3" type="noConversion"/>
  </si>
  <si>
    <t>P3</t>
    <phoneticPr fontId="3" type="noConversion"/>
  </si>
  <si>
    <t>ABB</t>
    <phoneticPr fontId="3" type="noConversion"/>
  </si>
  <si>
    <t>1.8V</t>
    <phoneticPr fontId="3" type="noConversion"/>
  </si>
  <si>
    <r>
      <t>1</t>
    </r>
    <r>
      <rPr>
        <sz val="12"/>
        <rFont val="宋体"/>
        <family val="3"/>
        <charset val="134"/>
      </rPr>
      <t>.8V</t>
    </r>
    <phoneticPr fontId="3" type="noConversion"/>
  </si>
  <si>
    <t>1.3V/1.8V</t>
    <phoneticPr fontId="3" type="noConversion"/>
  </si>
  <si>
    <t>ANTPA_SEL[30:28]</t>
    <phoneticPr fontId="3" type="noConversion"/>
  </si>
  <si>
    <r>
      <t>WIFI</t>
    </r>
    <r>
      <rPr>
        <sz val="10"/>
        <color indexed="8"/>
        <rFont val="宋体"/>
        <family val="3"/>
        <charset val="134"/>
      </rPr>
      <t>共存（</t>
    </r>
    <r>
      <rPr>
        <sz val="10"/>
        <color indexed="8"/>
        <rFont val="Arial"/>
        <family val="2"/>
      </rPr>
      <t>6</t>
    </r>
    <r>
      <rPr>
        <sz val="10"/>
        <color indexed="8"/>
        <rFont val="宋体"/>
        <family val="3"/>
        <charset val="134"/>
      </rPr>
      <t>）</t>
    </r>
    <phoneticPr fontId="3" type="noConversion"/>
  </si>
  <si>
    <t>CH0_APT_PDM(1)</t>
    <phoneticPr fontId="3" type="noConversion"/>
  </si>
  <si>
    <t>GPIO(8)</t>
    <phoneticPr fontId="3" type="noConversion"/>
  </si>
  <si>
    <t>CH1_RF(5)/ET_MODE</t>
    <phoneticPr fontId="3" type="noConversion"/>
  </si>
  <si>
    <t>GPIO(5)</t>
    <phoneticPr fontId="3" type="noConversion"/>
  </si>
  <si>
    <t>NAND(22)</t>
    <phoneticPr fontId="3" type="noConversion"/>
  </si>
  <si>
    <t>GPIO(6)</t>
    <phoneticPr fontId="3" type="noConversion"/>
  </si>
  <si>
    <t>PCIE</t>
    <phoneticPr fontId="3" type="noConversion"/>
  </si>
  <si>
    <t>SSP0(5)</t>
    <phoneticPr fontId="3" type="noConversion"/>
  </si>
  <si>
    <t>P</t>
    <phoneticPr fontId="3" type="noConversion"/>
  </si>
  <si>
    <t>V</t>
    <phoneticPr fontId="3" type="noConversion"/>
  </si>
  <si>
    <t>NUM</t>
    <phoneticPr fontId="3" type="noConversion"/>
  </si>
  <si>
    <t>function3</t>
    <phoneticPr fontId="3" type="noConversion"/>
  </si>
  <si>
    <t>function2</t>
    <phoneticPr fontId="3" type="noConversion"/>
  </si>
  <si>
    <t>function1</t>
    <phoneticPr fontId="3" type="noConversion"/>
  </si>
  <si>
    <t>function0</t>
    <phoneticPr fontId="3" type="noConversion"/>
  </si>
  <si>
    <r>
      <t>P</t>
    </r>
    <r>
      <rPr>
        <sz val="12"/>
        <rFont val="宋体"/>
        <family val="3"/>
        <charset val="134"/>
      </rPr>
      <t>1</t>
    </r>
    <phoneticPr fontId="3" type="noConversion"/>
  </si>
  <si>
    <t>1.2V</t>
    <phoneticPr fontId="3" type="noConversion"/>
  </si>
  <si>
    <t>LPDDR2</t>
    <phoneticPr fontId="3" type="noConversion"/>
  </si>
  <si>
    <t>LEFT</t>
    <phoneticPr fontId="3" type="noConversion"/>
  </si>
  <si>
    <t>RIGHT</t>
    <phoneticPr fontId="3" type="noConversion"/>
  </si>
  <si>
    <t>CH0_RF(5)/ET_MODE</t>
    <phoneticPr fontId="3" type="noConversion"/>
  </si>
  <si>
    <t>WIFI共存（6）</t>
    <phoneticPr fontId="3" type="noConversion"/>
  </si>
  <si>
    <t>P1-0</t>
    <phoneticPr fontId="3" type="noConversion"/>
  </si>
  <si>
    <t>GPIO(28)</t>
    <phoneticPr fontId="3" type="noConversion"/>
  </si>
  <si>
    <t>ANTPA_SEL(28)</t>
    <phoneticPr fontId="3" type="noConversion"/>
  </si>
  <si>
    <t>1.8V</t>
  </si>
  <si>
    <t>GPIO(19)</t>
    <phoneticPr fontId="3" type="noConversion"/>
  </si>
  <si>
    <t>PTM(9)/SPI(5)</t>
    <phoneticPr fontId="3" type="noConversion"/>
  </si>
  <si>
    <r>
      <t>BOOT_MODE/JTAG_MODE</t>
    </r>
    <r>
      <rPr>
        <sz val="10"/>
        <color indexed="8"/>
        <rFont val="宋体"/>
        <family val="3"/>
        <charset val="134"/>
      </rPr>
      <t>等</t>
    </r>
    <r>
      <rPr>
        <sz val="10"/>
        <color indexed="8"/>
        <rFont val="Arial"/>
        <family val="2"/>
      </rPr>
      <t>(8)</t>
    </r>
    <phoneticPr fontId="3" type="noConversion"/>
  </si>
  <si>
    <t>GPIO(7)</t>
    <phoneticPr fontId="3" type="noConversion"/>
  </si>
  <si>
    <t>JTAG0(6)</t>
    <phoneticPr fontId="3" type="noConversion"/>
  </si>
  <si>
    <t>BOTTOM</t>
    <phoneticPr fontId="3" type="noConversion"/>
  </si>
  <si>
    <r>
      <t>H</t>
    </r>
    <r>
      <rPr>
        <sz val="12"/>
        <rFont val="宋体"/>
        <family val="3"/>
        <charset val="134"/>
      </rPr>
      <t>SIC(2)</t>
    </r>
    <phoneticPr fontId="3" type="noConversion"/>
  </si>
  <si>
    <r>
      <t>P</t>
    </r>
    <r>
      <rPr>
        <sz val="12"/>
        <rFont val="宋体"/>
        <family val="3"/>
        <charset val="134"/>
      </rPr>
      <t>MU(7)</t>
    </r>
    <phoneticPr fontId="3" type="noConversion"/>
  </si>
  <si>
    <t>USIM0(3)</t>
    <phoneticPr fontId="3" type="noConversion"/>
  </si>
  <si>
    <t>UART(2)</t>
    <phoneticPr fontId="3" type="noConversion"/>
  </si>
  <si>
    <t>GSBI(3)</t>
    <phoneticPr fontId="3" type="noConversion"/>
  </si>
  <si>
    <t>gpio(14)</t>
    <phoneticPr fontId="3" type="noConversion"/>
  </si>
  <si>
    <t>AFC_PDM(2)</t>
    <phoneticPr fontId="3" type="noConversion"/>
  </si>
  <si>
    <r>
      <t>P</t>
    </r>
    <r>
      <rPr>
        <sz val="12"/>
        <rFont val="宋体"/>
        <family val="3"/>
        <charset val="134"/>
      </rPr>
      <t>LLX4</t>
    </r>
    <phoneticPr fontId="3" type="noConversion"/>
  </si>
  <si>
    <t>PMU(6)</t>
    <phoneticPr fontId="3" type="noConversion"/>
  </si>
  <si>
    <r>
      <t>M</t>
    </r>
    <r>
      <rPr>
        <sz val="12"/>
        <rFont val="宋体"/>
        <family val="3"/>
        <charset val="134"/>
      </rPr>
      <t>MC0(6)</t>
    </r>
    <phoneticPr fontId="3" type="noConversion"/>
  </si>
  <si>
    <t>USB30(10)</t>
    <phoneticPr fontId="3" type="noConversion"/>
  </si>
  <si>
    <t>GPIO(3)</t>
    <phoneticPr fontId="3" type="noConversion"/>
  </si>
  <si>
    <t>GPIO(2)</t>
    <phoneticPr fontId="3" type="noConversion"/>
  </si>
  <si>
    <t>USIM1</t>
    <phoneticPr fontId="3" type="noConversion"/>
  </si>
  <si>
    <t>MMC1/19p2</t>
    <phoneticPr fontId="3" type="noConversion"/>
  </si>
  <si>
    <t>GPIO(2)</t>
    <phoneticPr fontId="3" type="noConversion"/>
  </si>
  <si>
    <r>
      <t>G</t>
    </r>
    <r>
      <rPr>
        <sz val="12"/>
        <rFont val="宋体"/>
        <family val="3"/>
        <charset val="134"/>
      </rPr>
      <t>PIO</t>
    </r>
    <phoneticPr fontId="3" type="noConversion"/>
  </si>
  <si>
    <t>JTAG1(6)</t>
    <phoneticPr fontId="3" type="noConversion"/>
  </si>
  <si>
    <t>PTM(8)</t>
    <phoneticPr fontId="3" type="noConversion"/>
  </si>
  <si>
    <t>AFC_PDM(2)</t>
    <phoneticPr fontId="3" type="noConversion"/>
  </si>
  <si>
    <t>PCM(4)</t>
    <phoneticPr fontId="3" type="noConversion"/>
  </si>
  <si>
    <t>SDIO/SOC_MIPI</t>
    <phoneticPr fontId="3" type="noConversion"/>
  </si>
  <si>
    <t>GPIO(6)</t>
    <phoneticPr fontId="3" type="noConversion"/>
  </si>
  <si>
    <r>
      <t>1</t>
    </r>
    <r>
      <rPr>
        <sz val="12"/>
        <rFont val="宋体"/>
        <family val="3"/>
        <charset val="134"/>
      </rPr>
      <t>.2V</t>
    </r>
    <phoneticPr fontId="3" type="noConversion"/>
  </si>
  <si>
    <r>
      <t>1</t>
    </r>
    <r>
      <rPr>
        <sz val="12"/>
        <rFont val="宋体"/>
        <family val="3"/>
        <charset val="134"/>
      </rPr>
      <t>.8V</t>
    </r>
    <phoneticPr fontId="3" type="noConversion"/>
  </si>
  <si>
    <r>
      <t>1</t>
    </r>
    <r>
      <rPr>
        <sz val="12"/>
        <rFont val="宋体"/>
        <family val="3"/>
        <charset val="134"/>
      </rPr>
      <t>.9V</t>
    </r>
    <r>
      <rPr>
        <sz val="11"/>
        <color theme="1"/>
        <rFont val="宋体"/>
        <family val="2"/>
        <charset val="134"/>
        <scheme val="minor"/>
      </rPr>
      <t/>
    </r>
  </si>
  <si>
    <t>1.8V/3.0V</t>
    <phoneticPr fontId="3" type="noConversion"/>
  </si>
  <si>
    <r>
      <t>5V/3.3V/0.9V/1.8V(</t>
    </r>
    <r>
      <rPr>
        <sz val="12"/>
        <rFont val="宋体"/>
        <family val="3"/>
        <charset val="134"/>
      </rPr>
      <t>ABB</t>
    </r>
    <r>
      <rPr>
        <sz val="12"/>
        <rFont val="宋体"/>
        <family val="3"/>
        <charset val="134"/>
      </rPr>
      <t>)</t>
    </r>
    <phoneticPr fontId="3" type="noConversion"/>
  </si>
  <si>
    <r>
      <t>P</t>
    </r>
    <r>
      <rPr>
        <sz val="12"/>
        <rFont val="宋体"/>
        <family val="3"/>
        <charset val="134"/>
      </rPr>
      <t>4</t>
    </r>
    <phoneticPr fontId="3" type="noConversion"/>
  </si>
  <si>
    <r>
      <t>P</t>
    </r>
    <r>
      <rPr>
        <sz val="12"/>
        <rFont val="宋体"/>
        <family val="3"/>
        <charset val="134"/>
      </rPr>
      <t>3</t>
    </r>
    <phoneticPr fontId="3" type="noConversion"/>
  </si>
  <si>
    <r>
      <t>P</t>
    </r>
    <r>
      <rPr>
        <sz val="12"/>
        <rFont val="宋体"/>
        <family val="3"/>
        <charset val="134"/>
      </rPr>
      <t>2</t>
    </r>
    <phoneticPr fontId="3" type="noConversion"/>
  </si>
  <si>
    <t>USB+ABB</t>
    <phoneticPr fontId="3" type="noConversion"/>
  </si>
  <si>
    <t>alwayson 31</t>
    <phoneticPr fontId="3" type="noConversion"/>
  </si>
  <si>
    <t>P3</t>
    <phoneticPr fontId="3" type="noConversion"/>
  </si>
  <si>
    <r>
      <t xml:space="preserve">王润泽 </t>
    </r>
    <r>
      <rPr>
        <sz val="12"/>
        <rFont val="宋体"/>
        <family val="3"/>
        <charset val="134"/>
      </rPr>
      <t>00126104</t>
    </r>
    <phoneticPr fontId="3" type="noConversion"/>
  </si>
  <si>
    <t>信号数量统计</t>
    <phoneticPr fontId="3" type="noConversion"/>
  </si>
  <si>
    <t>电压域</t>
    <phoneticPr fontId="49" type="noConversion"/>
  </si>
  <si>
    <t>描述</t>
    <phoneticPr fontId="49" type="noConversion"/>
  </si>
  <si>
    <t>电压</t>
    <phoneticPr fontId="49" type="noConversion"/>
  </si>
  <si>
    <t>是否验证</t>
    <phoneticPr fontId="49" type="noConversion"/>
  </si>
  <si>
    <t>备注</t>
    <phoneticPr fontId="49" type="noConversion"/>
  </si>
  <si>
    <t>P3</t>
    <phoneticPr fontId="49" type="noConversion"/>
  </si>
  <si>
    <t>数字IO POST VDD</t>
    <phoneticPr fontId="49" type="noConversion"/>
  </si>
  <si>
    <r>
      <t>1.8</t>
    </r>
    <r>
      <rPr>
        <sz val="12"/>
        <rFont val="宋体"/>
        <family val="3"/>
        <charset val="134"/>
      </rPr>
      <t>V</t>
    </r>
    <phoneticPr fontId="49" type="noConversion"/>
  </si>
  <si>
    <t>core VDD 0.9V，LDO供电</t>
    <phoneticPr fontId="3" type="noConversion"/>
  </si>
  <si>
    <t>ch0_tx_data[0]</t>
  </si>
  <si>
    <t>ch0_tx_data[1]</t>
  </si>
  <si>
    <t>ch0_tx_data[2]</t>
  </si>
  <si>
    <t>ch0_tx_data[3]</t>
  </si>
  <si>
    <t>ch0_tx_data[4]</t>
  </si>
  <si>
    <t>ch0_tx_data[5]</t>
  </si>
  <si>
    <t>ch0_tx_data[6]</t>
  </si>
  <si>
    <t>CC库版本6：
AFC_PDM挪入ao域；修改复用debug信号管脚的最高频率为功能最高频率</t>
    <phoneticPr fontId="3" type="noConversion"/>
  </si>
  <si>
    <t>12'hD00</t>
    <phoneticPr fontId="3" type="noConversion"/>
  </si>
  <si>
    <t>12'hE00</t>
    <phoneticPr fontId="3" type="noConversion"/>
  </si>
  <si>
    <t>19.2MHz</t>
  </si>
  <si>
    <t>IOM_CTRL27</t>
  </si>
  <si>
    <t>IOM_CTRL28</t>
  </si>
  <si>
    <t>IOM_CTRL29</t>
  </si>
  <si>
    <t>gpio0[3]</t>
  </si>
  <si>
    <t>gpio0[6]</t>
  </si>
  <si>
    <t>gpio0_3_ctrl1_1:ios_af_ctrl0[3]:D0</t>
  </si>
  <si>
    <t>gpio0_0_ctrl1_1:ios_af_ctrl0[0]:D0</t>
  </si>
  <si>
    <t>gpio0[8]</t>
  </si>
  <si>
    <t>gpio0[25]</t>
  </si>
  <si>
    <t>GPIO_0_25</t>
  </si>
  <si>
    <t>pmu_auxdac1_ssi_ctrl1_1:ios_af_ctrl0[1]:D0</t>
  </si>
  <si>
    <t>gpio0_2_ctrl1_1:ios_af_ctrl0[2]:D0</t>
  </si>
  <si>
    <t>gpio0_4_ctrl1_1:ios_af_ctrl0[4]:D0</t>
  </si>
  <si>
    <t>gpio0_5_ctrl1_1:ios_af_ctrl0[5]:D0</t>
  </si>
  <si>
    <t>gpio0_6_ctrl1_1:ios_af_ctrl0[6]:D0</t>
  </si>
  <si>
    <t>mmc1_clk_ctrl1_1:ios_af_ctrl5[0]:D0</t>
  </si>
  <si>
    <t>mmc1_ctrl1_1:ios_af_ctrl5[1]:D1</t>
  </si>
  <si>
    <t>sdio_clk_ctrl1_1:ios_af_ctrl5[2]:D0</t>
  </si>
  <si>
    <t>sdio_ctrl1_1:ios_af_ctrl5[3]:D1</t>
  </si>
  <si>
    <t>TSMC_SD3P0</t>
    <phoneticPr fontId="3" type="noConversion"/>
  </si>
  <si>
    <r>
      <t>O</t>
    </r>
    <r>
      <rPr>
        <sz val="12"/>
        <rFont val="宋体"/>
        <family val="3"/>
        <charset val="134"/>
      </rPr>
      <t>E</t>
    </r>
    <phoneticPr fontId="3" type="noConversion"/>
  </si>
  <si>
    <t>PD</t>
    <phoneticPr fontId="3" type="noConversion"/>
  </si>
  <si>
    <t>8'h40</t>
    <phoneticPr fontId="3" type="noConversion"/>
  </si>
  <si>
    <t>PU</t>
    <phoneticPr fontId="3" type="noConversion"/>
  </si>
  <si>
    <t>8'h20</t>
    <phoneticPr fontId="3" type="noConversion"/>
  </si>
  <si>
    <r>
      <t>P</t>
    </r>
    <r>
      <rPr>
        <sz val="12"/>
        <rFont val="宋体"/>
        <family val="3"/>
        <charset val="134"/>
      </rPr>
      <t>U</t>
    </r>
    <phoneticPr fontId="3" type="noConversion"/>
  </si>
  <si>
    <t>IX</t>
    <phoneticPr fontId="3" type="noConversion"/>
  </si>
  <si>
    <t>8'h0</t>
    <phoneticPr fontId="3" type="noConversion"/>
  </si>
  <si>
    <r>
      <t>D</t>
    </r>
    <r>
      <rPr>
        <sz val="12"/>
        <rFont val="宋体"/>
        <family val="3"/>
        <charset val="134"/>
      </rPr>
      <t>S</t>
    </r>
    <phoneticPr fontId="3" type="noConversion"/>
  </si>
  <si>
    <t>OZ</t>
    <phoneticPr fontId="3" type="noConversion"/>
  </si>
  <si>
    <t>SL</t>
    <phoneticPr fontId="3" type="noConversion"/>
  </si>
  <si>
    <t>OH</t>
    <phoneticPr fontId="3" type="noConversion"/>
  </si>
  <si>
    <t>8'h80</t>
    <phoneticPr fontId="3" type="noConversion"/>
  </si>
  <si>
    <t>ST</t>
    <phoneticPr fontId="3" type="noConversion"/>
  </si>
  <si>
    <t>OL</t>
    <phoneticPr fontId="3" type="noConversion"/>
  </si>
  <si>
    <t>HISI4D_RET</t>
    <phoneticPr fontId="3" type="noConversion"/>
  </si>
  <si>
    <r>
      <t>O</t>
    </r>
    <r>
      <rPr>
        <sz val="12"/>
        <rFont val="宋体"/>
        <family val="3"/>
        <charset val="134"/>
      </rPr>
      <t>E</t>
    </r>
    <phoneticPr fontId="3" type="noConversion"/>
  </si>
  <si>
    <t>PD</t>
    <phoneticPr fontId="3" type="noConversion"/>
  </si>
  <si>
    <t>6'h10</t>
    <phoneticPr fontId="3" type="noConversion"/>
  </si>
  <si>
    <t>PU</t>
    <phoneticPr fontId="3" type="noConversion"/>
  </si>
  <si>
    <t>6'h8</t>
    <phoneticPr fontId="3" type="noConversion"/>
  </si>
  <si>
    <r>
      <t>P</t>
    </r>
    <r>
      <rPr>
        <sz val="12"/>
        <rFont val="宋体"/>
        <family val="3"/>
        <charset val="134"/>
      </rPr>
      <t>U</t>
    </r>
    <phoneticPr fontId="3" type="noConversion"/>
  </si>
  <si>
    <t>IX</t>
    <phoneticPr fontId="3" type="noConversion"/>
  </si>
  <si>
    <t>6'h0</t>
  </si>
  <si>
    <r>
      <t>D</t>
    </r>
    <r>
      <rPr>
        <sz val="12"/>
        <rFont val="宋体"/>
        <family val="3"/>
        <charset val="134"/>
      </rPr>
      <t>S</t>
    </r>
    <phoneticPr fontId="3" type="noConversion"/>
  </si>
  <si>
    <t>OZ</t>
    <phoneticPr fontId="3" type="noConversion"/>
  </si>
  <si>
    <t>SR</t>
    <phoneticPr fontId="3" type="noConversion"/>
  </si>
  <si>
    <t>6'h20</t>
    <phoneticPr fontId="3" type="noConversion"/>
  </si>
  <si>
    <t>CC库版本7：
增加一列，标注Die是否出Pillar；调整PMU信号顺序；修改MMC1和SDIO的最高频率；调整USIM1信号顺序与USIM0相同；19.2MHz时钟挪到掉电域；AFC_PDM IO从AO域调回PD域；8线串口信号放入PD；修改ao和iom寄存器的基地址；PMU从PD挪到AO；3个GPIO从AO挪至PD；GPIO不复用WIFI共存；根据硬件命名需求，将PAD名称GPIO_X_X统一改为GPIO_X_XX；8线UART是UART1的扩展，修改8线相关信号名字为uart1_*；</t>
    <phoneticPr fontId="3" type="noConversion"/>
  </si>
  <si>
    <t>IOS_MF_CTRL基地址</t>
    <phoneticPr fontId="3" type="noConversion"/>
  </si>
  <si>
    <t>12'hC00</t>
    <phoneticPr fontId="3" type="noConversion"/>
  </si>
  <si>
    <t>abb_ate_mode_ctrl1_1:ios_af_ctrl63[0]:D0</t>
  </si>
  <si>
    <t>NA_CTRL</t>
  </si>
  <si>
    <t>no_ctrl</t>
  </si>
  <si>
    <t>CC库版本8：
HSIC从PD域挪至AO域；</t>
    <phoneticPr fontId="3" type="noConversion"/>
  </si>
  <si>
    <t>ch1_rxa_data[6]</t>
  </si>
  <si>
    <t>ch1_rxa_data[5]</t>
  </si>
  <si>
    <t>ch1_rxa_data[4]</t>
  </si>
  <si>
    <t>ch1_rxa_data[3]</t>
  </si>
  <si>
    <t>ch1_rxa_data[2]</t>
  </si>
  <si>
    <t>ch1_rxa_data[1]</t>
  </si>
  <si>
    <t>ch1_rxa_data[0]</t>
  </si>
  <si>
    <t>ch1_rxa_data[9]</t>
  </si>
  <si>
    <t>ch1_rxa_data[8]</t>
  </si>
  <si>
    <t>ch1_rxa_data[7]</t>
  </si>
  <si>
    <t>ch1_rxa_data[12]</t>
  </si>
  <si>
    <t>ch1_rxa_data[11]</t>
  </si>
  <si>
    <t>ch1_rxa_data[10]</t>
  </si>
  <si>
    <t>ch1_rxa_data[13]</t>
  </si>
  <si>
    <t>ch0_line_ctrl_mode[2]</t>
  </si>
  <si>
    <t>ch0_line_ctrl_mode[1]</t>
  </si>
  <si>
    <t>徐华春</t>
    <phoneticPr fontId="3" type="noConversion"/>
  </si>
  <si>
    <t>宋占坤</t>
    <phoneticPr fontId="3" type="noConversion"/>
  </si>
  <si>
    <t>P4</t>
    <phoneticPr fontId="49" type="noConversion"/>
  </si>
  <si>
    <r>
      <t>HSIC</t>
    </r>
    <r>
      <rPr>
        <sz val="12"/>
        <rFont val="宋体"/>
        <family val="3"/>
        <charset val="134"/>
      </rPr>
      <t xml:space="preserve"> IO</t>
    </r>
    <phoneticPr fontId="49" type="noConversion"/>
  </si>
  <si>
    <t>0.9/1.2</t>
    <phoneticPr fontId="3" type="noConversion"/>
  </si>
  <si>
    <r>
      <t>P</t>
    </r>
    <r>
      <rPr>
        <sz val="12"/>
        <rFont val="宋体"/>
        <family val="3"/>
        <charset val="134"/>
      </rPr>
      <t>530</t>
    </r>
    <phoneticPr fontId="49" type="noConversion"/>
  </si>
  <si>
    <t>CC库版本9：
增加ABB ATE测试信号et2abb_et_mode_sel</t>
    <phoneticPr fontId="3" type="noConversion"/>
  </si>
  <si>
    <t>宋占坤</t>
    <phoneticPr fontId="3" type="noConversion"/>
  </si>
  <si>
    <t>王少华</t>
    <phoneticPr fontId="3" type="noConversion"/>
  </si>
  <si>
    <t>单封</t>
    <phoneticPr fontId="3" type="noConversion"/>
  </si>
  <si>
    <t>合封</t>
    <phoneticPr fontId="3" type="noConversion"/>
  </si>
  <si>
    <t>1MHz</t>
  </si>
  <si>
    <t>24MHz</t>
  </si>
  <si>
    <t>122.88MHz</t>
  </si>
  <si>
    <t>200MHz</t>
  </si>
  <si>
    <t>26MHz</t>
  </si>
  <si>
    <t>DVDD18_3</t>
  </si>
  <si>
    <t>DVDD18_4</t>
  </si>
  <si>
    <t>DVDD18_5</t>
  </si>
  <si>
    <t>CC库版本10：
1、auxdac接口方向由B改为DO
2、JTAG_DFT_MODE从PD挪至AO
3、ABB ATE测试信号调整，将ch1_rx_clk/vld从PD挪到AO
4、表格加入Powfer&amp;Gnd项</t>
    <phoneticPr fontId="3" type="noConversion"/>
  </si>
  <si>
    <t>sdio_clk</t>
    <phoneticPr fontId="38" type="noConversion"/>
  </si>
  <si>
    <t>GPIO_0_20</t>
  </si>
  <si>
    <t>IOM_CTRL30</t>
  </si>
  <si>
    <t>OZ</t>
  </si>
  <si>
    <r>
      <t xml:space="preserve">王润泽 </t>
    </r>
    <r>
      <rPr>
        <sz val="12"/>
        <rFont val="宋体"/>
        <family val="3"/>
        <charset val="134"/>
      </rPr>
      <t>00126104</t>
    </r>
    <r>
      <rPr>
        <sz val="11"/>
        <color theme="1"/>
        <rFont val="宋体"/>
        <family val="2"/>
        <charset val="134"/>
        <scheme val="minor"/>
      </rPr>
      <t/>
    </r>
  </si>
  <si>
    <t>CC库版本11：
1、增加sdio DFT特殊处理
2、MMC1_CLK_FB_OUT输出使能寄存器可控
3、RSTOUT_N上电默认状态改为OZ</t>
    <phoneticPr fontId="3" type="noConversion"/>
  </si>
  <si>
    <t>CC库版本12：
1、更新Power&amp;Gnd</t>
    <phoneticPr fontId="3" type="noConversion"/>
  </si>
  <si>
    <t>Voltage</t>
    <phoneticPr fontId="3" type="noConversion"/>
  </si>
  <si>
    <r>
      <t>PKG</t>
    </r>
    <r>
      <rPr>
        <sz val="12"/>
        <rFont val="宋体"/>
        <family val="3"/>
        <charset val="134"/>
      </rPr>
      <t>单封</t>
    </r>
    <phoneticPr fontId="3" type="noConversion"/>
  </si>
  <si>
    <r>
      <t>PKG</t>
    </r>
    <r>
      <rPr>
        <sz val="12"/>
        <rFont val="宋体"/>
        <family val="3"/>
        <charset val="134"/>
      </rPr>
      <t>合封</t>
    </r>
    <phoneticPr fontId="3" type="noConversion"/>
  </si>
  <si>
    <t>Pillar</t>
    <phoneticPr fontId="3" type="noConversion"/>
  </si>
  <si>
    <t>MUX</t>
    <phoneticPr fontId="3" type="noConversion"/>
  </si>
  <si>
    <t>Pad Name</t>
    <phoneticPr fontId="3" type="noConversion"/>
  </si>
  <si>
    <t>IO Direct</t>
    <phoneticPr fontId="3" type="noConversion"/>
  </si>
  <si>
    <t>Freq. max</t>
    <phoneticPr fontId="3" type="noConversion"/>
  </si>
  <si>
    <t>IO Foundry</t>
    <phoneticPr fontId="3" type="noConversion"/>
  </si>
  <si>
    <t>IO TYPE</t>
    <phoneticPr fontId="3" type="noConversion"/>
  </si>
  <si>
    <t>Drive</t>
    <phoneticPr fontId="3" type="noConversion"/>
  </si>
  <si>
    <t>管脚配置寄存器</t>
    <phoneticPr fontId="3" type="noConversion"/>
  </si>
  <si>
    <t>芯片内部上拉下拉处理</t>
    <phoneticPr fontId="3" type="noConversion"/>
  </si>
  <si>
    <t xml:space="preserve"> Buffer name</t>
    <phoneticPr fontId="3" type="noConversion"/>
  </si>
  <si>
    <t xml:space="preserve">Main Function </t>
    <phoneticPr fontId="3" type="noConversion"/>
  </si>
  <si>
    <t>comment</t>
    <phoneticPr fontId="3" type="noConversion"/>
  </si>
  <si>
    <t>芯片确认人</t>
    <phoneticPr fontId="3" type="noConversion"/>
  </si>
  <si>
    <t>是否确认</t>
    <phoneticPr fontId="3" type="noConversion"/>
  </si>
  <si>
    <t>硬件确认人</t>
    <phoneticPr fontId="3" type="noConversion"/>
  </si>
  <si>
    <t>Sig name</t>
    <phoneticPr fontId="3" type="noConversion"/>
  </si>
  <si>
    <t>Direct</t>
    <phoneticPr fontId="3" type="noConversion"/>
  </si>
  <si>
    <t>IOS_CTRL</t>
    <phoneticPr fontId="3" type="noConversion"/>
  </si>
  <si>
    <t>Freq</t>
    <phoneticPr fontId="3" type="noConversion"/>
  </si>
  <si>
    <t xml:space="preserve"> description</t>
    <phoneticPr fontId="3" type="noConversion"/>
  </si>
  <si>
    <t>Sig name</t>
    <phoneticPr fontId="3" type="noConversion"/>
  </si>
  <si>
    <t>Description</t>
    <phoneticPr fontId="3" type="noConversion"/>
  </si>
  <si>
    <t>PMU(13个pin)</t>
    <phoneticPr fontId="3" type="noConversion"/>
  </si>
  <si>
    <t>1.8VD(P3)</t>
    <phoneticPr fontId="3" type="noConversion"/>
  </si>
  <si>
    <t>32.768KHz</t>
    <phoneticPr fontId="3" type="noConversion"/>
  </si>
  <si>
    <t>HISI4D</t>
    <phoneticPr fontId="3" type="noConversion"/>
  </si>
  <si>
    <t>NA_CTRL</t>
    <phoneticPr fontId="3" type="noConversion"/>
  </si>
  <si>
    <t>no_ctrl</t>
    <phoneticPr fontId="3" type="noConversion"/>
  </si>
  <si>
    <t>32.768KHz</t>
    <phoneticPr fontId="3" type="noConversion"/>
  </si>
  <si>
    <r>
      <t>PMU</t>
    </r>
    <r>
      <rPr>
        <sz val="10"/>
        <rFont val="宋体"/>
        <family val="3"/>
        <charset val="134"/>
      </rPr>
      <t>接口信号</t>
    </r>
    <r>
      <rPr>
        <sz val="10"/>
        <rFont val="Arial"/>
        <family val="2"/>
      </rPr>
      <t>32.768KHz</t>
    </r>
    <r>
      <rPr>
        <sz val="10"/>
        <rFont val="宋体"/>
        <family val="3"/>
        <charset val="134"/>
      </rPr>
      <t>睡眠数字时钟输入</t>
    </r>
    <phoneticPr fontId="3" type="noConversion"/>
  </si>
  <si>
    <t>王少华</t>
    <phoneticPr fontId="3" type="noConversion"/>
  </si>
  <si>
    <t>确认</t>
    <phoneticPr fontId="3" type="noConversion"/>
  </si>
  <si>
    <t>宋占坤</t>
    <phoneticPr fontId="3" type="noConversion"/>
  </si>
  <si>
    <t>确认</t>
    <phoneticPr fontId="3" type="noConversion"/>
  </si>
  <si>
    <t>RSTIN_N</t>
    <phoneticPr fontId="3" type="noConversion"/>
  </si>
  <si>
    <r>
      <t>PMU</t>
    </r>
    <r>
      <rPr>
        <sz val="10"/>
        <rFont val="宋体"/>
        <family val="3"/>
        <charset val="134"/>
      </rPr>
      <t>接口信号，</t>
    </r>
    <r>
      <rPr>
        <sz val="10"/>
        <rFont val="Arial"/>
        <family val="2"/>
      </rPr>
      <t>PMU</t>
    </r>
    <r>
      <rPr>
        <sz val="10"/>
        <rFont val="宋体"/>
        <family val="3"/>
        <charset val="134"/>
      </rPr>
      <t>提供给</t>
    </r>
    <r>
      <rPr>
        <sz val="10"/>
        <rFont val="Arial"/>
        <family val="2"/>
      </rPr>
      <t>BB</t>
    </r>
    <r>
      <rPr>
        <sz val="10"/>
        <rFont val="宋体"/>
        <family val="3"/>
        <charset val="134"/>
      </rPr>
      <t>的复位信号</t>
    </r>
    <phoneticPr fontId="3" type="noConversion"/>
  </si>
  <si>
    <t>1.8VD(P3)</t>
    <phoneticPr fontId="3" type="noConversion"/>
  </si>
  <si>
    <t>RSTOUT_N</t>
    <phoneticPr fontId="3" type="noConversion"/>
  </si>
  <si>
    <t>HISI4D</t>
    <phoneticPr fontId="3" type="noConversion"/>
  </si>
  <si>
    <t>IOM_CTRL0</t>
    <phoneticPr fontId="3" type="noConversion"/>
  </si>
  <si>
    <r>
      <t>PMU</t>
    </r>
    <r>
      <rPr>
        <sz val="10"/>
        <rFont val="宋体"/>
        <family val="3"/>
        <charset val="134"/>
      </rPr>
      <t>接口信号，</t>
    </r>
    <r>
      <rPr>
        <sz val="10"/>
        <rFont val="Arial"/>
        <family val="2"/>
      </rPr>
      <t>BB</t>
    </r>
    <r>
      <rPr>
        <sz val="10"/>
        <rFont val="宋体"/>
        <family val="3"/>
        <charset val="134"/>
      </rPr>
      <t>提供给</t>
    </r>
    <r>
      <rPr>
        <sz val="10"/>
        <rFont val="Arial"/>
        <family val="2"/>
      </rPr>
      <t>PMU</t>
    </r>
    <r>
      <rPr>
        <sz val="10"/>
        <rFont val="宋体"/>
        <family val="3"/>
        <charset val="134"/>
      </rPr>
      <t>的复位信号，用于</t>
    </r>
    <r>
      <rPr>
        <sz val="10"/>
        <rFont val="Arial"/>
        <family val="2"/>
      </rPr>
      <t>BB</t>
    </r>
    <r>
      <rPr>
        <sz val="10"/>
        <rFont val="宋体"/>
        <family val="3"/>
        <charset val="134"/>
      </rPr>
      <t>复位自身</t>
    </r>
    <r>
      <rPr>
        <sz val="10"/>
        <rFont val="Arial"/>
        <family val="2"/>
      </rPr>
      <t>,open drain</t>
    </r>
    <r>
      <rPr>
        <sz val="10"/>
        <rFont val="宋体"/>
        <family val="3"/>
        <charset val="134"/>
      </rPr>
      <t>输出</t>
    </r>
    <phoneticPr fontId="3" type="noConversion"/>
  </si>
  <si>
    <t>PMU_IRQ_N</t>
    <phoneticPr fontId="3" type="noConversion"/>
  </si>
  <si>
    <t>24MHz</t>
    <phoneticPr fontId="3" type="noConversion"/>
  </si>
  <si>
    <r>
      <t>PMU</t>
    </r>
    <r>
      <rPr>
        <sz val="10"/>
        <rFont val="宋体"/>
        <family val="3"/>
        <charset val="134"/>
      </rPr>
      <t>接口信号，</t>
    </r>
    <r>
      <rPr>
        <sz val="10"/>
        <rFont val="Arial"/>
        <family val="2"/>
      </rPr>
      <t>PMU</t>
    </r>
    <r>
      <rPr>
        <sz val="10"/>
        <rFont val="宋体"/>
        <family val="3"/>
        <charset val="134"/>
      </rPr>
      <t>中断信号</t>
    </r>
    <phoneticPr fontId="3" type="noConversion"/>
  </si>
  <si>
    <t>et2abb_et_mode_sel</t>
    <phoneticPr fontId="3" type="noConversion"/>
  </si>
  <si>
    <t>abb_ate_mode_ctrl1_1:ios_af_ctrl63[0]:D0</t>
    <phoneticPr fontId="3" type="noConversion"/>
  </si>
  <si>
    <t>PMU_SSI</t>
    <phoneticPr fontId="49" type="noConversion"/>
  </si>
  <si>
    <t>122.88MHz</t>
    <phoneticPr fontId="3" type="noConversion"/>
  </si>
  <si>
    <t>pmu_ssi_ctrl1_1:ios_mf_ctrl0[0]:D0</t>
    <phoneticPr fontId="3" type="noConversion"/>
  </si>
  <si>
    <t>ch1_rx_clk</t>
    <phoneticPr fontId="3" type="noConversion"/>
  </si>
  <si>
    <t>PMU_HKADC_SSI</t>
    <phoneticPr fontId="49" type="noConversion"/>
  </si>
  <si>
    <t>pmu_hkadc_ssi_ctrl1_1:ios_mf_ctrl0[1]:D0</t>
    <phoneticPr fontId="3" type="noConversion"/>
  </si>
  <si>
    <t>ch1_rx_vld</t>
    <phoneticPr fontId="3" type="noConversion"/>
  </si>
  <si>
    <t>PMU_AUXDAC0_SSI</t>
    <phoneticPr fontId="49" type="noConversion"/>
  </si>
  <si>
    <t>pmu_auxdac0_ssi_ctrl1_1:ios_mf_ctrl0[2]:D0</t>
    <phoneticPr fontId="3" type="noConversion"/>
  </si>
  <si>
    <t>gpio0[0]</t>
    <phoneticPr fontId="3" type="noConversion"/>
  </si>
  <si>
    <t>GPIO_0_01</t>
    <phoneticPr fontId="49" type="noConversion"/>
  </si>
  <si>
    <t>gpio0[1]</t>
    <phoneticPr fontId="3" type="noConversion"/>
  </si>
  <si>
    <t>gpio0_1_ctrl1_1:ios_mf_ctrl0[3]:D0</t>
    <phoneticPr fontId="3" type="noConversion"/>
  </si>
  <si>
    <t>pmu_auxdac1_ssi</t>
    <phoneticPr fontId="49" type="noConversion"/>
  </si>
  <si>
    <t>PMU_SSI_CLK</t>
    <phoneticPr fontId="3" type="noConversion"/>
  </si>
  <si>
    <t>pmu_ssi_clk_ctrl1_1:ios_mf_ctrl0[4]:D0</t>
    <phoneticPr fontId="3" type="noConversion"/>
  </si>
  <si>
    <t>gpio0[2]</t>
    <phoneticPr fontId="49" type="noConversion"/>
  </si>
  <si>
    <t>CH0_TCXO_EN</t>
    <phoneticPr fontId="3" type="noConversion"/>
  </si>
  <si>
    <t>ch0_tcxo_en_ctrl1_1:ios_mf_ctrl0[5]:D0</t>
    <phoneticPr fontId="3" type="noConversion"/>
  </si>
  <si>
    <r>
      <t>PMU</t>
    </r>
    <r>
      <rPr>
        <sz val="10"/>
        <rFont val="宋体"/>
        <family val="3"/>
        <charset val="134"/>
      </rPr>
      <t>接口信号，用于使能</t>
    </r>
    <r>
      <rPr>
        <sz val="10"/>
        <rFont val="Arial"/>
        <family val="2"/>
      </rPr>
      <t>CH0 TCXO</t>
    </r>
    <r>
      <rPr>
        <sz val="10"/>
        <rFont val="宋体"/>
        <family val="3"/>
        <charset val="134"/>
      </rPr>
      <t>的供电</t>
    </r>
    <phoneticPr fontId="3" type="noConversion"/>
  </si>
  <si>
    <t>CH1_TCXO_EN</t>
    <phoneticPr fontId="3" type="noConversion"/>
  </si>
  <si>
    <t>ch1_tcxo_en_ctrl1_1:ios_mf_ctrl0[6]:D0</t>
    <phoneticPr fontId="3" type="noConversion"/>
  </si>
  <si>
    <r>
      <t>PMU</t>
    </r>
    <r>
      <rPr>
        <sz val="10"/>
        <rFont val="宋体"/>
        <family val="3"/>
        <charset val="134"/>
      </rPr>
      <t>接口信号，用于使能</t>
    </r>
    <r>
      <rPr>
        <sz val="10"/>
        <rFont val="Arial"/>
        <family val="2"/>
      </rPr>
      <t>CH1 TCXO</t>
    </r>
    <r>
      <rPr>
        <sz val="10"/>
        <rFont val="宋体"/>
        <family val="3"/>
        <charset val="134"/>
      </rPr>
      <t>的供电</t>
    </r>
    <phoneticPr fontId="3" type="noConversion"/>
  </si>
  <si>
    <t>PERI_EN</t>
    <phoneticPr fontId="3" type="noConversion"/>
  </si>
  <si>
    <t>peri_en_ctrl1_1:ios_mf_ctrl0[7]:D0</t>
    <phoneticPr fontId="3" type="noConversion"/>
  </si>
  <si>
    <t>PMU接口信号，用于使能BB芯片0.9V供电</t>
    <phoneticPr fontId="3" type="noConversion"/>
  </si>
  <si>
    <t>pmu_hold_ctrl1_1:ios_mf_ctrl0[8]:D0</t>
    <phoneticPr fontId="3" type="noConversion"/>
  </si>
  <si>
    <r>
      <t>PMU</t>
    </r>
    <r>
      <rPr>
        <sz val="10"/>
        <rFont val="宋体"/>
        <family val="3"/>
        <charset val="134"/>
      </rPr>
      <t>接口信号，当</t>
    </r>
    <r>
      <rPr>
        <sz val="10"/>
        <rFont val="Arial"/>
        <family val="2"/>
      </rPr>
      <t>PMU</t>
    </r>
    <r>
      <rPr>
        <sz val="10"/>
        <rFont val="宋体"/>
        <family val="3"/>
        <charset val="134"/>
      </rPr>
      <t>上电后，需要在</t>
    </r>
    <r>
      <rPr>
        <sz val="10"/>
        <rFont val="Arial"/>
        <family val="2"/>
      </rPr>
      <t>1</t>
    </r>
    <r>
      <rPr>
        <sz val="10"/>
        <rFont val="宋体"/>
        <family val="3"/>
        <charset val="134"/>
      </rPr>
      <t>秒之内，由</t>
    </r>
    <r>
      <rPr>
        <sz val="10"/>
        <rFont val="Arial"/>
        <family val="2"/>
      </rPr>
      <t>BB</t>
    </r>
    <r>
      <rPr>
        <sz val="10"/>
        <rFont val="宋体"/>
        <family val="3"/>
        <charset val="134"/>
      </rPr>
      <t>将该引脚置高来通知</t>
    </r>
    <r>
      <rPr>
        <sz val="10"/>
        <rFont val="Arial"/>
        <family val="2"/>
      </rPr>
      <t>PMU</t>
    </r>
    <r>
      <rPr>
        <sz val="10"/>
        <rFont val="宋体"/>
        <family val="3"/>
        <charset val="134"/>
      </rPr>
      <t>保持上电，否则，</t>
    </r>
    <r>
      <rPr>
        <sz val="10"/>
        <rFont val="Arial"/>
        <family val="2"/>
      </rPr>
      <t>PMU</t>
    </r>
    <r>
      <rPr>
        <sz val="10"/>
        <rFont val="宋体"/>
        <family val="3"/>
        <charset val="134"/>
      </rPr>
      <t>会自动下电</t>
    </r>
    <phoneticPr fontId="3" type="noConversion"/>
  </si>
  <si>
    <t>USIM0（3个pin）</t>
    <phoneticPr fontId="3" type="noConversion"/>
  </si>
  <si>
    <t>Y</t>
    <phoneticPr fontId="3" type="noConversion"/>
  </si>
  <si>
    <t>MUX_C</t>
    <phoneticPr fontId="3" type="noConversion"/>
  </si>
  <si>
    <t>USIM0_CLK</t>
    <phoneticPr fontId="3" type="noConversion"/>
  </si>
  <si>
    <t>122.88MHz</t>
    <phoneticPr fontId="3" type="noConversion"/>
  </si>
  <si>
    <t>IOM_CTRL11</t>
    <phoneticPr fontId="3" type="noConversion"/>
  </si>
  <si>
    <t>pull-up/down control</t>
    <phoneticPr fontId="3" type="noConversion"/>
  </si>
  <si>
    <t>PDDUKW4D_V_HI</t>
    <phoneticPr fontId="3" type="noConversion"/>
  </si>
  <si>
    <t>usim0_clk</t>
    <phoneticPr fontId="3" type="noConversion"/>
  </si>
  <si>
    <t>usim0_ctrl1_1:ios_mf_ctrl1[0]:D0</t>
    <phoneticPr fontId="3" type="noConversion"/>
  </si>
  <si>
    <t>12MHz</t>
    <phoneticPr fontId="3" type="noConversion"/>
  </si>
  <si>
    <r>
      <t>SIM卡0的时钟输出信号，输出模式可选Open drain</t>
    </r>
    <r>
      <rPr>
        <sz val="10"/>
        <rFont val="宋体"/>
        <family val="3"/>
        <charset val="134"/>
      </rPr>
      <t>或</t>
    </r>
    <r>
      <rPr>
        <sz val="10"/>
        <rFont val="Arial"/>
        <family val="2"/>
      </rPr>
      <t>CMOS</t>
    </r>
    <phoneticPr fontId="3" type="noConversion"/>
  </si>
  <si>
    <t>gpio0[7]</t>
    <phoneticPr fontId="3" type="noConversion"/>
  </si>
  <si>
    <t>B</t>
    <phoneticPr fontId="3" type="noConversion"/>
  </si>
  <si>
    <t>gpio0_7_ctrl1_1:ios_af_ctrl1[0]:D0</t>
    <phoneticPr fontId="3" type="noConversion"/>
  </si>
  <si>
    <t>孟飚</t>
    <phoneticPr fontId="3" type="noConversion"/>
  </si>
  <si>
    <t>宋占坤</t>
    <phoneticPr fontId="3" type="noConversion"/>
  </si>
  <si>
    <t>MUX_D</t>
    <phoneticPr fontId="3" type="noConversion"/>
  </si>
  <si>
    <t>USIM0_RST</t>
    <phoneticPr fontId="3" type="noConversion"/>
  </si>
  <si>
    <t>usim0_rst</t>
    <phoneticPr fontId="3" type="noConversion"/>
  </si>
  <si>
    <t>DO</t>
    <phoneticPr fontId="3" type="noConversion"/>
  </si>
  <si>
    <t>12MHz</t>
    <phoneticPr fontId="3" type="noConversion"/>
  </si>
  <si>
    <t>SIM卡0的复位信号</t>
    <phoneticPr fontId="3" type="noConversion"/>
  </si>
  <si>
    <t>B</t>
    <phoneticPr fontId="3" type="noConversion"/>
  </si>
  <si>
    <t>gpio0_8_ctrl1_1:ios_af_ctrl1[1]:D0</t>
    <phoneticPr fontId="3" type="noConversion"/>
  </si>
  <si>
    <t>Y</t>
    <phoneticPr fontId="3" type="noConversion"/>
  </si>
  <si>
    <t>MUX_D</t>
    <phoneticPr fontId="3" type="noConversion"/>
  </si>
  <si>
    <t>USIM0_DATA</t>
    <phoneticPr fontId="3" type="noConversion"/>
  </si>
  <si>
    <t>usim0_data</t>
    <phoneticPr fontId="3" type="noConversion"/>
  </si>
  <si>
    <r>
      <t>SIM卡0的数据信号，输出模式可选Open drain</t>
    </r>
    <r>
      <rPr>
        <sz val="10"/>
        <rFont val="宋体"/>
        <family val="3"/>
        <charset val="134"/>
      </rPr>
      <t>或</t>
    </r>
    <r>
      <rPr>
        <sz val="10"/>
        <rFont val="Arial"/>
        <family val="2"/>
      </rPr>
      <t>CMOS</t>
    </r>
    <phoneticPr fontId="3" type="noConversion"/>
  </si>
  <si>
    <t>gpio0_9_ctrl1_1:ios_af_ctrl1[2]:D0</t>
    <phoneticPr fontId="3" type="noConversion"/>
  </si>
  <si>
    <t>USIM1(3个pin）</t>
    <phoneticPr fontId="3" type="noConversion"/>
  </si>
  <si>
    <t>GPIO_0_10</t>
    <phoneticPr fontId="49" type="noConversion"/>
  </si>
  <si>
    <t>PD</t>
    <phoneticPr fontId="3" type="noConversion"/>
  </si>
  <si>
    <t>IOM_CTRL14</t>
    <phoneticPr fontId="3" type="noConversion"/>
  </si>
  <si>
    <t>gpio0[10]</t>
    <phoneticPr fontId="3" type="noConversion"/>
  </si>
  <si>
    <t>gpio0_10_ctrl1_1:ios_mf_ctrl2[0]:D0</t>
    <phoneticPr fontId="3" type="noConversion"/>
  </si>
  <si>
    <t>usim1_clk</t>
    <phoneticPr fontId="3" type="noConversion"/>
  </si>
  <si>
    <t>usim1_ctrl1_1:ios_af_ctrl2[0]:D0</t>
    <phoneticPr fontId="3" type="noConversion"/>
  </si>
  <si>
    <t>gpio0[11]</t>
    <phoneticPr fontId="3" type="noConversion"/>
  </si>
  <si>
    <t>gpio0_11_ctrl1_1:ios_mf_ctrl2[1]:D0</t>
    <phoneticPr fontId="3" type="noConversion"/>
  </si>
  <si>
    <t>usim1_rst</t>
    <phoneticPr fontId="3" type="noConversion"/>
  </si>
  <si>
    <t>usim1_ctrl1_1:ios_af_ctrl2[0]:D0</t>
    <phoneticPr fontId="3" type="noConversion"/>
  </si>
  <si>
    <r>
      <t>SIM卡</t>
    </r>
    <r>
      <rPr>
        <sz val="10"/>
        <rFont val="Arial"/>
        <family val="2"/>
      </rPr>
      <t>1</t>
    </r>
    <r>
      <rPr>
        <sz val="10"/>
        <rFont val="宋体"/>
        <family val="3"/>
        <charset val="134"/>
      </rPr>
      <t>的复位信号</t>
    </r>
    <phoneticPr fontId="3" type="noConversion"/>
  </si>
  <si>
    <t>gpio0[12]</t>
    <phoneticPr fontId="3" type="noConversion"/>
  </si>
  <si>
    <t>gpio0_12_ctrl1_1:ios_mf_ctrl2[2]:D0</t>
    <phoneticPr fontId="3" type="noConversion"/>
  </si>
  <si>
    <t>usim1_data</t>
    <phoneticPr fontId="3" type="noConversion"/>
  </si>
  <si>
    <t>UART0（2个pin）</t>
    <phoneticPr fontId="3" type="noConversion"/>
  </si>
  <si>
    <t>UART0_TXD</t>
    <phoneticPr fontId="3" type="noConversion"/>
  </si>
  <si>
    <t>IOM_CTRL17</t>
    <phoneticPr fontId="3" type="noConversion"/>
  </si>
  <si>
    <t>uart0_ctrl1_1:ios_mf_ctrl3[0]:D0</t>
    <phoneticPr fontId="3" type="noConversion"/>
  </si>
  <si>
    <t>1MHz</t>
    <phoneticPr fontId="3" type="noConversion"/>
  </si>
  <si>
    <r>
      <t>UART0</t>
    </r>
    <r>
      <rPr>
        <sz val="10"/>
        <rFont val="宋体"/>
        <family val="3"/>
        <charset val="134"/>
      </rPr>
      <t>的串行输出信号</t>
    </r>
    <phoneticPr fontId="3" type="noConversion"/>
  </si>
  <si>
    <t>gpio0[13]</t>
    <phoneticPr fontId="3" type="noConversion"/>
  </si>
  <si>
    <t>gpio0_13_ctrl1_1:ios_af_ctrl3[0]:D0</t>
    <phoneticPr fontId="3" type="noConversion"/>
  </si>
  <si>
    <t>王少华</t>
    <phoneticPr fontId="3" type="noConversion"/>
  </si>
  <si>
    <t>UART0_RXD</t>
    <phoneticPr fontId="3" type="noConversion"/>
  </si>
  <si>
    <r>
      <t>UART0</t>
    </r>
    <r>
      <rPr>
        <sz val="10"/>
        <rFont val="宋体"/>
        <family val="3"/>
        <charset val="134"/>
      </rPr>
      <t>的串行输入信号</t>
    </r>
    <phoneticPr fontId="3" type="noConversion"/>
  </si>
  <si>
    <t>gpio0[14]</t>
    <phoneticPr fontId="3" type="noConversion"/>
  </si>
  <si>
    <t>gpio0_14_ctrl1_1:ios_af_ctrl3[1]:D0</t>
    <phoneticPr fontId="3" type="noConversion"/>
  </si>
  <si>
    <t>GPIO(5个pin）</t>
    <phoneticPr fontId="3" type="noConversion"/>
  </si>
  <si>
    <t xml:space="preserve">      </t>
    <phoneticPr fontId="3" type="noConversion"/>
  </si>
  <si>
    <t>GPIO_0_15</t>
    <phoneticPr fontId="3" type="noConversion"/>
  </si>
  <si>
    <t>gpio0[15]</t>
    <phoneticPr fontId="3" type="noConversion"/>
  </si>
  <si>
    <t>gpio0_15_ctrl1_1:ios_mf_ctrl4[0]:D0</t>
    <phoneticPr fontId="3" type="noConversion"/>
  </si>
  <si>
    <t>soc_mipi_clk</t>
    <phoneticPr fontId="3" type="noConversion"/>
  </si>
  <si>
    <t>soc_mipi_ctrl1_1:ios_af_ctrl4[0]:D0</t>
    <phoneticPr fontId="3" type="noConversion"/>
  </si>
  <si>
    <t>ch0_tx_clk</t>
    <phoneticPr fontId="3" type="noConversion"/>
  </si>
  <si>
    <t>王润泽</t>
    <phoneticPr fontId="3" type="noConversion"/>
  </si>
  <si>
    <t>gpio0_16_ctrl1_1:ios_mf_ctrl4[1]:D0</t>
    <phoneticPr fontId="3" type="noConversion"/>
  </si>
  <si>
    <t>soc_mipi_data</t>
    <phoneticPr fontId="3" type="noConversion"/>
  </si>
  <si>
    <t>ch0_tx_vld</t>
    <phoneticPr fontId="3" type="noConversion"/>
  </si>
  <si>
    <t>gpio0_17_ctrl1_1:ios_mf_ctrl4[2]:D0</t>
    <phoneticPr fontId="3" type="noConversion"/>
  </si>
  <si>
    <t>ch0_line_ctrl_mode[0]</t>
    <phoneticPr fontId="3" type="noConversion"/>
  </si>
  <si>
    <t>gpio0_18_ctrl1_1:ios_mf_ctrl4[3]:D0</t>
    <phoneticPr fontId="3" type="noConversion"/>
  </si>
  <si>
    <t>gpio0_19_ctrl1_1:ios_mf_ctrl4[4]:D0</t>
    <phoneticPr fontId="3" type="noConversion"/>
  </si>
  <si>
    <t>MMC1(6个pin）</t>
    <phoneticPr fontId="3" type="noConversion"/>
  </si>
  <si>
    <t>GPIO_0_20</t>
    <phoneticPr fontId="3" type="noConversion"/>
  </si>
  <si>
    <t>IOM_CTRL24</t>
    <phoneticPr fontId="3" type="noConversion"/>
  </si>
  <si>
    <t>gpio0_20_ctrl1_1:ios_mf_ctrl5[0]:D0</t>
    <phoneticPr fontId="3" type="noConversion"/>
  </si>
  <si>
    <t>mmc1_clk</t>
    <phoneticPr fontId="3" type="noConversion"/>
  </si>
  <si>
    <t>sdio_clk</t>
    <phoneticPr fontId="3" type="noConversion"/>
  </si>
  <si>
    <t>SDIO的时钟信号</t>
    <phoneticPr fontId="3" type="noConversion"/>
  </si>
  <si>
    <t>李新昌</t>
    <phoneticPr fontId="3" type="noConversion"/>
  </si>
  <si>
    <t>gpio0_21_ctrl1_1:ios_mf_ctrl5[1]:D0</t>
    <phoneticPr fontId="3" type="noConversion"/>
  </si>
  <si>
    <t>mmc1_cmd</t>
    <phoneticPr fontId="3" type="noConversion"/>
  </si>
  <si>
    <t>sdio_cmd</t>
    <phoneticPr fontId="3" type="noConversion"/>
  </si>
  <si>
    <t>SDIO的命令信号</t>
    <phoneticPr fontId="3" type="noConversion"/>
  </si>
  <si>
    <t>gpio0_22_ctrl1_1:ios_mf_ctrl5[2]:D0</t>
    <phoneticPr fontId="3" type="noConversion"/>
  </si>
  <si>
    <t>mmc1_data[0]</t>
    <phoneticPr fontId="3" type="noConversion"/>
  </si>
  <si>
    <t>sdio_data[0]</t>
    <phoneticPr fontId="3" type="noConversion"/>
  </si>
  <si>
    <t>SDIO的第0位数据信号</t>
    <phoneticPr fontId="3" type="noConversion"/>
  </si>
  <si>
    <t>gpio0_23_ctrl1_1:ios_mf_ctrl5[3]:D0</t>
    <phoneticPr fontId="3" type="noConversion"/>
  </si>
  <si>
    <t>sdio_data[1]</t>
    <phoneticPr fontId="3" type="noConversion"/>
  </si>
  <si>
    <t>SDIO的第1位数据信号</t>
    <phoneticPr fontId="3" type="noConversion"/>
  </si>
  <si>
    <t>gpio0_24_ctrl1_1:ios_mf_ctrl5[4]:D0</t>
    <phoneticPr fontId="3" type="noConversion"/>
  </si>
  <si>
    <t>sdio_data[2]</t>
    <phoneticPr fontId="3" type="noConversion"/>
  </si>
  <si>
    <t>SDIO的第2位数据信号</t>
    <phoneticPr fontId="3" type="noConversion"/>
  </si>
  <si>
    <t>gpio0_25_ctrl1_1:ios_mf_ctrl5[5]:D0</t>
    <phoneticPr fontId="3" type="noConversion"/>
  </si>
  <si>
    <t>sdio_data[3]</t>
    <phoneticPr fontId="3" type="noConversion"/>
  </si>
  <si>
    <t>SDIO的第3位数据信号</t>
    <phoneticPr fontId="3" type="noConversion"/>
  </si>
  <si>
    <t>MMC1_CLK_FB_OUT</t>
    <phoneticPr fontId="3" type="noConversion"/>
  </si>
  <si>
    <t>MMC1反馈时钟输出，不出封装</t>
    <phoneticPr fontId="3" type="noConversion"/>
  </si>
  <si>
    <t>MMC1_CLK_FB_IN</t>
    <phoneticPr fontId="3" type="noConversion"/>
  </si>
  <si>
    <t>DI</t>
    <phoneticPr fontId="3" type="noConversion"/>
  </si>
  <si>
    <t>MMC1反馈时钟输入，不出封装</t>
    <phoneticPr fontId="3" type="noConversion"/>
  </si>
  <si>
    <t>JTAG_DFM_MODE(1个pin）</t>
    <phoneticPr fontId="3" type="noConversion"/>
  </si>
  <si>
    <t>JTAG_DFT_MODE</t>
    <phoneticPr fontId="3" type="noConversion"/>
  </si>
  <si>
    <t>4mA</t>
    <phoneticPr fontId="3" type="noConversion"/>
  </si>
  <si>
    <t>JTAG DFT模式选择开关。1：JTAG0 扫描BSD；0：JTAG0按照JTAG 模式开关配置扫描SOC 组件</t>
    <phoneticPr fontId="3" type="noConversion"/>
  </si>
  <si>
    <t>HSIC（2个pin）</t>
    <phoneticPr fontId="3" type="noConversion"/>
  </si>
  <si>
    <t>1.2V(P4)</t>
    <phoneticPr fontId="3" type="noConversion"/>
  </si>
  <si>
    <t>HSIC_STROBE</t>
    <phoneticPr fontId="3" type="noConversion"/>
  </si>
  <si>
    <t>AIO</t>
    <phoneticPr fontId="3" type="noConversion"/>
  </si>
  <si>
    <t>480MHz</t>
    <phoneticPr fontId="3" type="noConversion"/>
  </si>
  <si>
    <t>SYNOPSYS</t>
    <phoneticPr fontId="3" type="noConversion"/>
  </si>
  <si>
    <t>NA</t>
    <phoneticPr fontId="3" type="noConversion"/>
  </si>
  <si>
    <r>
      <t>HSIC PHY</t>
    </r>
    <r>
      <rPr>
        <sz val="10"/>
        <rFont val="宋体"/>
        <family val="3"/>
        <charset val="134"/>
      </rPr>
      <t>自带</t>
    </r>
    <phoneticPr fontId="3" type="noConversion"/>
  </si>
  <si>
    <t>HSIC_STROBE</t>
    <phoneticPr fontId="3" type="noConversion"/>
  </si>
  <si>
    <t>480MHz</t>
    <phoneticPr fontId="3" type="noConversion"/>
  </si>
  <si>
    <t>HISC USB STROBE SIGNAL</t>
    <phoneticPr fontId="3" type="noConversion"/>
  </si>
  <si>
    <t>1.2V(P4)</t>
    <phoneticPr fontId="3" type="noConversion"/>
  </si>
  <si>
    <t>Y</t>
    <phoneticPr fontId="3" type="noConversion"/>
  </si>
  <si>
    <t>HSIC_DATA</t>
    <phoneticPr fontId="3" type="noConversion"/>
  </si>
  <si>
    <t>AIO</t>
    <phoneticPr fontId="3" type="noConversion"/>
  </si>
  <si>
    <t>SYNOPSYS</t>
    <phoneticPr fontId="3" type="noConversion"/>
  </si>
  <si>
    <t>NA</t>
    <phoneticPr fontId="3" type="noConversion"/>
  </si>
  <si>
    <r>
      <t>HSIC PHY</t>
    </r>
    <r>
      <rPr>
        <sz val="10"/>
        <rFont val="宋体"/>
        <family val="3"/>
        <charset val="134"/>
      </rPr>
      <t>自带</t>
    </r>
    <phoneticPr fontId="3" type="noConversion"/>
  </si>
  <si>
    <t>HISC USB DATA SIGNAL</t>
    <phoneticPr fontId="3" type="noConversion"/>
  </si>
  <si>
    <t>P530验证</t>
    <phoneticPr fontId="49" type="noConversion"/>
  </si>
  <si>
    <t>CC库版本13：
1、PMU_AUXDAC0_SSI上电默认管脚状态改为IX
2、驱动能力修改为有效的0mA/4mA/8mA/12mA/16mA
3、更新Power$Gnd表项为powerlist_V3.3版本</t>
    <phoneticPr fontId="3" type="noConversion"/>
  </si>
  <si>
    <r>
      <t>Power</t>
    </r>
    <r>
      <rPr>
        <b/>
        <sz val="12"/>
        <rFont val="宋体"/>
        <family val="3"/>
        <charset val="134"/>
      </rPr>
      <t>用途</t>
    </r>
    <phoneticPr fontId="49" type="noConversion"/>
  </si>
  <si>
    <r>
      <rPr>
        <b/>
        <sz val="12"/>
        <rFont val="宋体"/>
        <family val="3"/>
        <charset val="134"/>
      </rPr>
      <t>电压（</t>
    </r>
    <r>
      <rPr>
        <b/>
        <sz val="12"/>
        <rFont val="Arial"/>
        <family val="2"/>
      </rPr>
      <t>V</t>
    </r>
    <r>
      <rPr>
        <b/>
        <sz val="12"/>
        <rFont val="宋体"/>
        <family val="3"/>
        <charset val="134"/>
      </rPr>
      <t>）</t>
    </r>
    <phoneticPr fontId="49" type="noConversion"/>
  </si>
  <si>
    <r>
      <t>Pillar</t>
    </r>
    <r>
      <rPr>
        <b/>
        <sz val="12"/>
        <rFont val="宋体"/>
        <family val="3"/>
        <charset val="134"/>
      </rPr>
      <t>名</t>
    </r>
    <phoneticPr fontId="49" type="noConversion"/>
  </si>
  <si>
    <r>
      <t>Pillar</t>
    </r>
    <r>
      <rPr>
        <b/>
        <sz val="12"/>
        <rFont val="宋体"/>
        <family val="3"/>
        <charset val="134"/>
      </rPr>
      <t>数目</t>
    </r>
    <phoneticPr fontId="49" type="noConversion"/>
  </si>
  <si>
    <r>
      <t>Ball</t>
    </r>
    <r>
      <rPr>
        <b/>
        <sz val="12"/>
        <rFont val="宋体"/>
        <family val="3"/>
        <charset val="134"/>
      </rPr>
      <t>名</t>
    </r>
    <phoneticPr fontId="49" type="noConversion"/>
  </si>
  <si>
    <r>
      <t>Ball</t>
    </r>
    <r>
      <rPr>
        <b/>
        <sz val="12"/>
        <rFont val="宋体"/>
        <family val="3"/>
        <charset val="134"/>
      </rPr>
      <t>数目</t>
    </r>
    <phoneticPr fontId="49" type="noConversion"/>
  </si>
  <si>
    <r>
      <rPr>
        <b/>
        <sz val="12"/>
        <rFont val="宋体"/>
        <family val="3"/>
        <charset val="134"/>
      </rPr>
      <t>备注</t>
    </r>
    <phoneticPr fontId="49" type="noConversion"/>
  </si>
  <si>
    <t>注：黄色表示需要在封装上合并的</t>
    <phoneticPr fontId="49" type="noConversion"/>
  </si>
  <si>
    <r>
      <t>Alwayson Core</t>
    </r>
    <r>
      <rPr>
        <sz val="12"/>
        <rFont val="宋体"/>
        <family val="3"/>
        <charset val="134"/>
      </rPr>
      <t>电源</t>
    </r>
    <phoneticPr fontId="49" type="noConversion"/>
  </si>
  <si>
    <t>VDD</t>
    <phoneticPr fontId="49" type="noConversion"/>
  </si>
  <si>
    <r>
      <t>Peri Core</t>
    </r>
    <r>
      <rPr>
        <sz val="12"/>
        <rFont val="宋体"/>
        <family val="3"/>
        <charset val="134"/>
      </rPr>
      <t>电源</t>
    </r>
    <phoneticPr fontId="49" type="noConversion"/>
  </si>
  <si>
    <t>VDD_PERI</t>
    <phoneticPr fontId="49" type="noConversion"/>
  </si>
  <si>
    <r>
      <rPr>
        <sz val="12"/>
        <rFont val="宋体"/>
        <family val="3"/>
        <charset val="134"/>
      </rPr>
      <t>数字地</t>
    </r>
    <phoneticPr fontId="49" type="noConversion"/>
  </si>
  <si>
    <t>VSS</t>
    <phoneticPr fontId="49" type="noConversion"/>
  </si>
  <si>
    <r>
      <t>1.8V IO</t>
    </r>
    <r>
      <rPr>
        <sz val="12"/>
        <rFont val="宋体"/>
        <family val="3"/>
        <charset val="134"/>
      </rPr>
      <t>电源</t>
    </r>
    <phoneticPr fontId="49" type="noConversion"/>
  </si>
  <si>
    <t>DVDD18_1</t>
    <phoneticPr fontId="49" type="noConversion"/>
  </si>
  <si>
    <t>DVDD18</t>
    <phoneticPr fontId="49" type="noConversion"/>
  </si>
  <si>
    <t>DVDD18_AO</t>
    <phoneticPr fontId="49" type="noConversion"/>
  </si>
  <si>
    <t>MMC0</t>
    <phoneticPr fontId="49" type="noConversion"/>
  </si>
  <si>
    <t>1.5/0</t>
    <phoneticPr fontId="49" type="noConversion"/>
  </si>
  <si>
    <t>VDDM_MMC0</t>
    <phoneticPr fontId="49" type="noConversion"/>
  </si>
  <si>
    <r>
      <rPr>
        <sz val="12"/>
        <rFont val="宋体"/>
        <family val="3"/>
        <charset val="134"/>
      </rPr>
      <t>需要</t>
    </r>
    <r>
      <rPr>
        <sz val="12"/>
        <rFont val="Arial"/>
        <family val="2"/>
      </rPr>
      <t>core</t>
    </r>
    <r>
      <rPr>
        <sz val="12"/>
        <rFont val="宋体"/>
        <family val="3"/>
        <charset val="134"/>
      </rPr>
      <t>电源地</t>
    </r>
  </si>
  <si>
    <t>VDD18_MMC0</t>
    <phoneticPr fontId="49" type="noConversion"/>
  </si>
  <si>
    <t>3.0/1.8</t>
    <phoneticPr fontId="49" type="noConversion"/>
  </si>
  <si>
    <t>VDD33_MMC0</t>
    <phoneticPr fontId="49" type="noConversion"/>
  </si>
  <si>
    <t>DDR</t>
    <phoneticPr fontId="49" type="noConversion"/>
  </si>
  <si>
    <t>VDDQ_DDR</t>
    <phoneticPr fontId="49" type="noConversion"/>
  </si>
  <si>
    <r>
      <rPr>
        <sz val="12"/>
        <rFont val="宋体"/>
        <family val="3"/>
        <charset val="134"/>
      </rPr>
      <t>需要</t>
    </r>
    <r>
      <rPr>
        <sz val="12"/>
        <rFont val="Arial"/>
        <family val="2"/>
      </rPr>
      <t>core</t>
    </r>
    <r>
      <rPr>
        <sz val="12"/>
        <rFont val="宋体"/>
        <family val="3"/>
        <charset val="134"/>
      </rPr>
      <t>电源地</t>
    </r>
    <phoneticPr fontId="49" type="noConversion"/>
  </si>
  <si>
    <t>VSSQ_DDR</t>
    <phoneticPr fontId="49" type="noConversion"/>
  </si>
  <si>
    <t>VDDQCA_DDR</t>
    <phoneticPr fontId="49" type="noConversion"/>
  </si>
  <si>
    <t>VSSQCA_DDR</t>
    <phoneticPr fontId="49" type="noConversion"/>
  </si>
  <si>
    <t>AVDD18_DDRCAPLL</t>
    <phoneticPr fontId="49" type="noConversion"/>
  </si>
  <si>
    <t>AVDD18_DDRDXPLL</t>
    <phoneticPr fontId="49" type="noConversion"/>
  </si>
  <si>
    <t>AVDD18_DDRPLL_1/2</t>
    <phoneticPr fontId="49" type="noConversion"/>
  </si>
  <si>
    <t>DDR_VREF0</t>
    <phoneticPr fontId="49" type="noConversion"/>
  </si>
  <si>
    <t>DDR_VREF_ZQ</t>
    <phoneticPr fontId="49" type="noConversion"/>
  </si>
  <si>
    <t>DDR_VREF1</t>
    <phoneticPr fontId="49" type="noConversion"/>
  </si>
  <si>
    <t>DDR_VREF_1/2</t>
    <phoneticPr fontId="49" type="noConversion"/>
  </si>
  <si>
    <t>ABB</t>
    <phoneticPr fontId="49" type="noConversion"/>
  </si>
  <si>
    <t>AVDD18_ET</t>
    <phoneticPr fontId="49" type="noConversion"/>
  </si>
  <si>
    <t>AVDD18</t>
    <phoneticPr fontId="49" type="noConversion"/>
  </si>
  <si>
    <t>AVSS_ABB</t>
    <phoneticPr fontId="49" type="noConversion"/>
  </si>
  <si>
    <t>CH0_AGND09_PLL</t>
  </si>
  <si>
    <t>AGND</t>
    <phoneticPr fontId="49" type="noConversion"/>
  </si>
  <si>
    <t>CH0_AGND13_TX</t>
    <phoneticPr fontId="49" type="noConversion"/>
  </si>
  <si>
    <t>CH0_AGND18_PLL</t>
    <phoneticPr fontId="49" type="noConversion"/>
  </si>
  <si>
    <t>CH0_AGND18_RXA</t>
    <phoneticPr fontId="49" type="noConversion"/>
  </si>
  <si>
    <t>CH0_AGND18_RXB</t>
    <phoneticPr fontId="49" type="noConversion"/>
  </si>
  <si>
    <t>CH0_AGND18_TX</t>
    <phoneticPr fontId="49" type="noConversion"/>
  </si>
  <si>
    <t>CH0_AVDD09_PLL</t>
    <phoneticPr fontId="49" type="noConversion"/>
  </si>
  <si>
    <t>CH0_DVDD09</t>
    <phoneticPr fontId="49" type="noConversion"/>
  </si>
  <si>
    <t>CH0_AVDD13_TX</t>
  </si>
  <si>
    <t>AVDD13</t>
    <phoneticPr fontId="49" type="noConversion"/>
  </si>
  <si>
    <t>CH0_AVDD18_PLL</t>
    <phoneticPr fontId="49" type="noConversion"/>
  </si>
  <si>
    <t>CH0_AVDD18_RXA</t>
    <phoneticPr fontId="49" type="noConversion"/>
  </si>
  <si>
    <t>CH0_AVDD18_RXB</t>
    <phoneticPr fontId="49" type="noConversion"/>
  </si>
  <si>
    <t>CH0_AVDD18_TX</t>
    <phoneticPr fontId="49" type="noConversion"/>
  </si>
  <si>
    <t>CH0_DGND09_RX</t>
    <phoneticPr fontId="49" type="noConversion"/>
  </si>
  <si>
    <t>CH0_DGND09_TX</t>
    <phoneticPr fontId="49" type="noConversion"/>
  </si>
  <si>
    <t>CH0_DVDD09_RX</t>
    <phoneticPr fontId="49" type="noConversion"/>
  </si>
  <si>
    <t>CH0_DVDD09_TX</t>
    <phoneticPr fontId="49" type="noConversion"/>
  </si>
  <si>
    <t>CH1_AGND09_PLL</t>
    <phoneticPr fontId="49" type="noConversion"/>
  </si>
  <si>
    <t>CH1_AGND13_TX</t>
    <phoneticPr fontId="49" type="noConversion"/>
  </si>
  <si>
    <t>CH1_AGND18_PLL</t>
    <phoneticPr fontId="49" type="noConversion"/>
  </si>
  <si>
    <t>CH1_AGND18_RXA</t>
  </si>
  <si>
    <t>CH1_AGND18_RXB</t>
  </si>
  <si>
    <t>CH1_AGND18_TX</t>
  </si>
  <si>
    <t>CH1_AVDD09_PLL</t>
  </si>
  <si>
    <t>CH1_DVDD09</t>
    <phoneticPr fontId="49" type="noConversion"/>
  </si>
  <si>
    <t>CH1_AVDD13_TX</t>
    <phoneticPr fontId="49" type="noConversion"/>
  </si>
  <si>
    <t>CH1_AVDD18_PLL</t>
    <phoneticPr fontId="49" type="noConversion"/>
  </si>
  <si>
    <t>CH1_AVDD18_RXA</t>
  </si>
  <si>
    <t>CH1_AVDD18_RXB</t>
  </si>
  <si>
    <t>CH1_AVDD18_TX</t>
  </si>
  <si>
    <t>CH1_DGND09_RX</t>
    <phoneticPr fontId="49" type="noConversion"/>
  </si>
  <si>
    <t>CH1_DGND09_TX</t>
  </si>
  <si>
    <t>CH1_DVDD09_RX</t>
    <phoneticPr fontId="49" type="noConversion"/>
  </si>
  <si>
    <t>CH1_DVDD09_TX</t>
  </si>
  <si>
    <t>USB3.0</t>
    <phoneticPr fontId="49" type="noConversion"/>
  </si>
  <si>
    <t>DVDD_USB</t>
    <phoneticPr fontId="49" type="noConversion"/>
  </si>
  <si>
    <r>
      <t>0.9V</t>
    </r>
    <r>
      <rPr>
        <sz val="12"/>
        <rFont val="宋体"/>
        <family val="3"/>
        <charset val="134"/>
      </rPr>
      <t>的三个电源可以在板上合并。</t>
    </r>
    <phoneticPr fontId="49" type="noConversion"/>
  </si>
  <si>
    <t>VP_USB</t>
    <phoneticPr fontId="49" type="noConversion"/>
  </si>
  <si>
    <t>VPTX0_USB</t>
    <phoneticPr fontId="49" type="noConversion"/>
  </si>
  <si>
    <t>VDD330_USB</t>
    <phoneticPr fontId="49" type="noConversion"/>
  </si>
  <si>
    <t>VDD33_USB</t>
    <phoneticPr fontId="49" type="noConversion"/>
  </si>
  <si>
    <t>VPH_USB</t>
    <phoneticPr fontId="49" type="noConversion"/>
  </si>
  <si>
    <t>GD_USB</t>
    <phoneticPr fontId="49" type="noConversion"/>
  </si>
  <si>
    <t>VSSA0_USB</t>
    <phoneticPr fontId="49" type="noConversion"/>
  </si>
  <si>
    <t>PCIE</t>
    <phoneticPr fontId="49" type="noConversion"/>
  </si>
  <si>
    <t>VP_PCIE</t>
    <phoneticPr fontId="49" type="noConversion"/>
  </si>
  <si>
    <t>VP09_PCIE</t>
    <phoneticPr fontId="49" type="noConversion"/>
  </si>
  <si>
    <t>VPTX0_PCIE</t>
    <phoneticPr fontId="49" type="noConversion"/>
  </si>
  <si>
    <t>VPTX09_PCIE</t>
    <phoneticPr fontId="49" type="noConversion"/>
  </si>
  <si>
    <t>VPH_PCIE</t>
    <phoneticPr fontId="49" type="noConversion"/>
  </si>
  <si>
    <t>VP18_PCIE</t>
    <phoneticPr fontId="49" type="noConversion"/>
  </si>
  <si>
    <t>GD_PCIE</t>
    <phoneticPr fontId="49" type="noConversion"/>
  </si>
  <si>
    <t>HSIC</t>
    <phoneticPr fontId="49" type="noConversion"/>
  </si>
  <si>
    <t>VDD12_HSIC</t>
    <phoneticPr fontId="49" type="noConversion"/>
  </si>
  <si>
    <t>VSS12_HSIC</t>
    <phoneticPr fontId="49" type="noConversion"/>
  </si>
  <si>
    <t>PLL</t>
    <phoneticPr fontId="49" type="noConversion"/>
  </si>
  <si>
    <t>AVDDH_PLL</t>
    <phoneticPr fontId="49" type="noConversion"/>
  </si>
  <si>
    <t>AVDDL_PLL</t>
    <phoneticPr fontId="49" type="noConversion"/>
  </si>
  <si>
    <t>AVSS_PLL</t>
    <phoneticPr fontId="49" type="noConversion"/>
  </si>
  <si>
    <t>PLL_BBP</t>
    <phoneticPr fontId="49" type="noConversion"/>
  </si>
  <si>
    <t>AVDDH_PLL_BBP</t>
    <phoneticPr fontId="49" type="noConversion"/>
  </si>
  <si>
    <t>AVDDH_BBPPLL</t>
    <phoneticPr fontId="49" type="noConversion"/>
  </si>
  <si>
    <t>AVDDL_PLL_BBP</t>
    <phoneticPr fontId="49" type="noConversion"/>
  </si>
  <si>
    <t>AVDDL_BBPPLL</t>
    <phoneticPr fontId="49" type="noConversion"/>
  </si>
  <si>
    <t>AVSS_PLL_BBP</t>
    <phoneticPr fontId="49" type="noConversion"/>
  </si>
  <si>
    <t>AVSS_BBPPLL</t>
    <phoneticPr fontId="49" type="noConversion"/>
  </si>
  <si>
    <t>Tsensor</t>
    <phoneticPr fontId="49" type="noConversion"/>
  </si>
  <si>
    <t>AVDD18_TS</t>
    <phoneticPr fontId="49" type="noConversion"/>
  </si>
  <si>
    <t>AVSS_TS</t>
    <phoneticPr fontId="49" type="noConversion"/>
  </si>
  <si>
    <t>EFUSE</t>
    <phoneticPr fontId="49" type="noConversion"/>
  </si>
  <si>
    <t>VDD_EFUSE</t>
    <phoneticPr fontId="49" type="noConversion"/>
  </si>
  <si>
    <t>TXCO</t>
    <phoneticPr fontId="49" type="noConversion"/>
  </si>
  <si>
    <t>AVDD18_TCXO</t>
    <phoneticPr fontId="49" type="noConversion"/>
  </si>
  <si>
    <t>AVSS_TCXO</t>
    <phoneticPr fontId="49" type="noConversion"/>
  </si>
  <si>
    <t>CC库版本14：
1、更新Power&amp;Gnd</t>
    <phoneticPr fontId="3" type="noConversion"/>
  </si>
  <si>
    <t>DVDD18_2</t>
    <phoneticPr fontId="49" type="noConversion"/>
  </si>
  <si>
    <t>DVDD18_6</t>
    <phoneticPr fontId="49" type="noConversion"/>
  </si>
  <si>
    <t>CC库版本15：
1、更新Power&amp;Gnd：加DVDD18_2，连到VDD18_MMC0</t>
    <phoneticPr fontId="3" type="noConversion"/>
  </si>
  <si>
    <t>复用功能选择</t>
    <phoneticPr fontId="3" type="noConversion"/>
  </si>
  <si>
    <t>内部上下拉选择</t>
    <phoneticPr fontId="3" type="noConversion"/>
  </si>
  <si>
    <t>驱动能力选择</t>
    <phoneticPr fontId="3" type="noConversion"/>
  </si>
  <si>
    <t>是否使用</t>
    <phoneticPr fontId="3" type="noConversion"/>
  </si>
  <si>
    <t>是否生成</t>
    <phoneticPr fontId="3" type="noConversion"/>
  </si>
  <si>
    <t>default</t>
    <phoneticPr fontId="3" type="noConversion"/>
  </si>
  <si>
    <t>default</t>
  </si>
  <si>
    <t>Yes</t>
  </si>
  <si>
    <t>Yes</t>
    <phoneticPr fontId="3" type="noConversion"/>
  </si>
  <si>
    <t>default</t>
    <phoneticPr fontId="3" type="noConversion"/>
  </si>
  <si>
    <t>根据硬件设计选填，自动生成IO Share底软初始化代码</t>
    <phoneticPr fontId="3" type="noConversion"/>
  </si>
  <si>
    <t>1、添加G~K列可根据硬件设计选填，自动生成IO Share底软初始化代码
2、添加sheet1表格（已经隐藏，勿动）</t>
    <phoneticPr fontId="3" type="noConversion"/>
  </si>
  <si>
    <r>
      <t xml:space="preserve">余军霞 </t>
    </r>
    <r>
      <rPr>
        <sz val="12"/>
        <rFont val="宋体"/>
        <family val="3"/>
        <charset val="134"/>
      </rPr>
      <t>00114070</t>
    </r>
    <phoneticPr fontId="3" type="noConversion"/>
  </si>
  <si>
    <t>1、添加管脚复用VBA代码
2、去掉了原有芯片代码生产按键，添加生成“生成DRV代码”按键</t>
    <phoneticPr fontId="3" type="noConversion"/>
  </si>
  <si>
    <t>刘文慧 00225826</t>
    <phoneticPr fontId="3" type="noConversion"/>
  </si>
  <si>
    <t>no-pull</t>
  </si>
  <si>
    <t>pull-up</t>
  </si>
  <si>
    <t>管脚上电默认状态</t>
    <phoneticPr fontId="3" type="noConversion"/>
  </si>
  <si>
    <r>
      <t xml:space="preserve">宋永刚 </t>
    </r>
    <r>
      <rPr>
        <sz val="12"/>
        <rFont val="宋体"/>
        <family val="3"/>
        <charset val="134"/>
      </rPr>
      <t>00194148</t>
    </r>
    <phoneticPr fontId="3" type="noConversion"/>
  </si>
  <si>
    <t>1、增加了对UDP平台上的管脚默认复用功能和IO上电状态配置的说明</t>
    <phoneticPr fontId="3" type="noConversion"/>
  </si>
  <si>
    <t>PMU_HOLD</t>
    <phoneticPr fontId="3" type="noConversion"/>
  </si>
  <si>
    <t>pmu_auxdac1_ssi</t>
  </si>
  <si>
    <t>default</t>
    <phoneticPr fontId="3" type="noConversion"/>
  </si>
  <si>
    <t>mmc1_clk</t>
  </si>
  <si>
    <t>mmc1_cmd</t>
  </si>
  <si>
    <t>mmc1_data[0]</t>
  </si>
  <si>
    <t>请输入产品名称：</t>
    <phoneticPr fontId="3" type="noConversion"/>
  </si>
  <si>
    <t>UDP</t>
    <phoneticPr fontId="3" type="noConversion"/>
  </si>
  <si>
    <t>生成文件路径：</t>
    <phoneticPr fontId="3" type="noConversion"/>
  </si>
  <si>
    <t>当前目录\xx_ios_ao_config.h</t>
    <phoneticPr fontId="3" type="noConversion"/>
  </si>
</sst>
</file>

<file path=xl/styles.xml><?xml version="1.0" encoding="utf-8"?>
<styleSheet xmlns="http://schemas.openxmlformats.org/spreadsheetml/2006/main">
  <fonts count="61">
    <font>
      <sz val="12"/>
      <name val="宋体"/>
      <charset val="134"/>
    </font>
    <font>
      <sz val="11"/>
      <color theme="1"/>
      <name val="宋体"/>
      <family val="2"/>
      <charset val="134"/>
      <scheme val="minor"/>
    </font>
    <font>
      <sz val="12"/>
      <name val="宋体"/>
      <family val="3"/>
      <charset val="134"/>
    </font>
    <font>
      <sz val="9"/>
      <name val="宋体"/>
      <family val="3"/>
      <charset val="134"/>
    </font>
    <font>
      <i/>
      <sz val="14"/>
      <name val="宋体"/>
      <family val="3"/>
      <charset val="134"/>
    </font>
    <font>
      <i/>
      <sz val="12"/>
      <name val="宋体"/>
      <family val="3"/>
      <charset val="134"/>
    </font>
    <font>
      <b/>
      <sz val="12"/>
      <name val="Arial"/>
      <family val="2"/>
    </font>
    <font>
      <sz val="12"/>
      <name val="Arial"/>
      <family val="2"/>
    </font>
    <font>
      <sz val="10"/>
      <name val="Arial"/>
      <family val="2"/>
    </font>
    <font>
      <b/>
      <sz val="12"/>
      <name val="宋体"/>
      <family val="3"/>
      <charset val="134"/>
    </font>
    <font>
      <sz val="10"/>
      <name val="宋体"/>
      <family val="3"/>
      <charset val="134"/>
    </font>
    <font>
      <sz val="12"/>
      <name val="宋体"/>
      <family val="3"/>
      <charset val="134"/>
    </font>
    <font>
      <b/>
      <sz val="14"/>
      <name val="宋体"/>
      <family val="3"/>
      <charset val="134"/>
    </font>
    <font>
      <sz val="12"/>
      <color indexed="55"/>
      <name val="宋体"/>
      <family val="3"/>
      <charset val="134"/>
    </font>
    <font>
      <sz val="10"/>
      <color indexed="55"/>
      <name val="Arial"/>
      <family val="2"/>
    </font>
    <font>
      <sz val="14"/>
      <color indexed="55"/>
      <name val="宋体"/>
      <family val="3"/>
      <charset val="134"/>
    </font>
    <font>
      <sz val="10"/>
      <color indexed="55"/>
      <name val="宋体"/>
      <family val="3"/>
      <charset val="134"/>
    </font>
    <font>
      <sz val="12"/>
      <name val="Times New Roman"/>
      <family val="1"/>
    </font>
    <font>
      <sz val="10"/>
      <color indexed="8"/>
      <name val="Arial"/>
      <family val="2"/>
    </font>
    <font>
      <sz val="11"/>
      <color indexed="20"/>
      <name val="宋体"/>
      <family val="3"/>
      <charset val="134"/>
    </font>
    <font>
      <sz val="11"/>
      <color indexed="17"/>
      <name val="宋体"/>
      <family val="3"/>
      <charset val="134"/>
    </font>
    <font>
      <sz val="10"/>
      <color indexed="8"/>
      <name val="宋体"/>
      <family val="3"/>
      <charset val="134"/>
    </font>
    <font>
      <sz val="11"/>
      <color indexed="20"/>
      <name val="宋体"/>
      <family val="3"/>
      <charset val="134"/>
    </font>
    <font>
      <sz val="11"/>
      <color indexed="17"/>
      <name val="宋体"/>
      <family val="3"/>
      <charset val="134"/>
    </font>
    <font>
      <u/>
      <sz val="12"/>
      <color indexed="12"/>
      <name val="宋体"/>
      <family val="3"/>
      <charset val="134"/>
    </font>
    <font>
      <sz val="11"/>
      <color indexed="8"/>
      <name val="宋体"/>
      <family val="3"/>
      <charset val="134"/>
    </font>
    <font>
      <sz val="11"/>
      <color indexed="53"/>
      <name val="宋体"/>
      <family val="3"/>
      <charset val="134"/>
    </font>
    <font>
      <sz val="12"/>
      <name val="宋体"/>
      <family val="3"/>
      <charset val="134"/>
    </font>
    <font>
      <sz val="12"/>
      <name val="宋体"/>
      <family val="3"/>
      <charset val="134"/>
    </font>
    <font>
      <sz val="12"/>
      <name val="宋体"/>
      <family val="3"/>
      <charset val="134"/>
    </font>
    <font>
      <sz val="12"/>
      <name val="宋体"/>
      <family val="3"/>
      <charset val="134"/>
    </font>
    <font>
      <sz val="12"/>
      <name val="宋体"/>
      <family val="3"/>
      <charset val="134"/>
    </font>
    <font>
      <sz val="12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12"/>
      <name val="宋体"/>
      <family val="3"/>
      <charset val="134"/>
    </font>
    <font>
      <sz val="9"/>
      <name val="宋体"/>
      <family val="3"/>
      <charset val="134"/>
    </font>
    <font>
      <sz val="12"/>
      <color theme="1"/>
      <name val="宋体"/>
      <family val="3"/>
      <charset val="134"/>
    </font>
    <font>
      <sz val="12"/>
      <name val="宋体"/>
      <family val="3"/>
      <charset val="134"/>
    </font>
    <font>
      <sz val="9"/>
      <name val="宋体"/>
      <family val="3"/>
      <charset val="134"/>
    </font>
    <font>
      <sz val="9"/>
      <name val="宋体"/>
      <family val="3"/>
      <charset val="134"/>
    </font>
    <font>
      <sz val="12"/>
      <color rgb="FFFF0000"/>
      <name val="宋体"/>
      <family val="3"/>
      <charset val="134"/>
    </font>
    <font>
      <b/>
      <sz val="10.5"/>
      <name val="Arial"/>
      <family val="2"/>
    </font>
    <font>
      <sz val="10.5"/>
      <name val="Arial"/>
      <family val="2"/>
    </font>
    <font>
      <sz val="10.5"/>
      <name val="宋体"/>
      <family val="3"/>
      <charset val="134"/>
    </font>
    <font>
      <sz val="10.5"/>
      <name val="Times New Roman"/>
      <family val="1"/>
    </font>
    <font>
      <sz val="10.5"/>
      <color rgb="FFFF0000"/>
      <name val="Arial"/>
      <family val="2"/>
    </font>
    <font>
      <sz val="10.5"/>
      <color rgb="FFFF0000"/>
      <name val="宋体"/>
      <family val="3"/>
      <charset val="134"/>
    </font>
    <font>
      <sz val="12"/>
      <color rgb="FFFF0000"/>
      <name val="Arial"/>
      <family val="2"/>
    </font>
    <font>
      <vertAlign val="superscript"/>
      <sz val="12"/>
      <name val="宋体"/>
      <family val="3"/>
      <charset val="134"/>
    </font>
    <font>
      <sz val="9"/>
      <name val="宋体"/>
      <family val="2"/>
      <charset val="134"/>
      <scheme val="minor"/>
    </font>
    <font>
      <b/>
      <sz val="9"/>
      <name val="宋体"/>
      <family val="3"/>
      <charset val="134"/>
    </font>
    <font>
      <sz val="12"/>
      <name val="宋体"/>
      <family val="3"/>
      <charset val="134"/>
    </font>
    <font>
      <sz val="9"/>
      <name val="宋体"/>
      <family val="3"/>
      <charset val="134"/>
    </font>
    <font>
      <sz val="12"/>
      <color theme="1"/>
      <name val="Arial"/>
      <family val="2"/>
    </font>
    <font>
      <sz val="11"/>
      <color theme="1"/>
      <name val="Arial"/>
      <family val="2"/>
    </font>
    <font>
      <sz val="14"/>
      <name val="Arial"/>
      <family val="2"/>
    </font>
    <font>
      <sz val="14"/>
      <color rgb="FFFF0000"/>
      <name val="Arial"/>
      <family val="2"/>
    </font>
    <font>
      <sz val="14"/>
      <color rgb="FF00B0F0"/>
      <name val="Arial"/>
      <family val="2"/>
    </font>
    <font>
      <sz val="14"/>
      <color rgb="FF00B050"/>
      <name val="Arial"/>
      <family val="2"/>
    </font>
    <font>
      <sz val="10"/>
      <color theme="0" tint="-0.499984740745262"/>
      <name val="Arial"/>
      <family val="2"/>
    </font>
    <font>
      <sz val="12"/>
      <color theme="0" tint="-0.499984740745262"/>
      <name val="宋体"/>
      <family val="3"/>
      <charset val="134"/>
    </font>
  </fonts>
  <fills count="35">
    <fill>
      <patternFill patternType="none"/>
    </fill>
    <fill>
      <patternFill patternType="gray125"/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3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 tint="0.39994506668294322"/>
        <bgColor indexed="64"/>
      </patternFill>
    </fill>
    <fill>
      <patternFill patternType="solid">
        <fgColor theme="6" tint="-0.2499465926084170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C99FF"/>
        <bgColor indexed="64"/>
      </patternFill>
    </fill>
    <fill>
      <patternFill patternType="solid">
        <fgColor rgb="FF00CCFF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 tint="0.3999450666829432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7" tint="0.59996337778862885"/>
        <bgColor indexed="64"/>
      </patternFill>
    </fill>
  </fills>
  <borders count="2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0">
    <xf numFmtId="0" fontId="0" fillId="0" borderId="0"/>
    <xf numFmtId="0" fontId="17" fillId="0" borderId="0"/>
    <xf numFmtId="0" fontId="19" fillId="2" borderId="0" applyNumberFormat="0" applyBorder="0" applyAlignment="0" applyProtection="0">
      <alignment vertical="center"/>
    </xf>
    <xf numFmtId="0" fontId="19" fillId="2" borderId="0" applyNumberFormat="0" applyBorder="0" applyAlignment="0" applyProtection="0">
      <alignment vertical="center"/>
    </xf>
    <xf numFmtId="0" fontId="19" fillId="2" borderId="0" applyNumberFormat="0" applyBorder="0" applyAlignment="0" applyProtection="0">
      <alignment vertical="center"/>
    </xf>
    <xf numFmtId="0" fontId="22" fillId="2" borderId="0" applyNumberFormat="0" applyBorder="0" applyAlignment="0" applyProtection="0">
      <alignment vertical="center"/>
    </xf>
    <xf numFmtId="0" fontId="2" fillId="0" borderId="0"/>
    <xf numFmtId="0" fontId="2" fillId="0" borderId="0">
      <alignment vertical="center"/>
    </xf>
    <xf numFmtId="0" fontId="33" fillId="0" borderId="0">
      <alignment vertical="center"/>
    </xf>
    <xf numFmtId="0" fontId="2" fillId="0" borderId="0"/>
    <xf numFmtId="0" fontId="25" fillId="0" borderId="0">
      <alignment vertical="center"/>
    </xf>
    <xf numFmtId="0" fontId="24" fillId="0" borderId="0" applyNumberFormat="0" applyFill="0" applyBorder="0" applyAlignment="0" applyProtection="0">
      <alignment vertical="top"/>
      <protection locked="0"/>
    </xf>
    <xf numFmtId="0" fontId="20" fillId="3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23" fillId="3" borderId="0" applyNumberFormat="0" applyBorder="0" applyAlignment="0" applyProtection="0">
      <alignment vertical="center"/>
    </xf>
    <xf numFmtId="0" fontId="17" fillId="0" borderId="0"/>
    <xf numFmtId="0" fontId="34" fillId="0" borderId="0">
      <alignment vertical="center"/>
    </xf>
    <xf numFmtId="0" fontId="37" fillId="0" borderId="0">
      <alignment vertical="center"/>
    </xf>
    <xf numFmtId="0" fontId="51" fillId="0" borderId="0">
      <alignment vertical="center"/>
    </xf>
  </cellStyleXfs>
  <cellXfs count="456">
    <xf numFmtId="0" fontId="0" fillId="0" borderId="0" xfId="0" applyAlignment="1">
      <alignment vertical="center"/>
    </xf>
    <xf numFmtId="0" fontId="0" fillId="0" borderId="1" xfId="0" applyFill="1" applyBorder="1" applyAlignment="1">
      <alignment horizontal="center" vertical="center" wrapText="1"/>
    </xf>
    <xf numFmtId="0" fontId="0" fillId="4" borderId="0" xfId="0" applyFill="1" applyAlignment="1">
      <alignment vertical="center"/>
    </xf>
    <xf numFmtId="0" fontId="4" fillId="5" borderId="1" xfId="0" applyFont="1" applyFill="1" applyBorder="1" applyAlignment="1">
      <alignment horizontal="center" vertical="center" wrapText="1"/>
    </xf>
    <xf numFmtId="0" fontId="4" fillId="6" borderId="1" xfId="0" applyFont="1" applyFill="1" applyBorder="1" applyAlignment="1">
      <alignment horizontal="center" vertical="center" wrapText="1"/>
    </xf>
    <xf numFmtId="0" fontId="0" fillId="0" borderId="0" xfId="0" applyFill="1" applyAlignment="1">
      <alignment vertical="center"/>
    </xf>
    <xf numFmtId="0" fontId="0" fillId="0" borderId="0" xfId="0" applyAlignment="1">
      <alignment vertical="center" wrapText="1"/>
    </xf>
    <xf numFmtId="0" fontId="0" fillId="0" borderId="1" xfId="0" applyFill="1" applyBorder="1" applyAlignment="1">
      <alignment vertical="center" wrapText="1"/>
    </xf>
    <xf numFmtId="0" fontId="5" fillId="7" borderId="1" xfId="0" applyFont="1" applyFill="1" applyBorder="1" applyAlignment="1">
      <alignment vertical="center" wrapText="1"/>
    </xf>
    <xf numFmtId="0" fontId="0" fillId="0" borderId="0" xfId="0" applyFill="1" applyBorder="1" applyAlignment="1">
      <alignment vertical="center" wrapText="1"/>
    </xf>
    <xf numFmtId="0" fontId="5" fillId="6" borderId="1" xfId="0" applyFont="1" applyFill="1" applyBorder="1" applyAlignment="1">
      <alignment vertical="center" wrapText="1"/>
    </xf>
    <xf numFmtId="0" fontId="5" fillId="0" borderId="0" xfId="0" applyFont="1" applyFill="1" applyBorder="1" applyAlignment="1">
      <alignment vertical="center" wrapText="1"/>
    </xf>
    <xf numFmtId="0" fontId="0" fillId="0" borderId="0" xfId="0" applyFill="1" applyBorder="1" applyAlignment="1">
      <alignment vertical="center"/>
    </xf>
    <xf numFmtId="0" fontId="0" fillId="0" borderId="1" xfId="0" applyBorder="1" applyAlignment="1">
      <alignment vertical="center"/>
    </xf>
    <xf numFmtId="0" fontId="9" fillId="5" borderId="1" xfId="0" applyFont="1" applyFill="1" applyBorder="1" applyAlignment="1">
      <alignment vertical="center"/>
    </xf>
    <xf numFmtId="0" fontId="0" fillId="7" borderId="1" xfId="0" applyFill="1" applyBorder="1" applyAlignment="1">
      <alignment vertical="center"/>
    </xf>
    <xf numFmtId="0" fontId="0" fillId="4" borderId="1" xfId="0" applyFill="1" applyBorder="1" applyAlignment="1">
      <alignment vertical="center"/>
    </xf>
    <xf numFmtId="0" fontId="4" fillId="4" borderId="1" xfId="0" applyFont="1" applyFill="1" applyBorder="1" applyAlignment="1">
      <alignment horizontal="center" vertical="center" wrapText="1"/>
    </xf>
    <xf numFmtId="0" fontId="0" fillId="4" borderId="1" xfId="0" applyFill="1" applyBorder="1" applyAlignment="1">
      <alignment horizontal="center" vertical="center" wrapText="1"/>
    </xf>
    <xf numFmtId="0" fontId="2" fillId="0" borderId="0" xfId="0" applyFont="1" applyFill="1" applyBorder="1" applyAlignment="1">
      <alignment horizontal="left" vertical="center" wrapText="1"/>
    </xf>
    <xf numFmtId="0" fontId="8" fillId="0" borderId="0" xfId="0" applyFont="1" applyFill="1" applyBorder="1" applyAlignment="1">
      <alignment horizontal="center" vertical="center" wrapText="1"/>
    </xf>
    <xf numFmtId="0" fontId="2" fillId="5" borderId="1" xfId="0" applyFont="1" applyFill="1" applyBorder="1" applyAlignment="1">
      <alignment horizontal="left" vertical="center" wrapText="1"/>
    </xf>
    <xf numFmtId="0" fontId="6" fillId="0" borderId="2" xfId="0" applyFont="1" applyFill="1" applyBorder="1" applyAlignment="1"/>
    <xf numFmtId="0" fontId="7" fillId="0" borderId="0" xfId="0" applyFont="1" applyAlignment="1">
      <alignment vertical="center"/>
    </xf>
    <xf numFmtId="0" fontId="12" fillId="0" borderId="0" xfId="0" applyFont="1" applyAlignment="1">
      <alignment vertical="center"/>
    </xf>
    <xf numFmtId="0" fontId="0" fillId="8" borderId="1" xfId="0" applyFill="1" applyBorder="1" applyAlignment="1">
      <alignment vertical="center"/>
    </xf>
    <xf numFmtId="0" fontId="7" fillId="0" borderId="0" xfId="0" applyFont="1" applyFill="1" applyAlignment="1">
      <alignment vertical="center"/>
    </xf>
    <xf numFmtId="0" fontId="12" fillId="0" borderId="0" xfId="0" applyFont="1" applyFill="1" applyAlignment="1">
      <alignment vertical="center"/>
    </xf>
    <xf numFmtId="0" fontId="4" fillId="0" borderId="0" xfId="0" applyFont="1" applyFill="1" applyBorder="1" applyAlignment="1">
      <alignment horizontal="center" vertical="center" wrapText="1"/>
    </xf>
    <xf numFmtId="0" fontId="12" fillId="0" borderId="0" xfId="0" applyFont="1" applyFill="1" applyBorder="1" applyAlignment="1">
      <alignment vertical="center"/>
    </xf>
    <xf numFmtId="0" fontId="13" fillId="0" borderId="1" xfId="0" applyFont="1" applyFill="1" applyBorder="1" applyAlignment="1">
      <alignment horizontal="center" vertical="center"/>
    </xf>
    <xf numFmtId="0" fontId="13" fillId="0" borderId="1" xfId="0" applyFont="1" applyBorder="1" applyAlignment="1">
      <alignment vertical="center"/>
    </xf>
    <xf numFmtId="0" fontId="13" fillId="0" borderId="1" xfId="0" applyFont="1" applyFill="1" applyBorder="1" applyAlignment="1">
      <alignment horizontal="center" vertical="center" wrapText="1"/>
    </xf>
    <xf numFmtId="0" fontId="13" fillId="7" borderId="1" xfId="0" applyFont="1" applyFill="1" applyBorder="1" applyAlignment="1">
      <alignment vertical="center"/>
    </xf>
    <xf numFmtId="0" fontId="13" fillId="0" borderId="0" xfId="0" applyFont="1" applyFill="1" applyAlignment="1">
      <alignment vertical="center"/>
    </xf>
    <xf numFmtId="0" fontId="0" fillId="0" borderId="0" xfId="0" applyFill="1" applyAlignment="1">
      <alignment horizontal="center" vertical="center"/>
    </xf>
    <xf numFmtId="9" fontId="13" fillId="0" borderId="1" xfId="0" applyNumberFormat="1" applyFont="1" applyFill="1" applyBorder="1" applyAlignment="1">
      <alignment horizontal="center" vertical="center" wrapText="1"/>
    </xf>
    <xf numFmtId="0" fontId="2" fillId="7" borderId="1" xfId="0" applyFont="1" applyFill="1" applyBorder="1" applyAlignment="1">
      <alignment vertical="center"/>
    </xf>
    <xf numFmtId="0" fontId="8" fillId="7" borderId="3" xfId="0" applyFont="1" applyFill="1" applyBorder="1" applyAlignment="1">
      <alignment vertical="center"/>
    </xf>
    <xf numFmtId="0" fontId="8" fillId="7" borderId="1" xfId="0" applyFont="1" applyFill="1" applyBorder="1" applyAlignment="1">
      <alignment vertical="center"/>
    </xf>
    <xf numFmtId="0" fontId="13" fillId="7" borderId="1" xfId="0" applyFont="1" applyFill="1" applyBorder="1" applyAlignment="1">
      <alignment horizontal="center" vertical="center"/>
    </xf>
    <xf numFmtId="0" fontId="7" fillId="7" borderId="1" xfId="0" applyFont="1" applyFill="1" applyBorder="1" applyAlignment="1">
      <alignment horizontal="center" vertical="center"/>
    </xf>
    <xf numFmtId="0" fontId="7" fillId="0" borderId="1" xfId="0" applyFont="1" applyFill="1" applyBorder="1" applyAlignment="1">
      <alignment horizontal="center" vertical="center"/>
    </xf>
    <xf numFmtId="0" fontId="0" fillId="7" borderId="1" xfId="0" applyFont="1" applyFill="1" applyBorder="1" applyAlignment="1">
      <alignment horizontal="center" vertical="center"/>
    </xf>
    <xf numFmtId="0" fontId="7" fillId="0" borderId="1" xfId="0" applyFont="1" applyFill="1" applyBorder="1" applyAlignment="1">
      <alignment horizontal="left" vertical="center"/>
    </xf>
    <xf numFmtId="0" fontId="0" fillId="0" borderId="0" xfId="0" applyFill="1" applyAlignment="1">
      <alignment vertical="center" wrapText="1"/>
    </xf>
    <xf numFmtId="14" fontId="0" fillId="0" borderId="1" xfId="0" applyNumberFormat="1" applyFill="1" applyBorder="1" applyAlignment="1">
      <alignment horizontal="center" vertical="center" wrapText="1"/>
    </xf>
    <xf numFmtId="0" fontId="18" fillId="10" borderId="6" xfId="10" applyFont="1" applyFill="1" applyBorder="1" applyAlignment="1">
      <alignment horizontal="left" vertical="center"/>
    </xf>
    <xf numFmtId="0" fontId="2" fillId="0" borderId="1" xfId="0" applyFont="1" applyFill="1" applyBorder="1" applyAlignment="1">
      <alignment horizontal="center" vertical="center" wrapText="1"/>
    </xf>
    <xf numFmtId="0" fontId="26" fillId="8" borderId="1" xfId="0" applyFont="1" applyFill="1" applyBorder="1" applyAlignment="1">
      <alignment horizontal="center" vertical="center"/>
    </xf>
    <xf numFmtId="0" fontId="26" fillId="8" borderId="1" xfId="0" applyFont="1" applyFill="1" applyBorder="1" applyAlignment="1">
      <alignment vertical="center"/>
    </xf>
    <xf numFmtId="0" fontId="0" fillId="0" borderId="9" xfId="0" applyBorder="1" applyAlignment="1">
      <alignment vertical="center"/>
    </xf>
    <xf numFmtId="0" fontId="0" fillId="0" borderId="10" xfId="0" applyBorder="1" applyAlignment="1">
      <alignment vertical="center"/>
    </xf>
    <xf numFmtId="0" fontId="0" fillId="0" borderId="11" xfId="0" applyBorder="1" applyAlignment="1">
      <alignment vertical="center"/>
    </xf>
    <xf numFmtId="0" fontId="0" fillId="0" borderId="12" xfId="0" applyBorder="1" applyAlignment="1">
      <alignment vertical="center"/>
    </xf>
    <xf numFmtId="0" fontId="0" fillId="0" borderId="13" xfId="0" applyBorder="1" applyAlignment="1">
      <alignment vertical="center"/>
    </xf>
    <xf numFmtId="0" fontId="0" fillId="0" borderId="12" xfId="0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0" fontId="27" fillId="0" borderId="1" xfId="0" applyFont="1" applyFill="1" applyBorder="1" applyAlignment="1">
      <alignment horizontal="center" vertical="center" wrapText="1"/>
    </xf>
    <xf numFmtId="0" fontId="28" fillId="0" borderId="1" xfId="0" applyFont="1" applyFill="1" applyBorder="1" applyAlignment="1">
      <alignment horizontal="center" vertical="center" wrapText="1"/>
    </xf>
    <xf numFmtId="0" fontId="29" fillId="0" borderId="1" xfId="0" applyFont="1" applyFill="1" applyBorder="1" applyAlignment="1">
      <alignment horizontal="center" vertical="center" wrapText="1"/>
    </xf>
    <xf numFmtId="0" fontId="30" fillId="0" borderId="1" xfId="0" applyFont="1" applyFill="1" applyBorder="1" applyAlignment="1">
      <alignment horizontal="center" vertical="center" wrapText="1"/>
    </xf>
    <xf numFmtId="0" fontId="8" fillId="10" borderId="6" xfId="10" applyFont="1" applyFill="1" applyBorder="1" applyAlignment="1">
      <alignment horizontal="left" vertical="center"/>
    </xf>
    <xf numFmtId="0" fontId="31" fillId="0" borderId="1" xfId="0" applyFont="1" applyFill="1" applyBorder="1" applyAlignment="1">
      <alignment horizontal="center" vertical="center" wrapText="1"/>
    </xf>
    <xf numFmtId="0" fontId="32" fillId="0" borderId="1" xfId="0" applyFont="1" applyFill="1" applyBorder="1" applyAlignment="1">
      <alignment horizontal="center" vertical="center" wrapText="1"/>
    </xf>
    <xf numFmtId="0" fontId="7" fillId="0" borderId="1" xfId="0" applyFont="1" applyFill="1" applyBorder="1" applyAlignment="1">
      <alignment horizontal="center" vertical="center" wrapText="1"/>
    </xf>
    <xf numFmtId="0" fontId="0" fillId="0" borderId="0" xfId="17" applyFont="1">
      <alignment vertical="center"/>
    </xf>
    <xf numFmtId="0" fontId="2" fillId="0" borderId="0" xfId="17" applyFont="1">
      <alignment vertical="center"/>
    </xf>
    <xf numFmtId="0" fontId="0" fillId="0" borderId="0" xfId="18" applyFont="1">
      <alignment vertical="center"/>
    </xf>
    <xf numFmtId="0" fontId="0" fillId="13" borderId="1" xfId="18" applyFont="1" applyFill="1" applyBorder="1">
      <alignment vertical="center"/>
    </xf>
    <xf numFmtId="0" fontId="0" fillId="14" borderId="1" xfId="18" applyFont="1" applyFill="1" applyBorder="1">
      <alignment vertical="center"/>
    </xf>
    <xf numFmtId="0" fontId="2" fillId="13" borderId="1" xfId="18" applyFont="1" applyFill="1" applyBorder="1">
      <alignment vertical="center"/>
    </xf>
    <xf numFmtId="0" fontId="2" fillId="14" borderId="1" xfId="18" applyFont="1" applyFill="1" applyBorder="1">
      <alignment vertical="center"/>
    </xf>
    <xf numFmtId="0" fontId="0" fillId="14" borderId="1" xfId="18" applyFont="1" applyFill="1" applyBorder="1" applyAlignment="1">
      <alignment vertical="center" wrapText="1"/>
    </xf>
    <xf numFmtId="0" fontId="2" fillId="14" borderId="1" xfId="18" applyFont="1" applyFill="1" applyBorder="1" applyAlignment="1">
      <alignment vertical="center" wrapText="1"/>
    </xf>
    <xf numFmtId="0" fontId="2" fillId="9" borderId="6" xfId="0" applyFont="1" applyFill="1" applyBorder="1" applyAlignment="1">
      <alignment vertical="center"/>
    </xf>
    <xf numFmtId="0" fontId="36" fillId="9" borderId="6" xfId="0" applyFont="1" applyFill="1" applyBorder="1" applyAlignment="1">
      <alignment vertical="center"/>
    </xf>
    <xf numFmtId="0" fontId="2" fillId="0" borderId="1" xfId="0" applyFont="1" applyFill="1" applyBorder="1" applyAlignment="1">
      <alignment horizontal="left" vertical="center" wrapText="1"/>
    </xf>
    <xf numFmtId="0" fontId="2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2" fillId="15" borderId="1" xfId="17" applyFont="1" applyFill="1" applyBorder="1">
      <alignment vertical="center"/>
    </xf>
    <xf numFmtId="0" fontId="0" fillId="15" borderId="1" xfId="17" applyFont="1" applyFill="1" applyBorder="1">
      <alignment vertical="center"/>
    </xf>
    <xf numFmtId="0" fontId="2" fillId="17" borderId="1" xfId="17" applyFont="1" applyFill="1" applyBorder="1">
      <alignment vertical="center"/>
    </xf>
    <xf numFmtId="0" fontId="0" fillId="17" borderId="1" xfId="17" applyFont="1" applyFill="1" applyBorder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vertical="center"/>
    </xf>
    <xf numFmtId="0" fontId="2" fillId="0" borderId="1" xfId="0" applyFont="1" applyBorder="1" applyAlignment="1">
      <alignment vertical="center"/>
    </xf>
    <xf numFmtId="0" fontId="2" fillId="19" borderId="1" xfId="0" applyFont="1" applyFill="1" applyBorder="1" applyAlignment="1">
      <alignment vertical="center"/>
    </xf>
    <xf numFmtId="0" fontId="2" fillId="0" borderId="0" xfId="0" applyFont="1" applyAlignment="1">
      <alignment vertical="center" wrapText="1"/>
    </xf>
    <xf numFmtId="49" fontId="0" fillId="0" borderId="0" xfId="0" applyNumberFormat="1" applyAlignment="1">
      <alignment vertical="center" wrapText="1"/>
    </xf>
    <xf numFmtId="0" fontId="41" fillId="20" borderId="20" xfId="0" applyFont="1" applyFill="1" applyBorder="1" applyAlignment="1">
      <alignment horizontal="center" vertical="top" wrapText="1"/>
    </xf>
    <xf numFmtId="0" fontId="41" fillId="20" borderId="21" xfId="0" applyFont="1" applyFill="1" applyBorder="1" applyAlignment="1">
      <alignment horizontal="center" vertical="top" wrapText="1"/>
    </xf>
    <xf numFmtId="0" fontId="42" fillId="0" borderId="22" xfId="0" applyFont="1" applyBorder="1" applyAlignment="1">
      <alignment vertical="top" wrapText="1"/>
    </xf>
    <xf numFmtId="0" fontId="42" fillId="0" borderId="23" xfId="0" applyFont="1" applyBorder="1" applyAlignment="1">
      <alignment vertical="top" wrapText="1"/>
    </xf>
    <xf numFmtId="0" fontId="43" fillId="0" borderId="23" xfId="0" applyFont="1" applyBorder="1" applyAlignment="1">
      <alignment vertical="top" wrapText="1"/>
    </xf>
    <xf numFmtId="0" fontId="44" fillId="0" borderId="0" xfId="0" applyFont="1" applyAlignment="1">
      <alignment vertical="center"/>
    </xf>
    <xf numFmtId="0" fontId="45" fillId="0" borderId="23" xfId="0" applyFont="1" applyBorder="1" applyAlignment="1">
      <alignment vertical="top" wrapText="1"/>
    </xf>
    <xf numFmtId="0" fontId="45" fillId="0" borderId="22" xfId="0" applyFont="1" applyBorder="1" applyAlignment="1">
      <alignment vertical="top" wrapText="1"/>
    </xf>
    <xf numFmtId="0" fontId="2" fillId="0" borderId="7" xfId="0" applyFont="1" applyBorder="1" applyAlignment="1">
      <alignment vertical="center"/>
    </xf>
    <xf numFmtId="0" fontId="2" fillId="0" borderId="3" xfId="0" applyFont="1" applyBorder="1" applyAlignment="1">
      <alignment vertical="center"/>
    </xf>
    <xf numFmtId="0" fontId="0" fillId="0" borderId="8" xfId="0" applyBorder="1" applyAlignment="1">
      <alignment vertical="center"/>
    </xf>
    <xf numFmtId="0" fontId="2" fillId="21" borderId="1" xfId="0" applyFont="1" applyFill="1" applyBorder="1" applyAlignment="1">
      <alignment vertical="center"/>
    </xf>
    <xf numFmtId="0" fontId="40" fillId="21" borderId="1" xfId="0" applyFont="1" applyFill="1" applyBorder="1" applyAlignment="1">
      <alignment vertical="center"/>
    </xf>
    <xf numFmtId="0" fontId="40" fillId="21" borderId="1" xfId="0" applyFont="1" applyFill="1" applyBorder="1" applyAlignment="1">
      <alignment vertical="center" wrapText="1"/>
    </xf>
    <xf numFmtId="0" fontId="2" fillId="21" borderId="1" xfId="0" applyFont="1" applyFill="1" applyBorder="1" applyAlignment="1">
      <alignment vertical="center" wrapText="1"/>
    </xf>
    <xf numFmtId="0" fontId="0" fillId="17" borderId="1" xfId="0" applyFill="1" applyBorder="1" applyAlignment="1">
      <alignment vertical="center"/>
    </xf>
    <xf numFmtId="0" fontId="2" fillId="17" borderId="1" xfId="0" applyFont="1" applyFill="1" applyBorder="1" applyAlignment="1">
      <alignment vertical="center"/>
    </xf>
    <xf numFmtId="0" fontId="2" fillId="17" borderId="1" xfId="0" applyFont="1" applyFill="1" applyBorder="1" applyAlignment="1">
      <alignment vertical="center" wrapText="1"/>
    </xf>
    <xf numFmtId="0" fontId="2" fillId="16" borderId="1" xfId="0" applyFont="1" applyFill="1" applyBorder="1" applyAlignment="1">
      <alignment vertical="center"/>
    </xf>
    <xf numFmtId="0" fontId="0" fillId="16" borderId="1" xfId="0" applyFill="1" applyBorder="1" applyAlignment="1">
      <alignment vertical="center"/>
    </xf>
    <xf numFmtId="0" fontId="9" fillId="15" borderId="1" xfId="0" applyFont="1" applyFill="1" applyBorder="1" applyAlignment="1">
      <alignment vertical="center"/>
    </xf>
    <xf numFmtId="0" fontId="6" fillId="0" borderId="20" xfId="0" applyFont="1" applyBorder="1" applyAlignment="1">
      <alignment vertical="top" wrapText="1"/>
    </xf>
    <xf numFmtId="0" fontId="7" fillId="0" borderId="22" xfId="0" applyFont="1" applyBorder="1" applyAlignment="1">
      <alignment vertical="top" wrapText="1"/>
    </xf>
    <xf numFmtId="0" fontId="47" fillId="0" borderId="22" xfId="0" applyFont="1" applyBorder="1" applyAlignment="1">
      <alignment vertical="top" wrapText="1"/>
    </xf>
    <xf numFmtId="0" fontId="2" fillId="0" borderId="8" xfId="0" applyFont="1" applyBorder="1" applyAlignment="1">
      <alignment vertical="center"/>
    </xf>
    <xf numFmtId="0" fontId="40" fillId="14" borderId="1" xfId="18" applyFont="1" applyFill="1" applyBorder="1">
      <alignment vertical="center"/>
    </xf>
    <xf numFmtId="0" fontId="40" fillId="15" borderId="1" xfId="17" applyFont="1" applyFill="1" applyBorder="1">
      <alignment vertical="center"/>
    </xf>
    <xf numFmtId="0" fontId="2" fillId="0" borderId="0" xfId="0" applyFont="1" applyAlignment="1">
      <alignment vertical="center" wrapText="1" shrinkToFit="1"/>
    </xf>
    <xf numFmtId="0" fontId="0" fillId="0" borderId="0" xfId="0" applyAlignment="1">
      <alignment vertical="center" wrapText="1" shrinkToFit="1"/>
    </xf>
    <xf numFmtId="0" fontId="2" fillId="0" borderId="1" xfId="0" applyFont="1" applyBorder="1" applyAlignment="1">
      <alignment vertical="center" wrapText="1" shrinkToFit="1"/>
    </xf>
    <xf numFmtId="0" fontId="0" fillId="0" borderId="0" xfId="0" applyAlignment="1">
      <alignment vertical="center"/>
    </xf>
    <xf numFmtId="0" fontId="2" fillId="0" borderId="0" xfId="0" applyFont="1" applyAlignment="1">
      <alignment vertical="center" wrapText="1"/>
    </xf>
    <xf numFmtId="0" fontId="0" fillId="13" borderId="1" xfId="17" applyFont="1" applyFill="1" applyBorder="1">
      <alignment vertical="center"/>
    </xf>
    <xf numFmtId="0" fontId="2" fillId="13" borderId="1" xfId="17" applyFont="1" applyFill="1" applyBorder="1">
      <alignment vertical="center"/>
    </xf>
    <xf numFmtId="0" fontId="7" fillId="0" borderId="24" xfId="0" applyFont="1" applyBorder="1" applyAlignment="1">
      <alignment vertical="top" wrapText="1"/>
    </xf>
    <xf numFmtId="0" fontId="2" fillId="0" borderId="0" xfId="0" applyFont="1" applyAlignment="1">
      <alignment vertical="center" wrapText="1"/>
    </xf>
    <xf numFmtId="0" fontId="0" fillId="0" borderId="0" xfId="0" applyAlignment="1">
      <alignment vertical="center" wrapText="1"/>
    </xf>
    <xf numFmtId="0" fontId="2" fillId="0" borderId="0" xfId="0" applyFont="1" applyAlignment="1">
      <alignment vertical="center"/>
    </xf>
    <xf numFmtId="0" fontId="0" fillId="0" borderId="0" xfId="0" applyAlignment="1">
      <alignment vertical="center"/>
    </xf>
    <xf numFmtId="0" fontId="0" fillId="0" borderId="1" xfId="0" applyBorder="1" applyAlignment="1">
      <alignment horizontal="right" vertical="center"/>
    </xf>
    <xf numFmtId="0" fontId="0" fillId="15" borderId="1" xfId="0" applyFill="1" applyBorder="1" applyAlignment="1">
      <alignment horizontal="right" vertical="center"/>
    </xf>
    <xf numFmtId="0" fontId="2" fillId="15" borderId="1" xfId="0" applyFont="1" applyFill="1" applyBorder="1" applyAlignment="1">
      <alignment horizontal="right" vertical="center"/>
    </xf>
    <xf numFmtId="0" fontId="2" fillId="0" borderId="1" xfId="0" applyFont="1" applyBorder="1" applyAlignment="1">
      <alignment horizontal="right" vertical="center"/>
    </xf>
    <xf numFmtId="0" fontId="9" fillId="23" borderId="20" xfId="0" applyFont="1" applyFill="1" applyBorder="1" applyAlignment="1">
      <alignment vertical="top" wrapText="1"/>
    </xf>
    <xf numFmtId="0" fontId="6" fillId="23" borderId="24" xfId="0" applyFont="1" applyFill="1" applyBorder="1" applyAlignment="1">
      <alignment vertical="top" wrapText="1"/>
    </xf>
    <xf numFmtId="0" fontId="2" fillId="24" borderId="1" xfId="0" applyFont="1" applyFill="1" applyBorder="1" applyAlignment="1">
      <alignment vertical="center"/>
    </xf>
    <xf numFmtId="0" fontId="2" fillId="24" borderId="1" xfId="0" applyFont="1" applyFill="1" applyBorder="1" applyAlignment="1">
      <alignment vertical="center" wrapText="1"/>
    </xf>
    <xf numFmtId="0" fontId="40" fillId="24" borderId="1" xfId="0" applyFont="1" applyFill="1" applyBorder="1" applyAlignment="1">
      <alignment vertical="center" wrapText="1"/>
    </xf>
    <xf numFmtId="0" fontId="2" fillId="22" borderId="1" xfId="0" applyFont="1" applyFill="1" applyBorder="1" applyAlignment="1">
      <alignment vertical="center"/>
    </xf>
    <xf numFmtId="0" fontId="0" fillId="0" borderId="24" xfId="0" applyBorder="1" applyAlignment="1">
      <alignment vertical="center"/>
    </xf>
    <xf numFmtId="0" fontId="0" fillId="0" borderId="0" xfId="0" applyAlignment="1">
      <alignment vertical="center" wrapText="1"/>
    </xf>
    <xf numFmtId="0" fontId="2" fillId="7" borderId="1" xfId="0" applyFont="1" applyFill="1" applyBorder="1" applyAlignment="1">
      <alignment vertical="center" wrapText="1"/>
    </xf>
    <xf numFmtId="0" fontId="2" fillId="0" borderId="1" xfId="7" applyBorder="1">
      <alignment vertical="center"/>
    </xf>
    <xf numFmtId="0" fontId="18" fillId="27" borderId="1" xfId="10" applyFont="1" applyFill="1" applyBorder="1">
      <alignment vertical="center"/>
    </xf>
    <xf numFmtId="0" fontId="8" fillId="27" borderId="1" xfId="0" applyFont="1" applyFill="1" applyBorder="1" applyAlignment="1">
      <alignment vertical="center"/>
    </xf>
    <xf numFmtId="0" fontId="10" fillId="10" borderId="6" xfId="10" applyFont="1" applyFill="1" applyBorder="1" applyAlignment="1">
      <alignment horizontal="left" vertical="center"/>
    </xf>
    <xf numFmtId="0" fontId="8" fillId="27" borderId="6" xfId="10" applyFont="1" applyFill="1" applyBorder="1" applyAlignment="1">
      <alignment horizontal="left" vertical="center"/>
    </xf>
    <xf numFmtId="0" fontId="2" fillId="0" borderId="0" xfId="7">
      <alignment vertical="center"/>
    </xf>
    <xf numFmtId="0" fontId="7" fillId="5" borderId="6" xfId="0" applyFont="1" applyFill="1" applyBorder="1" applyAlignment="1">
      <alignment horizontal="center" vertical="center"/>
    </xf>
    <xf numFmtId="0" fontId="7" fillId="5" borderId="4" xfId="0" applyFont="1" applyFill="1" applyBorder="1" applyAlignment="1">
      <alignment horizontal="center" vertical="center"/>
    </xf>
    <xf numFmtId="0" fontId="7" fillId="5" borderId="5" xfId="0" applyFont="1" applyFill="1" applyBorder="1" applyAlignment="1">
      <alignment horizontal="center" vertical="center" wrapText="1"/>
    </xf>
    <xf numFmtId="0" fontId="7" fillId="5" borderId="6" xfId="0" applyFont="1" applyFill="1" applyBorder="1" applyAlignment="1">
      <alignment horizontal="left" vertical="center"/>
    </xf>
    <xf numFmtId="0" fontId="7" fillId="5" borderId="5" xfId="0" applyFont="1" applyFill="1" applyBorder="1" applyAlignment="1">
      <alignment horizontal="center" vertical="center"/>
    </xf>
    <xf numFmtId="0" fontId="7" fillId="5" borderId="4" xfId="0" applyFont="1" applyFill="1" applyBorder="1" applyAlignment="1">
      <alignment horizontal="left" vertical="center"/>
    </xf>
    <xf numFmtId="0" fontId="7" fillId="5" borderId="5" xfId="0" applyFont="1" applyFill="1" applyBorder="1" applyAlignment="1">
      <alignment horizontal="left" vertical="center"/>
    </xf>
    <xf numFmtId="0" fontId="7" fillId="5" borderId="1" xfId="0" applyFont="1" applyFill="1" applyBorder="1" applyAlignment="1">
      <alignment horizontal="center" vertical="center"/>
    </xf>
    <xf numFmtId="0" fontId="7" fillId="5" borderId="1" xfId="0" applyFont="1" applyFill="1" applyBorder="1" applyAlignment="1">
      <alignment vertical="center" wrapText="1"/>
    </xf>
    <xf numFmtId="0" fontId="7" fillId="5" borderId="1" xfId="0" applyFont="1" applyFill="1" applyBorder="1" applyAlignment="1">
      <alignment vertical="center"/>
    </xf>
    <xf numFmtId="0" fontId="2" fillId="27" borderId="1" xfId="7" applyFont="1" applyFill="1" applyBorder="1">
      <alignment vertical="center"/>
    </xf>
    <xf numFmtId="0" fontId="2" fillId="29" borderId="1" xfId="7" applyFont="1" applyFill="1" applyBorder="1">
      <alignment vertical="center"/>
    </xf>
    <xf numFmtId="0" fontId="7" fillId="0" borderId="24" xfId="0" applyFont="1" applyBorder="1" applyAlignment="1">
      <alignment vertical="top" wrapText="1"/>
    </xf>
    <xf numFmtId="0" fontId="0" fillId="0" borderId="0" xfId="0" applyAlignment="1">
      <alignment vertical="center"/>
    </xf>
    <xf numFmtId="0" fontId="2" fillId="27" borderId="6" xfId="7" applyFont="1" applyFill="1" applyBorder="1">
      <alignment vertical="center"/>
    </xf>
    <xf numFmtId="0" fontId="2" fillId="0" borderId="0" xfId="7" applyAlignment="1">
      <alignment horizontal="center" vertical="center"/>
    </xf>
    <xf numFmtId="0" fontId="2" fillId="0" borderId="0" xfId="7" applyFont="1" applyBorder="1" applyAlignment="1">
      <alignment horizontal="center" vertical="center"/>
    </xf>
    <xf numFmtId="0" fontId="2" fillId="27" borderId="1" xfId="0" applyFont="1" applyFill="1" applyBorder="1" applyAlignment="1">
      <alignment horizontal="center" vertical="center"/>
    </xf>
    <xf numFmtId="0" fontId="8" fillId="27" borderId="3" xfId="0" applyFont="1" applyFill="1" applyBorder="1" applyAlignment="1">
      <alignment vertical="center"/>
    </xf>
    <xf numFmtId="0" fontId="8" fillId="27" borderId="3" xfId="0" applyFont="1" applyFill="1" applyBorder="1" applyAlignment="1">
      <alignment vertical="center" wrapText="1"/>
    </xf>
    <xf numFmtId="0" fontId="8" fillId="27" borderId="1" xfId="10" applyFont="1" applyFill="1" applyBorder="1">
      <alignment vertical="center"/>
    </xf>
    <xf numFmtId="0" fontId="0" fillId="30" borderId="6" xfId="0" applyFill="1" applyBorder="1" applyAlignment="1">
      <alignment horizontal="left" vertical="center"/>
    </xf>
    <xf numFmtId="0" fontId="18" fillId="30" borderId="6" xfId="10" applyFont="1" applyFill="1" applyBorder="1" applyAlignment="1">
      <alignment horizontal="center" vertical="center"/>
    </xf>
    <xf numFmtId="0" fontId="40" fillId="0" borderId="0" xfId="0" applyFont="1" applyBorder="1" applyAlignment="1">
      <alignment vertical="center"/>
    </xf>
    <xf numFmtId="9" fontId="40" fillId="0" borderId="0" xfId="0" applyNumberFormat="1" applyFont="1" applyBorder="1" applyAlignment="1">
      <alignment vertical="center"/>
    </xf>
    <xf numFmtId="0" fontId="40" fillId="0" borderId="0" xfId="0" applyFont="1" applyAlignment="1">
      <alignment vertical="center"/>
    </xf>
    <xf numFmtId="0" fontId="2" fillId="0" borderId="0" xfId="0" applyFont="1" applyBorder="1" applyAlignment="1">
      <alignment vertical="center"/>
    </xf>
    <xf numFmtId="49" fontId="2" fillId="0" borderId="0" xfId="0" applyNumberFormat="1" applyFont="1" applyBorder="1" applyAlignment="1">
      <alignment vertical="center"/>
    </xf>
    <xf numFmtId="9" fontId="0" fillId="0" borderId="0" xfId="0" applyNumberFormat="1" applyAlignment="1">
      <alignment vertical="center"/>
    </xf>
    <xf numFmtId="0" fontId="2" fillId="26" borderId="1" xfId="0" applyFont="1" applyFill="1" applyBorder="1" applyAlignment="1">
      <alignment horizontal="center" vertical="center" wrapText="1"/>
    </xf>
    <xf numFmtId="0" fontId="0" fillId="27" borderId="1" xfId="0" applyFill="1" applyBorder="1" applyAlignment="1">
      <alignment horizontal="center" vertical="center"/>
    </xf>
    <xf numFmtId="0" fontId="2" fillId="12" borderId="1" xfId="0" applyFont="1" applyFill="1" applyBorder="1" applyAlignment="1">
      <alignment horizontal="center" vertical="center"/>
    </xf>
    <xf numFmtId="0" fontId="2" fillId="0" borderId="0" xfId="0" applyFont="1" applyAlignment="1">
      <alignment vertical="center"/>
    </xf>
    <xf numFmtId="0" fontId="2" fillId="27" borderId="1" xfId="0" applyFont="1" applyFill="1" applyBorder="1" applyAlignment="1">
      <alignment horizontal="center" vertical="center" wrapText="1"/>
    </xf>
    <xf numFmtId="0" fontId="0" fillId="11" borderId="0" xfId="0" applyFill="1" applyBorder="1" applyAlignment="1">
      <alignment horizontal="center" vertical="center"/>
    </xf>
    <xf numFmtId="0" fontId="0" fillId="0" borderId="0" xfId="0" applyAlignment="1">
      <alignment vertical="center" wrapText="1"/>
    </xf>
    <xf numFmtId="0" fontId="0" fillId="0" borderId="0" xfId="0" applyBorder="1" applyAlignment="1">
      <alignment vertical="center"/>
    </xf>
    <xf numFmtId="0" fontId="2" fillId="0" borderId="0" xfId="0" applyFont="1" applyAlignment="1">
      <alignment vertical="center"/>
    </xf>
    <xf numFmtId="0" fontId="0" fillId="0" borderId="0" xfId="0" applyAlignment="1">
      <alignment vertical="center"/>
    </xf>
    <xf numFmtId="0" fontId="2" fillId="31" borderId="1" xfId="7" applyFill="1" applyBorder="1">
      <alignment vertical="center"/>
    </xf>
    <xf numFmtId="0" fontId="2" fillId="31" borderId="7" xfId="7" applyFill="1" applyBorder="1">
      <alignment vertical="center"/>
    </xf>
    <xf numFmtId="0" fontId="2" fillId="32" borderId="1" xfId="7" applyFill="1" applyBorder="1">
      <alignment vertical="center"/>
    </xf>
    <xf numFmtId="0" fontId="2" fillId="0" borderId="1" xfId="7" applyFont="1" applyBorder="1" applyAlignment="1">
      <alignment horizontal="center" vertical="center"/>
    </xf>
    <xf numFmtId="0" fontId="2" fillId="0" borderId="1" xfId="7" applyFont="1" applyBorder="1" applyAlignment="1">
      <alignment horizontal="left" vertical="center"/>
    </xf>
    <xf numFmtId="0" fontId="8" fillId="0" borderId="0" xfId="0" applyFont="1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2" fillId="33" borderId="1" xfId="0" applyFont="1" applyFill="1" applyBorder="1" applyAlignment="1">
      <alignment horizontal="center" vertical="center"/>
    </xf>
    <xf numFmtId="0" fontId="2" fillId="33" borderId="1" xfId="0" applyFont="1" applyFill="1" applyBorder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0" fontId="0" fillId="33" borderId="1" xfId="0" applyFill="1" applyBorder="1" applyAlignment="1">
      <alignment horizontal="center" vertical="center"/>
    </xf>
    <xf numFmtId="0" fontId="2" fillId="26" borderId="1" xfId="0" applyFont="1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2" fillId="0" borderId="0" xfId="0" applyFont="1" applyFill="1" applyBorder="1" applyAlignment="1">
      <alignment horizontal="center" vertical="center" wrapText="1"/>
    </xf>
    <xf numFmtId="0" fontId="0" fillId="0" borderId="12" xfId="0" applyBorder="1" applyAlignment="1">
      <alignment vertical="center" wrapText="1"/>
    </xf>
    <xf numFmtId="0" fontId="0" fillId="0" borderId="0" xfId="0" applyBorder="1" applyAlignment="1">
      <alignment vertical="center" wrapText="1"/>
    </xf>
    <xf numFmtId="0" fontId="2" fillId="12" borderId="1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13" xfId="0" applyBorder="1" applyAlignment="1">
      <alignment vertical="center" wrapText="1"/>
    </xf>
    <xf numFmtId="0" fontId="0" fillId="0" borderId="0" xfId="0" applyAlignment="1">
      <alignment vertical="center"/>
    </xf>
    <xf numFmtId="0" fontId="0" fillId="33" borderId="1" xfId="0" applyFill="1" applyBorder="1" applyAlignment="1">
      <alignment horizontal="center" vertical="center" wrapText="1"/>
    </xf>
    <xf numFmtId="0" fontId="2" fillId="0" borderId="0" xfId="0" applyFont="1" applyFill="1" applyBorder="1" applyAlignment="1">
      <alignment vertical="center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vertical="center" wrapText="1"/>
    </xf>
    <xf numFmtId="0" fontId="2" fillId="0" borderId="0" xfId="0" applyFont="1" applyAlignment="1">
      <alignment vertical="center"/>
    </xf>
    <xf numFmtId="0" fontId="0" fillId="0" borderId="0" xfId="0" applyAlignment="1">
      <alignment vertical="center"/>
    </xf>
    <xf numFmtId="0" fontId="2" fillId="0" borderId="1" xfId="0" applyFont="1" applyBorder="1" applyAlignment="1">
      <alignment vertical="center"/>
    </xf>
    <xf numFmtId="0" fontId="8" fillId="10" borderId="6" xfId="10" applyFont="1" applyFill="1" applyBorder="1" applyAlignment="1">
      <alignment horizontal="left" vertical="center" wrapText="1"/>
    </xf>
    <xf numFmtId="0" fontId="8" fillId="25" borderId="6" xfId="10" applyFont="1" applyFill="1" applyBorder="1" applyAlignment="1">
      <alignment horizontal="left" vertical="center"/>
    </xf>
    <xf numFmtId="0" fontId="8" fillId="25" borderId="3" xfId="0" applyFont="1" applyFill="1" applyBorder="1" applyAlignment="1">
      <alignment vertical="center"/>
    </xf>
    <xf numFmtId="0" fontId="10" fillId="10" borderId="6" xfId="10" applyFont="1" applyFill="1" applyBorder="1" applyAlignment="1">
      <alignment horizontal="left" vertical="center" wrapText="1"/>
    </xf>
    <xf numFmtId="0" fontId="10" fillId="27" borderId="1" xfId="0" applyFont="1" applyFill="1" applyBorder="1" applyAlignment="1">
      <alignment vertical="center"/>
    </xf>
    <xf numFmtId="0" fontId="8" fillId="27" borderId="1" xfId="10" applyFont="1" applyFill="1" applyBorder="1" applyAlignment="1">
      <alignment horizontal="left" vertical="center"/>
    </xf>
    <xf numFmtId="0" fontId="8" fillId="27" borderId="1" xfId="0" applyFont="1" applyFill="1" applyBorder="1" applyAlignment="1">
      <alignment vertical="center" wrapText="1"/>
    </xf>
    <xf numFmtId="0" fontId="18" fillId="10" borderId="0" xfId="10" applyFont="1" applyFill="1" applyBorder="1" applyAlignment="1">
      <alignment horizontal="left" vertical="center"/>
    </xf>
    <xf numFmtId="0" fontId="8" fillId="7" borderId="1" xfId="0" applyFont="1" applyFill="1" applyBorder="1" applyAlignment="1" applyProtection="1">
      <alignment vertical="center"/>
    </xf>
    <xf numFmtId="0" fontId="8" fillId="7" borderId="3" xfId="0" applyFont="1" applyFill="1" applyBorder="1" applyAlignment="1" applyProtection="1">
      <alignment vertical="center"/>
    </xf>
    <xf numFmtId="0" fontId="2" fillId="7" borderId="1" xfId="0" applyFont="1" applyFill="1" applyBorder="1" applyAlignment="1" applyProtection="1">
      <alignment vertical="center"/>
    </xf>
    <xf numFmtId="0" fontId="2" fillId="7" borderId="1" xfId="0" applyFont="1" applyFill="1" applyBorder="1" applyAlignment="1" applyProtection="1">
      <alignment vertical="center" wrapText="1"/>
    </xf>
    <xf numFmtId="0" fontId="0" fillId="0" borderId="0" xfId="0" applyAlignment="1" applyProtection="1">
      <alignment vertical="center"/>
    </xf>
    <xf numFmtId="0" fontId="8" fillId="12" borderId="1" xfId="0" applyFont="1" applyFill="1" applyBorder="1" applyAlignment="1">
      <alignment vertical="center"/>
    </xf>
    <xf numFmtId="0" fontId="8" fillId="12" borderId="1" xfId="0" applyFont="1" applyFill="1" applyBorder="1" applyAlignment="1">
      <alignment vertical="center" wrapText="1"/>
    </xf>
    <xf numFmtId="0" fontId="2" fillId="0" borderId="0" xfId="0" applyFont="1" applyAlignment="1">
      <alignment vertical="center"/>
    </xf>
    <xf numFmtId="0" fontId="0" fillId="0" borderId="0" xfId="0" applyAlignment="1">
      <alignment vertical="center"/>
    </xf>
    <xf numFmtId="0" fontId="50" fillId="0" borderId="0" xfId="0" applyFont="1" applyBorder="1" applyAlignment="1">
      <alignment horizontal="left" vertical="center"/>
    </xf>
    <xf numFmtId="0" fontId="50" fillId="0" borderId="0" xfId="0" applyFont="1" applyBorder="1" applyAlignment="1">
      <alignment vertical="center"/>
    </xf>
    <xf numFmtId="0" fontId="18" fillId="10" borderId="4" xfId="10" applyFont="1" applyFill="1" applyBorder="1" applyAlignment="1">
      <alignment horizontal="left" vertical="center"/>
    </xf>
    <xf numFmtId="0" fontId="8" fillId="10" borderId="4" xfId="10" applyFont="1" applyFill="1" applyBorder="1" applyAlignment="1">
      <alignment horizontal="left" vertical="center"/>
    </xf>
    <xf numFmtId="0" fontId="2" fillId="0" borderId="1" xfId="7" applyFont="1" applyBorder="1">
      <alignment vertical="center"/>
    </xf>
    <xf numFmtId="0" fontId="21" fillId="10" borderId="7" xfId="10" applyFont="1" applyFill="1" applyBorder="1" applyAlignment="1">
      <alignment vertical="center"/>
    </xf>
    <xf numFmtId="0" fontId="2" fillId="30" borderId="1" xfId="6" applyFill="1" applyBorder="1" applyAlignment="1">
      <alignment vertical="center"/>
    </xf>
    <xf numFmtId="0" fontId="2" fillId="0" borderId="0" xfId="6" applyAlignment="1">
      <alignment vertical="center"/>
    </xf>
    <xf numFmtId="0" fontId="2" fillId="9" borderId="6" xfId="0" applyFont="1" applyFill="1" applyBorder="1" applyAlignment="1">
      <alignment vertical="center"/>
    </xf>
    <xf numFmtId="0" fontId="2" fillId="9" borderId="4" xfId="0" applyFont="1" applyFill="1" applyBorder="1" applyAlignment="1">
      <alignment vertical="center"/>
    </xf>
    <xf numFmtId="0" fontId="2" fillId="0" borderId="0" xfId="0" applyFont="1" applyAlignment="1">
      <alignment vertical="center"/>
    </xf>
    <xf numFmtId="0" fontId="2" fillId="0" borderId="1" xfId="0" applyFont="1" applyBorder="1" applyAlignment="1">
      <alignment vertical="center"/>
    </xf>
    <xf numFmtId="0" fontId="10" fillId="10" borderId="1" xfId="10" applyFont="1" applyFill="1" applyBorder="1" applyAlignment="1">
      <alignment horizontal="left" vertical="center"/>
    </xf>
    <xf numFmtId="0" fontId="8" fillId="10" borderId="1" xfId="10" applyFont="1" applyFill="1" applyBorder="1" applyAlignment="1">
      <alignment horizontal="left" vertical="center"/>
    </xf>
    <xf numFmtId="0" fontId="8" fillId="27" borderId="1" xfId="10" applyFont="1" applyFill="1" applyBorder="1" applyAlignment="1">
      <alignment vertical="center" wrapText="1"/>
    </xf>
    <xf numFmtId="0" fontId="8" fillId="27" borderId="6" xfId="10" applyFont="1" applyFill="1" applyBorder="1">
      <alignment vertical="center"/>
    </xf>
    <xf numFmtId="0" fontId="10" fillId="27" borderId="6" xfId="10" applyFont="1" applyFill="1" applyBorder="1" applyAlignment="1">
      <alignment horizontal="left" vertical="center"/>
    </xf>
    <xf numFmtId="0" fontId="8" fillId="7" borderId="1" xfId="0" applyFont="1" applyFill="1" applyBorder="1" applyAlignment="1">
      <alignment vertical="center" wrapText="1"/>
    </xf>
    <xf numFmtId="0" fontId="2" fillId="0" borderId="0" xfId="0" applyFont="1" applyFill="1" applyAlignment="1">
      <alignment vertical="center"/>
    </xf>
    <xf numFmtId="0" fontId="2" fillId="29" borderId="4" xfId="0" applyFont="1" applyFill="1" applyBorder="1" applyAlignment="1">
      <alignment vertical="center"/>
    </xf>
    <xf numFmtId="0" fontId="2" fillId="29" borderId="5" xfId="0" applyFont="1" applyFill="1" applyBorder="1" applyAlignment="1">
      <alignment vertical="center"/>
    </xf>
    <xf numFmtId="0" fontId="2" fillId="9" borderId="4" xfId="0" applyFont="1" applyFill="1" applyBorder="1" applyAlignment="1">
      <alignment vertical="center"/>
    </xf>
    <xf numFmtId="0" fontId="0" fillId="0" borderId="0" xfId="0" applyAlignment="1">
      <alignment vertical="center"/>
    </xf>
    <xf numFmtId="0" fontId="6" fillId="0" borderId="1" xfId="6" applyFont="1" applyBorder="1" applyAlignment="1">
      <alignment vertical="center"/>
    </xf>
    <xf numFmtId="0" fontId="7" fillId="0" borderId="1" xfId="6" applyFont="1" applyBorder="1" applyAlignment="1">
      <alignment vertical="center"/>
    </xf>
    <xf numFmtId="0" fontId="7" fillId="30" borderId="1" xfId="6" applyFont="1" applyFill="1" applyBorder="1" applyAlignment="1">
      <alignment vertical="center"/>
    </xf>
    <xf numFmtId="0" fontId="7" fillId="30" borderId="1" xfId="0" applyFont="1" applyFill="1" applyBorder="1" applyAlignment="1">
      <alignment vertical="center"/>
    </xf>
    <xf numFmtId="0" fontId="53" fillId="30" borderId="1" xfId="0" applyFont="1" applyFill="1" applyBorder="1" applyAlignment="1">
      <alignment vertical="center"/>
    </xf>
    <xf numFmtId="0" fontId="54" fillId="0" borderId="1" xfId="0" applyFont="1" applyBorder="1" applyAlignment="1">
      <alignment vertical="center"/>
    </xf>
    <xf numFmtId="0" fontId="55" fillId="0" borderId="0" xfId="0" applyFont="1" applyAlignment="1">
      <alignment vertical="center"/>
    </xf>
    <xf numFmtId="0" fontId="56" fillId="0" borderId="0" xfId="0" applyFont="1" applyAlignment="1">
      <alignment vertical="center"/>
    </xf>
    <xf numFmtId="0" fontId="57" fillId="0" borderId="0" xfId="0" applyFont="1" applyAlignment="1">
      <alignment vertical="center"/>
    </xf>
    <xf numFmtId="0" fontId="54" fillId="30" borderId="1" xfId="0" applyFont="1" applyFill="1" applyBorder="1" applyAlignment="1">
      <alignment vertical="center"/>
    </xf>
    <xf numFmtId="0" fontId="58" fillId="0" borderId="0" xfId="0" applyFont="1" applyAlignment="1">
      <alignment vertical="center"/>
    </xf>
    <xf numFmtId="0" fontId="7" fillId="24" borderId="1" xfId="6" applyFont="1" applyFill="1" applyBorder="1" applyAlignment="1">
      <alignment vertical="center"/>
    </xf>
    <xf numFmtId="0" fontId="2" fillId="5" borderId="9" xfId="0" applyFont="1" applyFill="1" applyBorder="1" applyAlignment="1">
      <alignment vertical="center"/>
    </xf>
    <xf numFmtId="0" fontId="2" fillId="5" borderId="10" xfId="0" applyFont="1" applyFill="1" applyBorder="1" applyAlignment="1">
      <alignment vertical="center"/>
    </xf>
    <xf numFmtId="0" fontId="2" fillId="5" borderId="11" xfId="0" applyFont="1" applyFill="1" applyBorder="1" applyAlignment="1">
      <alignment vertical="center"/>
    </xf>
    <xf numFmtId="0" fontId="36" fillId="9" borderId="4" xfId="0" applyFont="1" applyFill="1" applyBorder="1" applyAlignment="1">
      <alignment vertical="center"/>
    </xf>
    <xf numFmtId="0" fontId="59" fillId="27" borderId="6" xfId="10" applyFont="1" applyFill="1" applyBorder="1" applyAlignment="1">
      <alignment horizontal="left" vertical="center"/>
    </xf>
    <xf numFmtId="0" fontId="18" fillId="27" borderId="6" xfId="10" applyFont="1" applyFill="1" applyBorder="1" applyAlignment="1">
      <alignment horizontal="left" vertical="center"/>
    </xf>
    <xf numFmtId="0" fontId="59" fillId="12" borderId="1" xfId="0" applyFont="1" applyFill="1" applyBorder="1" applyAlignment="1">
      <alignment vertical="center"/>
    </xf>
    <xf numFmtId="0" fontId="60" fillId="0" borderId="1" xfId="19" applyFont="1" applyBorder="1">
      <alignment vertical="center"/>
    </xf>
    <xf numFmtId="0" fontId="0" fillId="0" borderId="1" xfId="19" applyFont="1" applyBorder="1">
      <alignment vertical="center"/>
    </xf>
    <xf numFmtId="0" fontId="0" fillId="0" borderId="9" xfId="17" applyFont="1" applyBorder="1">
      <alignment vertical="center"/>
    </xf>
    <xf numFmtId="0" fontId="0" fillId="0" borderId="10" xfId="17" applyFont="1" applyBorder="1">
      <alignment vertical="center"/>
    </xf>
    <xf numFmtId="0" fontId="0" fillId="0" borderId="11" xfId="17" applyFont="1" applyBorder="1">
      <alignment vertical="center"/>
    </xf>
    <xf numFmtId="0" fontId="0" fillId="0" borderId="13" xfId="17" applyFont="1" applyBorder="1">
      <alignment vertical="center"/>
    </xf>
    <xf numFmtId="0" fontId="0" fillId="0" borderId="12" xfId="17" applyFont="1" applyBorder="1">
      <alignment vertical="center"/>
    </xf>
    <xf numFmtId="0" fontId="0" fillId="0" borderId="0" xfId="17" applyFont="1" applyBorder="1">
      <alignment vertical="center"/>
    </xf>
    <xf numFmtId="0" fontId="2" fillId="0" borderId="0" xfId="17" applyFont="1" applyBorder="1">
      <alignment vertical="center"/>
    </xf>
    <xf numFmtId="0" fontId="0" fillId="0" borderId="14" xfId="17" applyFont="1" applyBorder="1">
      <alignment vertical="center"/>
    </xf>
    <xf numFmtId="0" fontId="0" fillId="0" borderId="15" xfId="17" applyFont="1" applyBorder="1">
      <alignment vertical="center"/>
    </xf>
    <xf numFmtId="0" fontId="2" fillId="0" borderId="28" xfId="17" applyFont="1" applyBorder="1">
      <alignment vertical="center"/>
    </xf>
    <xf numFmtId="0" fontId="36" fillId="34" borderId="0" xfId="0" applyFont="1" applyFill="1" applyBorder="1" applyAlignment="1">
      <alignment horizontal="left" vertical="center"/>
    </xf>
    <xf numFmtId="0" fontId="2" fillId="34" borderId="15" xfId="0" applyFont="1" applyFill="1" applyBorder="1" applyAlignment="1">
      <alignment horizontal="center" vertical="center"/>
    </xf>
    <xf numFmtId="0" fontId="0" fillId="34" borderId="0" xfId="17" applyFont="1" applyFill="1">
      <alignment vertical="center"/>
    </xf>
    <xf numFmtId="0" fontId="2" fillId="34" borderId="0" xfId="0" applyFont="1" applyFill="1" applyBorder="1" applyAlignment="1">
      <alignment horizontal="left" vertical="center"/>
    </xf>
    <xf numFmtId="0" fontId="0" fillId="34" borderId="0" xfId="0" applyFill="1" applyBorder="1" applyAlignment="1">
      <alignment horizontal="left" vertical="center"/>
    </xf>
    <xf numFmtId="0" fontId="36" fillId="34" borderId="15" xfId="0" applyFont="1" applyFill="1" applyBorder="1" applyAlignment="1">
      <alignment horizontal="left" vertical="center"/>
    </xf>
    <xf numFmtId="0" fontId="0" fillId="34" borderId="12" xfId="17" applyFont="1" applyFill="1" applyBorder="1">
      <alignment vertical="center"/>
    </xf>
    <xf numFmtId="0" fontId="0" fillId="34" borderId="0" xfId="17" applyFont="1" applyFill="1" applyBorder="1">
      <alignment vertical="center"/>
    </xf>
    <xf numFmtId="0" fontId="2" fillId="0" borderId="1" xfId="0" applyFont="1" applyBorder="1" applyAlignment="1">
      <alignment horizontal="center" vertical="center"/>
    </xf>
    <xf numFmtId="0" fontId="13" fillId="0" borderId="6" xfId="0" applyFont="1" applyFill="1" applyBorder="1" applyAlignment="1">
      <alignment horizontal="center" vertical="center"/>
    </xf>
    <xf numFmtId="0" fontId="13" fillId="0" borderId="4" xfId="0" applyFont="1" applyFill="1" applyBorder="1" applyAlignment="1">
      <alignment horizontal="center" vertical="center"/>
    </xf>
    <xf numFmtId="0" fontId="13" fillId="0" borderId="5" xfId="0" applyFont="1" applyFill="1" applyBorder="1" applyAlignment="1">
      <alignment horizontal="center" vertical="center"/>
    </xf>
    <xf numFmtId="0" fontId="14" fillId="0" borderId="1" xfId="0" applyFont="1" applyFill="1" applyBorder="1" applyAlignment="1">
      <alignment horizontal="center" vertical="center" wrapText="1"/>
    </xf>
    <xf numFmtId="0" fontId="2" fillId="0" borderId="16" xfId="0" applyFont="1" applyBorder="1" applyAlignment="1">
      <alignment horizontal="left" vertical="center"/>
    </xf>
    <xf numFmtId="0" fontId="11" fillId="0" borderId="17" xfId="0" applyFont="1" applyBorder="1" applyAlignment="1">
      <alignment horizontal="left" vertical="center"/>
    </xf>
    <xf numFmtId="0" fontId="6" fillId="0" borderId="7" xfId="0" applyFont="1" applyFill="1" applyBorder="1" applyAlignment="1">
      <alignment horizontal="center"/>
    </xf>
    <xf numFmtId="0" fontId="6" fillId="0" borderId="18" xfId="0" applyFont="1" applyFill="1" applyBorder="1" applyAlignment="1">
      <alignment horizontal="center"/>
    </xf>
    <xf numFmtId="0" fontId="6" fillId="0" borderId="2" xfId="0" applyFont="1" applyFill="1" applyBorder="1" applyAlignment="1">
      <alignment horizontal="center"/>
    </xf>
    <xf numFmtId="0" fontId="6" fillId="0" borderId="19" xfId="0" applyFont="1" applyFill="1" applyBorder="1" applyAlignment="1">
      <alignment horizontal="center"/>
    </xf>
    <xf numFmtId="0" fontId="16" fillId="0" borderId="1" xfId="0" applyFont="1" applyFill="1" applyBorder="1" applyAlignment="1">
      <alignment horizontal="center" vertical="center" wrapText="1"/>
    </xf>
    <xf numFmtId="0" fontId="15" fillId="0" borderId="6" xfId="0" applyFont="1" applyFill="1" applyBorder="1" applyAlignment="1">
      <alignment horizontal="center" vertical="center" wrapText="1"/>
    </xf>
    <xf numFmtId="0" fontId="13" fillId="0" borderId="4" xfId="0" applyFont="1" applyBorder="1" applyAlignment="1">
      <alignment horizontal="center" vertical="center"/>
    </xf>
    <xf numFmtId="0" fontId="13" fillId="0" borderId="5" xfId="0" applyFont="1" applyBorder="1" applyAlignment="1">
      <alignment horizontal="center" vertical="center"/>
    </xf>
    <xf numFmtId="0" fontId="13" fillId="0" borderId="4" xfId="0" applyFont="1" applyBorder="1" applyAlignment="1">
      <alignment vertical="center"/>
    </xf>
    <xf numFmtId="0" fontId="13" fillId="0" borderId="5" xfId="0" applyFont="1" applyBorder="1" applyAlignment="1">
      <alignment vertical="center"/>
    </xf>
    <xf numFmtId="0" fontId="5" fillId="7" borderId="7" xfId="0" applyFont="1" applyFill="1" applyBorder="1" applyAlignment="1">
      <alignment horizontal="center" vertical="center" wrapText="1"/>
    </xf>
    <xf numFmtId="0" fontId="5" fillId="7" borderId="3" xfId="0" applyFont="1" applyFill="1" applyBorder="1" applyAlignment="1">
      <alignment horizontal="center" vertical="center" wrapText="1"/>
    </xf>
    <xf numFmtId="0" fontId="7" fillId="5" borderId="7" xfId="0" applyFont="1" applyFill="1" applyBorder="1" applyAlignment="1">
      <alignment horizontal="center" vertical="center"/>
    </xf>
    <xf numFmtId="0" fontId="7" fillId="5" borderId="3" xfId="0" applyFont="1" applyFill="1" applyBorder="1" applyAlignment="1">
      <alignment horizontal="center" vertical="center"/>
    </xf>
    <xf numFmtId="0" fontId="2" fillId="9" borderId="6" xfId="0" applyFont="1" applyFill="1" applyBorder="1" applyAlignment="1">
      <alignment vertical="center"/>
    </xf>
    <xf numFmtId="0" fontId="2" fillId="9" borderId="4" xfId="0" applyFont="1" applyFill="1" applyBorder="1" applyAlignment="1">
      <alignment vertical="center"/>
    </xf>
    <xf numFmtId="0" fontId="7" fillId="5" borderId="7" xfId="0" applyFont="1" applyFill="1" applyBorder="1" applyAlignment="1">
      <alignment horizontal="center" vertical="center" wrapText="1"/>
    </xf>
    <xf numFmtId="0" fontId="7" fillId="5" borderId="3" xfId="0" applyFont="1" applyFill="1" applyBorder="1" applyAlignment="1">
      <alignment horizontal="center" vertical="center" wrapText="1"/>
    </xf>
    <xf numFmtId="0" fontId="40" fillId="5" borderId="14" xfId="0" applyFont="1" applyFill="1" applyBorder="1" applyAlignment="1">
      <alignment horizontal="center" vertical="center"/>
    </xf>
    <xf numFmtId="0" fontId="40" fillId="5" borderId="15" xfId="0" applyFont="1" applyFill="1" applyBorder="1" applyAlignment="1">
      <alignment horizontal="center" vertical="center"/>
    </xf>
    <xf numFmtId="0" fontId="40" fillId="5" borderId="28" xfId="0" applyFont="1" applyFill="1" applyBorder="1" applyAlignment="1">
      <alignment horizontal="center" vertical="center"/>
    </xf>
    <xf numFmtId="0" fontId="2" fillId="5" borderId="7" xfId="0" applyFont="1" applyFill="1" applyBorder="1" applyAlignment="1">
      <alignment horizontal="center" vertical="center"/>
    </xf>
    <xf numFmtId="0" fontId="2" fillId="5" borderId="3" xfId="0" applyFont="1" applyFill="1" applyBorder="1" applyAlignment="1">
      <alignment horizontal="center" vertical="center"/>
    </xf>
    <xf numFmtId="0" fontId="2" fillId="5" borderId="7" xfId="0" applyFont="1" applyFill="1" applyBorder="1" applyAlignment="1">
      <alignment horizontal="center" vertical="center" wrapText="1"/>
    </xf>
    <xf numFmtId="0" fontId="10" fillId="10" borderId="1" xfId="10" applyFont="1" applyFill="1" applyBorder="1" applyAlignment="1">
      <alignment horizontal="center" vertical="center"/>
    </xf>
    <xf numFmtId="0" fontId="8" fillId="10" borderId="1" xfId="10" applyFont="1" applyFill="1" applyBorder="1" applyAlignment="1">
      <alignment horizontal="center" vertical="center"/>
    </xf>
    <xf numFmtId="0" fontId="10" fillId="27" borderId="1" xfId="0" applyFont="1" applyFill="1" applyBorder="1" applyAlignment="1">
      <alignment horizontal="center" vertical="center"/>
    </xf>
    <xf numFmtId="0" fontId="8" fillId="27" borderId="1" xfId="0" applyFont="1" applyFill="1" applyBorder="1" applyAlignment="1">
      <alignment horizontal="center" vertical="center"/>
    </xf>
    <xf numFmtId="0" fontId="10" fillId="27" borderId="7" xfId="10" applyFont="1" applyFill="1" applyBorder="1" applyAlignment="1">
      <alignment horizontal="center" vertical="center"/>
    </xf>
    <xf numFmtId="0" fontId="8" fillId="27" borderId="8" xfId="10" applyFont="1" applyFill="1" applyBorder="1" applyAlignment="1">
      <alignment horizontal="center" vertical="center"/>
    </xf>
    <xf numFmtId="0" fontId="8" fillId="27" borderId="3" xfId="10" applyFont="1" applyFill="1" applyBorder="1" applyAlignment="1">
      <alignment horizontal="center" vertical="center"/>
    </xf>
    <xf numFmtId="0" fontId="10" fillId="12" borderId="7" xfId="0" applyFont="1" applyFill="1" applyBorder="1" applyAlignment="1">
      <alignment horizontal="center" vertical="center"/>
    </xf>
    <xf numFmtId="0" fontId="8" fillId="12" borderId="3" xfId="0" applyFont="1" applyFill="1" applyBorder="1" applyAlignment="1">
      <alignment horizontal="center" vertical="center"/>
    </xf>
    <xf numFmtId="0" fontId="2" fillId="0" borderId="1" xfId="7" applyBorder="1" applyAlignment="1">
      <alignment horizontal="center" vertical="center"/>
    </xf>
    <xf numFmtId="0" fontId="10" fillId="10" borderId="7" xfId="10" applyFont="1" applyFill="1" applyBorder="1" applyAlignment="1">
      <alignment horizontal="center" vertical="center"/>
    </xf>
    <xf numFmtId="0" fontId="8" fillId="10" borderId="3" xfId="10" applyFont="1" applyFill="1" applyBorder="1" applyAlignment="1">
      <alignment horizontal="center" vertical="center"/>
    </xf>
    <xf numFmtId="0" fontId="8" fillId="10" borderId="8" xfId="10" applyFont="1" applyFill="1" applyBorder="1" applyAlignment="1">
      <alignment horizontal="center" vertical="center"/>
    </xf>
    <xf numFmtId="0" fontId="2" fillId="0" borderId="6" xfId="7" applyBorder="1" applyAlignment="1">
      <alignment horizontal="left" vertical="center"/>
    </xf>
    <xf numFmtId="0" fontId="2" fillId="0" borderId="4" xfId="7" applyBorder="1" applyAlignment="1">
      <alignment horizontal="left" vertical="center"/>
    </xf>
    <xf numFmtId="0" fontId="2" fillId="0" borderId="5" xfId="7" applyBorder="1" applyAlignment="1">
      <alignment horizontal="left" vertical="center"/>
    </xf>
    <xf numFmtId="0" fontId="2" fillId="31" borderId="6" xfId="7" applyFill="1" applyBorder="1" applyAlignment="1">
      <alignment horizontal="center" vertical="center"/>
    </xf>
    <xf numFmtId="0" fontId="2" fillId="31" borderId="4" xfId="7" applyFill="1" applyBorder="1" applyAlignment="1">
      <alignment horizontal="center" vertical="center"/>
    </xf>
    <xf numFmtId="0" fontId="2" fillId="31" borderId="5" xfId="7" applyFill="1" applyBorder="1" applyAlignment="1">
      <alignment horizontal="center" vertical="center"/>
    </xf>
    <xf numFmtId="0" fontId="7" fillId="24" borderId="7" xfId="6" applyFont="1" applyFill="1" applyBorder="1" applyAlignment="1">
      <alignment vertical="center"/>
    </xf>
    <xf numFmtId="0" fontId="7" fillId="24" borderId="3" xfId="6" applyFont="1" applyFill="1" applyBorder="1" applyAlignment="1">
      <alignment vertical="center"/>
    </xf>
    <xf numFmtId="0" fontId="7" fillId="0" borderId="7" xfId="6" applyFont="1" applyBorder="1" applyAlignment="1">
      <alignment vertical="center" wrapText="1"/>
    </xf>
    <xf numFmtId="0" fontId="7" fillId="0" borderId="3" xfId="6" applyFont="1" applyBorder="1" applyAlignment="1">
      <alignment vertical="center" wrapText="1"/>
    </xf>
    <xf numFmtId="0" fontId="7" fillId="24" borderId="8" xfId="6" applyFont="1" applyFill="1" applyBorder="1" applyAlignment="1">
      <alignment vertical="center"/>
    </xf>
    <xf numFmtId="0" fontId="7" fillId="0" borderId="8" xfId="6" applyFont="1" applyBorder="1" applyAlignment="1">
      <alignment vertical="center" wrapText="1"/>
    </xf>
    <xf numFmtId="0" fontId="7" fillId="0" borderId="7" xfId="6" applyFont="1" applyBorder="1" applyAlignment="1">
      <alignment vertical="center"/>
    </xf>
    <xf numFmtId="0" fontId="7" fillId="0" borderId="8" xfId="6" applyFont="1" applyBorder="1" applyAlignment="1">
      <alignment vertical="center"/>
    </xf>
    <xf numFmtId="0" fontId="7" fillId="0" borderId="3" xfId="6" applyFont="1" applyBorder="1" applyAlignment="1">
      <alignment vertical="center"/>
    </xf>
    <xf numFmtId="0" fontId="54" fillId="0" borderId="8" xfId="0" applyFont="1" applyBorder="1" applyAlignment="1">
      <alignment vertical="center"/>
    </xf>
    <xf numFmtId="0" fontId="54" fillId="0" borderId="3" xfId="0" applyFont="1" applyBorder="1" applyAlignment="1">
      <alignment vertical="center"/>
    </xf>
    <xf numFmtId="0" fontId="54" fillId="0" borderId="8" xfId="0" applyFont="1" applyBorder="1" applyAlignment="1">
      <alignment vertical="center" wrapText="1"/>
    </xf>
    <xf numFmtId="0" fontId="54" fillId="0" borderId="3" xfId="0" applyFont="1" applyBorder="1" applyAlignment="1">
      <alignment vertical="center" wrapText="1"/>
    </xf>
    <xf numFmtId="0" fontId="2" fillId="27" borderId="7" xfId="0" applyFont="1" applyFill="1" applyBorder="1" applyAlignment="1">
      <alignment horizontal="center" vertical="center" wrapText="1"/>
    </xf>
    <xf numFmtId="0" fontId="2" fillId="27" borderId="8" xfId="0" applyFont="1" applyFill="1" applyBorder="1" applyAlignment="1">
      <alignment horizontal="center" vertical="center" wrapText="1"/>
    </xf>
    <xf numFmtId="0" fontId="2" fillId="27" borderId="3" xfId="0" applyFont="1" applyFill="1" applyBorder="1" applyAlignment="1">
      <alignment horizontal="center" vertical="center" wrapText="1"/>
    </xf>
    <xf numFmtId="0" fontId="2" fillId="27" borderId="1" xfId="0" applyFont="1" applyFill="1" applyBorder="1" applyAlignment="1">
      <alignment horizontal="center" vertical="center" wrapText="1"/>
    </xf>
    <xf numFmtId="0" fontId="18" fillId="27" borderId="1" xfId="10" applyFont="1" applyFill="1" applyBorder="1" applyAlignment="1">
      <alignment horizontal="center" vertical="center" wrapText="1"/>
    </xf>
    <xf numFmtId="0" fontId="0" fillId="30" borderId="7" xfId="0" applyFill="1" applyBorder="1" applyAlignment="1">
      <alignment horizontal="center" vertical="center" wrapText="1"/>
    </xf>
    <xf numFmtId="0" fontId="0" fillId="30" borderId="8" xfId="0" applyFill="1" applyBorder="1" applyAlignment="1">
      <alignment vertical="center"/>
    </xf>
    <xf numFmtId="0" fontId="0" fillId="30" borderId="3" xfId="0" applyFill="1" applyBorder="1" applyAlignment="1">
      <alignment vertical="center"/>
    </xf>
    <xf numFmtId="0" fontId="2" fillId="18" borderId="7" xfId="0" applyFont="1" applyFill="1" applyBorder="1" applyAlignment="1">
      <alignment horizontal="center" vertical="center" wrapText="1"/>
    </xf>
    <xf numFmtId="0" fontId="0" fillId="0" borderId="8" xfId="0" applyBorder="1" applyAlignment="1">
      <alignment vertical="center"/>
    </xf>
    <xf numFmtId="0" fontId="0" fillId="0" borderId="3" xfId="0" applyBorder="1" applyAlignment="1">
      <alignment vertical="center"/>
    </xf>
    <xf numFmtId="0" fontId="0" fillId="30" borderId="9" xfId="0" applyFill="1" applyBorder="1" applyAlignment="1">
      <alignment horizontal="center" vertical="center" wrapText="1"/>
    </xf>
    <xf numFmtId="0" fontId="0" fillId="30" borderId="12" xfId="0" applyFill="1" applyBorder="1" applyAlignment="1">
      <alignment vertical="center"/>
    </xf>
    <xf numFmtId="0" fontId="0" fillId="30" borderId="14" xfId="0" applyFill="1" applyBorder="1" applyAlignment="1">
      <alignment vertical="center"/>
    </xf>
    <xf numFmtId="0" fontId="0" fillId="11" borderId="0" xfId="0" applyFill="1" applyBorder="1" applyAlignment="1">
      <alignment horizontal="center" vertical="center"/>
    </xf>
    <xf numFmtId="0" fontId="18" fillId="10" borderId="6" xfId="10" applyFont="1" applyFill="1" applyBorder="1" applyAlignment="1">
      <alignment horizontal="center" vertical="center"/>
    </xf>
    <xf numFmtId="0" fontId="18" fillId="10" borderId="5" xfId="10" applyFont="1" applyFill="1" applyBorder="1" applyAlignment="1">
      <alignment horizontal="center" vertical="center"/>
    </xf>
    <xf numFmtId="0" fontId="0" fillId="11" borderId="10" xfId="0" applyFill="1" applyBorder="1" applyAlignment="1">
      <alignment horizontal="center" vertical="center"/>
    </xf>
    <xf numFmtId="0" fontId="18" fillId="28" borderId="6" xfId="10" applyFont="1" applyFill="1" applyBorder="1" applyAlignment="1">
      <alignment horizontal="center" vertical="center"/>
    </xf>
    <xf numFmtId="0" fontId="18" fillId="28" borderId="4" xfId="10" applyFont="1" applyFill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8" fillId="28" borderId="6" xfId="0" applyFont="1" applyFill="1" applyBorder="1" applyAlignment="1">
      <alignment horizontal="center" vertical="center"/>
    </xf>
    <xf numFmtId="0" fontId="0" fillId="28" borderId="4" xfId="0" applyFill="1" applyBorder="1" applyAlignment="1">
      <alignment horizontal="center" vertical="center"/>
    </xf>
    <xf numFmtId="0" fontId="0" fillId="28" borderId="5" xfId="0" applyFill="1" applyBorder="1" applyAlignment="1">
      <alignment horizontal="center" vertical="center"/>
    </xf>
    <xf numFmtId="0" fontId="18" fillId="28" borderId="5" xfId="10" applyFont="1" applyFill="1" applyBorder="1" applyAlignment="1">
      <alignment horizontal="center" vertical="center"/>
    </xf>
    <xf numFmtId="0" fontId="18" fillId="27" borderId="6" xfId="10" applyFont="1" applyFill="1" applyBorder="1" applyAlignment="1">
      <alignment horizontal="center" vertical="center"/>
    </xf>
    <xf numFmtId="0" fontId="18" fillId="27" borderId="4" xfId="10" applyFont="1" applyFill="1" applyBorder="1" applyAlignment="1">
      <alignment horizontal="center" vertical="center"/>
    </xf>
    <xf numFmtId="0" fontId="18" fillId="27" borderId="5" xfId="10" applyFont="1" applyFill="1" applyBorder="1" applyAlignment="1">
      <alignment horizontal="center" vertical="center"/>
    </xf>
    <xf numFmtId="0" fontId="2" fillId="25" borderId="9" xfId="0" applyFont="1" applyFill="1" applyBorder="1" applyAlignment="1">
      <alignment horizontal="center" vertical="center"/>
    </xf>
    <xf numFmtId="0" fontId="2" fillId="25" borderId="10" xfId="0" applyFont="1" applyFill="1" applyBorder="1" applyAlignment="1">
      <alignment horizontal="center" vertical="center"/>
    </xf>
    <xf numFmtId="0" fontId="0" fillId="11" borderId="15" xfId="0" applyFill="1" applyBorder="1" applyAlignment="1">
      <alignment horizontal="center" vertical="center"/>
    </xf>
    <xf numFmtId="0" fontId="2" fillId="25" borderId="6" xfId="0" applyFont="1" applyFill="1" applyBorder="1" applyAlignment="1">
      <alignment horizontal="center" vertical="center" wrapText="1"/>
    </xf>
    <xf numFmtId="0" fontId="2" fillId="25" borderId="4" xfId="0" applyFont="1" applyFill="1" applyBorder="1" applyAlignment="1">
      <alignment horizontal="center" vertical="center" wrapText="1"/>
    </xf>
    <xf numFmtId="0" fontId="2" fillId="0" borderId="9" xfId="0" applyFont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0" fontId="2" fillId="0" borderId="11" xfId="0" applyFont="1" applyBorder="1" applyAlignment="1">
      <alignment horizontal="center" vertical="center"/>
    </xf>
    <xf numFmtId="0" fontId="2" fillId="0" borderId="12" xfId="0" applyFont="1" applyBorder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0" fontId="2" fillId="17" borderId="1" xfId="17" applyFont="1" applyFill="1" applyBorder="1" applyAlignment="1">
      <alignment vertical="center" wrapText="1"/>
    </xf>
    <xf numFmtId="0" fontId="0" fillId="17" borderId="1" xfId="17" applyFont="1" applyFill="1" applyBorder="1" applyAlignment="1">
      <alignment vertical="center" wrapText="1"/>
    </xf>
    <xf numFmtId="0" fontId="0" fillId="17" borderId="1" xfId="0" applyFill="1" applyBorder="1" applyAlignment="1">
      <alignment vertical="center" wrapText="1"/>
    </xf>
    <xf numFmtId="0" fontId="2" fillId="15" borderId="1" xfId="17" applyFont="1" applyFill="1" applyBorder="1" applyAlignment="1">
      <alignment vertical="center"/>
    </xf>
    <xf numFmtId="0" fontId="0" fillId="15" borderId="1" xfId="0" applyFill="1" applyBorder="1" applyAlignment="1">
      <alignment vertical="center"/>
    </xf>
    <xf numFmtId="0" fontId="7" fillId="0" borderId="24" xfId="0" applyFont="1" applyBorder="1" applyAlignment="1">
      <alignment vertical="top" wrapText="1"/>
    </xf>
    <xf numFmtId="0" fontId="7" fillId="0" borderId="21" xfId="0" applyFont="1" applyBorder="1" applyAlignment="1">
      <alignment vertical="center" wrapText="1"/>
    </xf>
    <xf numFmtId="0" fontId="7" fillId="0" borderId="17" xfId="0" applyFont="1" applyBorder="1" applyAlignment="1">
      <alignment vertical="top" wrapText="1"/>
    </xf>
    <xf numFmtId="0" fontId="7" fillId="0" borderId="23" xfId="0" applyFont="1" applyBorder="1" applyAlignment="1">
      <alignment vertical="center" wrapText="1"/>
    </xf>
    <xf numFmtId="0" fontId="2" fillId="19" borderId="6" xfId="0" applyFont="1" applyFill="1" applyBorder="1" applyAlignment="1">
      <alignment vertical="center" wrapText="1"/>
    </xf>
    <xf numFmtId="0" fontId="2" fillId="19" borderId="4" xfId="0" applyFont="1" applyFill="1" applyBorder="1" applyAlignment="1">
      <alignment vertical="center" wrapText="1"/>
    </xf>
    <xf numFmtId="0" fontId="2" fillId="19" borderId="5" xfId="0" applyFont="1" applyFill="1" applyBorder="1" applyAlignment="1">
      <alignment vertical="center" wrapText="1"/>
    </xf>
    <xf numFmtId="0" fontId="2" fillId="0" borderId="0" xfId="0" applyFont="1" applyAlignment="1">
      <alignment vertical="center" wrapText="1"/>
    </xf>
    <xf numFmtId="0" fontId="0" fillId="0" borderId="0" xfId="0" applyAlignment="1">
      <alignment vertical="center" wrapText="1"/>
    </xf>
    <xf numFmtId="0" fontId="6" fillId="0" borderId="24" xfId="0" applyFont="1" applyBorder="1" applyAlignment="1">
      <alignment vertical="top" wrapText="1"/>
    </xf>
    <xf numFmtId="0" fontId="6" fillId="0" borderId="21" xfId="0" applyFont="1" applyBorder="1" applyAlignment="1">
      <alignment vertical="center"/>
    </xf>
    <xf numFmtId="0" fontId="47" fillId="0" borderId="24" xfId="0" applyFont="1" applyBorder="1" applyAlignment="1">
      <alignment vertical="top" wrapText="1"/>
    </xf>
    <xf numFmtId="0" fontId="47" fillId="0" borderId="21" xfId="0" applyFont="1" applyBorder="1" applyAlignment="1">
      <alignment vertical="center"/>
    </xf>
    <xf numFmtId="0" fontId="7" fillId="0" borderId="26" xfId="0" applyFont="1" applyBorder="1" applyAlignment="1">
      <alignment vertical="top" wrapText="1"/>
    </xf>
    <xf numFmtId="0" fontId="7" fillId="0" borderId="0" xfId="0" applyFont="1" applyBorder="1" applyAlignment="1">
      <alignment vertical="center"/>
    </xf>
    <xf numFmtId="0" fontId="0" fillId="0" borderId="0" xfId="0" applyBorder="1" applyAlignment="1">
      <alignment vertical="center"/>
    </xf>
    <xf numFmtId="0" fontId="0" fillId="0" borderId="27" xfId="0" applyBorder="1" applyAlignment="1">
      <alignment vertical="center"/>
    </xf>
    <xf numFmtId="0" fontId="6" fillId="0" borderId="25" xfId="0" applyFont="1" applyBorder="1" applyAlignment="1">
      <alignment vertical="center"/>
    </xf>
    <xf numFmtId="0" fontId="9" fillId="0" borderId="25" xfId="0" applyFont="1" applyBorder="1" applyAlignment="1">
      <alignment vertical="center"/>
    </xf>
    <xf numFmtId="0" fontId="9" fillId="0" borderId="21" xfId="0" applyFont="1" applyBorder="1" applyAlignment="1">
      <alignment vertical="center"/>
    </xf>
    <xf numFmtId="0" fontId="7" fillId="0" borderId="25" xfId="0" applyFont="1" applyBorder="1" applyAlignment="1">
      <alignment vertical="center"/>
    </xf>
    <xf numFmtId="0" fontId="0" fillId="0" borderId="25" xfId="0" applyBorder="1" applyAlignment="1">
      <alignment vertical="center"/>
    </xf>
    <xf numFmtId="0" fontId="0" fillId="0" borderId="21" xfId="0" applyBorder="1" applyAlignment="1">
      <alignment vertical="center"/>
    </xf>
    <xf numFmtId="0" fontId="9" fillId="15" borderId="6" xfId="0" applyFont="1" applyFill="1" applyBorder="1" applyAlignment="1">
      <alignment vertical="center" wrapText="1"/>
    </xf>
    <xf numFmtId="0" fontId="9" fillId="15" borderId="4" xfId="0" applyFont="1" applyFill="1" applyBorder="1" applyAlignment="1">
      <alignment vertical="center" wrapText="1"/>
    </xf>
    <xf numFmtId="0" fontId="9" fillId="15" borderId="5" xfId="0" applyFont="1" applyFill="1" applyBorder="1" applyAlignment="1">
      <alignment vertical="center" wrapText="1"/>
    </xf>
    <xf numFmtId="0" fontId="0" fillId="17" borderId="7" xfId="17" applyFont="1" applyFill="1" applyBorder="1" applyAlignment="1">
      <alignment vertical="center" wrapText="1"/>
    </xf>
    <xf numFmtId="0" fontId="0" fillId="17" borderId="8" xfId="0" applyFill="1" applyBorder="1" applyAlignment="1">
      <alignment vertical="center" wrapText="1"/>
    </xf>
    <xf numFmtId="0" fontId="0" fillId="17" borderId="3" xfId="0" applyFill="1" applyBorder="1" applyAlignment="1">
      <alignment vertical="center" wrapText="1"/>
    </xf>
    <xf numFmtId="0" fontId="2" fillId="15" borderId="7" xfId="17" applyFont="1" applyFill="1" applyBorder="1" applyAlignment="1">
      <alignment vertical="center"/>
    </xf>
    <xf numFmtId="0" fontId="2" fillId="15" borderId="8" xfId="17" applyFont="1" applyFill="1" applyBorder="1" applyAlignment="1">
      <alignment vertical="center"/>
    </xf>
    <xf numFmtId="0" fontId="2" fillId="15" borderId="3" xfId="17" applyFont="1" applyFill="1" applyBorder="1" applyAlignment="1">
      <alignment vertical="center"/>
    </xf>
    <xf numFmtId="0" fontId="7" fillId="0" borderId="21" xfId="0" applyFont="1" applyBorder="1" applyAlignment="1">
      <alignment vertical="top" wrapText="1"/>
    </xf>
    <xf numFmtId="0" fontId="6" fillId="23" borderId="24" xfId="0" applyFont="1" applyFill="1" applyBorder="1" applyAlignment="1">
      <alignment vertical="top" wrapText="1"/>
    </xf>
    <xf numFmtId="0" fontId="6" fillId="23" borderId="21" xfId="0" applyFont="1" applyFill="1" applyBorder="1" applyAlignment="1">
      <alignment vertical="center" wrapText="1"/>
    </xf>
    <xf numFmtId="0" fontId="9" fillId="23" borderId="24" xfId="0" applyFont="1" applyFill="1" applyBorder="1" applyAlignment="1">
      <alignment vertical="top" wrapText="1"/>
    </xf>
    <xf numFmtId="0" fontId="2" fillId="21" borderId="1" xfId="0" applyFont="1" applyFill="1" applyBorder="1" applyAlignment="1">
      <alignment vertical="center" wrapText="1"/>
    </xf>
    <xf numFmtId="0" fontId="0" fillId="21" borderId="1" xfId="0" applyFill="1" applyBorder="1" applyAlignment="1">
      <alignment vertical="center" wrapText="1"/>
    </xf>
    <xf numFmtId="0" fontId="42" fillId="0" borderId="1" xfId="0" applyFont="1" applyBorder="1" applyAlignment="1">
      <alignment vertical="top" wrapText="1"/>
    </xf>
    <xf numFmtId="0" fontId="0" fillId="0" borderId="1" xfId="0" applyBorder="1" applyAlignment="1">
      <alignment vertical="center" wrapText="1"/>
    </xf>
    <xf numFmtId="0" fontId="2" fillId="0" borderId="0" xfId="0" applyFont="1" applyAlignment="1">
      <alignment vertical="center"/>
    </xf>
    <xf numFmtId="0" fontId="0" fillId="0" borderId="0" xfId="0" applyAlignment="1">
      <alignment vertical="center"/>
    </xf>
    <xf numFmtId="49" fontId="2" fillId="0" borderId="0" xfId="0" applyNumberFormat="1" applyFont="1" applyAlignment="1">
      <alignment vertical="center" wrapText="1"/>
    </xf>
    <xf numFmtId="0" fontId="42" fillId="0" borderId="24" xfId="0" applyFont="1" applyBorder="1" applyAlignment="1">
      <alignment horizontal="center" vertical="top" wrapText="1"/>
    </xf>
    <xf numFmtId="0" fontId="42" fillId="0" borderId="25" xfId="0" applyFont="1" applyBorder="1" applyAlignment="1">
      <alignment horizontal="center" vertical="top" wrapText="1"/>
    </xf>
    <xf numFmtId="0" fontId="42" fillId="0" borderId="21" xfId="0" applyFont="1" applyBorder="1" applyAlignment="1">
      <alignment horizontal="center" vertical="top" wrapText="1"/>
    </xf>
    <xf numFmtId="0" fontId="2" fillId="0" borderId="1" xfId="0" applyFont="1" applyBorder="1" applyAlignment="1">
      <alignment vertical="center"/>
    </xf>
    <xf numFmtId="0" fontId="0" fillId="0" borderId="1" xfId="0" applyBorder="1" applyAlignment="1">
      <alignment vertical="center"/>
    </xf>
    <xf numFmtId="0" fontId="9" fillId="15" borderId="1" xfId="0" applyFont="1" applyFill="1" applyBorder="1" applyAlignment="1">
      <alignment vertical="center" wrapText="1"/>
    </xf>
    <xf numFmtId="0" fontId="40" fillId="19" borderId="6" xfId="0" applyFont="1" applyFill="1" applyBorder="1" applyAlignment="1">
      <alignment vertical="center" wrapText="1"/>
    </xf>
    <xf numFmtId="0" fontId="40" fillId="19" borderId="4" xfId="0" applyFont="1" applyFill="1" applyBorder="1" applyAlignment="1">
      <alignment vertical="center" wrapText="1"/>
    </xf>
    <xf numFmtId="0" fontId="40" fillId="19" borderId="5" xfId="0" applyFont="1" applyFill="1" applyBorder="1" applyAlignment="1">
      <alignment vertical="center" wrapText="1"/>
    </xf>
    <xf numFmtId="0" fontId="2" fillId="0" borderId="0" xfId="0" applyFont="1" applyAlignment="1">
      <alignment vertical="center" wrapText="1" shrinkToFit="1"/>
    </xf>
    <xf numFmtId="0" fontId="0" fillId="0" borderId="0" xfId="0" applyAlignment="1">
      <alignment vertical="center" wrapText="1" shrinkToFit="1"/>
    </xf>
  </cellXfs>
  <cellStyles count="20">
    <cellStyle name="0,0_x000d__x000a_NA_x000d__x000a_" xfId="1"/>
    <cellStyle name="差_IO Pad" xfId="2"/>
    <cellStyle name="差_Sheet1" xfId="3"/>
    <cellStyle name="差_Sheet1_1" xfId="4"/>
    <cellStyle name="差_Sheet1_1 2" xfId="5"/>
    <cellStyle name="常规" xfId="0" builtinId="0"/>
    <cellStyle name="常规 2" xfId="6"/>
    <cellStyle name="常规 3" xfId="7"/>
    <cellStyle name="常规 4" xfId="8"/>
    <cellStyle name="常规 5" xfId="17"/>
    <cellStyle name="常规 6" xfId="18"/>
    <cellStyle name="常规 7" xfId="19"/>
    <cellStyle name="常规 9" xfId="9"/>
    <cellStyle name="常规_IO Pad" xfId="10"/>
    <cellStyle name="超链接 2" xfId="11"/>
    <cellStyle name="好_IO Pad" xfId="12"/>
    <cellStyle name="好_Sheet1" xfId="13"/>
    <cellStyle name="好_Sheet1_1" xfId="14"/>
    <cellStyle name="好_Sheet1_1 2" xfId="15"/>
    <cellStyle name="样式 1" xfId="16"/>
  </cellStyles>
  <dxfs count="0"/>
  <tableStyles count="0" defaultTableStyle="TableStyleMedium9" defaultPivotStyle="PivotStyleLight16"/>
  <colors>
    <mruColors>
      <color rgb="FFCCFFCC"/>
      <color rgb="FF00CCFF"/>
      <color rgb="FF00FF00"/>
      <color rgb="FFCC99FF"/>
      <color rgb="FF800080"/>
      <color rgb="FFFFCC99"/>
      <color rgb="FF99CCFF"/>
      <color rgb="FFCCCCFF"/>
      <color rgb="FFFFFFCC"/>
      <color rgb="FFFFCCCC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jpeg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jpeg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jpeg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jpeg"/></Relationships>
</file>

<file path=xl/drawings/_rels/vmlDrawing9.vml.rels><?xml version="1.0" encoding="UTF-8" standalone="yes"?>
<Relationships xmlns="http://schemas.openxmlformats.org/package/2006/relationships"><Relationship Id="rId8" Type="http://schemas.openxmlformats.org/officeDocument/2006/relationships/image" Target="../media/image15.emf"/><Relationship Id="rId13" Type="http://schemas.openxmlformats.org/officeDocument/2006/relationships/image" Target="../media/image20.emf"/><Relationship Id="rId3" Type="http://schemas.openxmlformats.org/officeDocument/2006/relationships/image" Target="../media/image10.emf"/><Relationship Id="rId7" Type="http://schemas.openxmlformats.org/officeDocument/2006/relationships/image" Target="../media/image14.emf"/><Relationship Id="rId12" Type="http://schemas.openxmlformats.org/officeDocument/2006/relationships/image" Target="../media/image19.emf"/><Relationship Id="rId2" Type="http://schemas.openxmlformats.org/officeDocument/2006/relationships/image" Target="../media/image9.emf"/><Relationship Id="rId16" Type="http://schemas.openxmlformats.org/officeDocument/2006/relationships/image" Target="../media/image23.emf"/><Relationship Id="rId1" Type="http://schemas.openxmlformats.org/officeDocument/2006/relationships/image" Target="../media/image8.emf"/><Relationship Id="rId6" Type="http://schemas.openxmlformats.org/officeDocument/2006/relationships/image" Target="../media/image13.emf"/><Relationship Id="rId11" Type="http://schemas.openxmlformats.org/officeDocument/2006/relationships/image" Target="../media/image18.emf"/><Relationship Id="rId5" Type="http://schemas.openxmlformats.org/officeDocument/2006/relationships/image" Target="../media/image12.emf"/><Relationship Id="rId15" Type="http://schemas.openxmlformats.org/officeDocument/2006/relationships/image" Target="../media/image22.emf"/><Relationship Id="rId10" Type="http://schemas.openxmlformats.org/officeDocument/2006/relationships/image" Target="../media/image17.emf"/><Relationship Id="rId4" Type="http://schemas.openxmlformats.org/officeDocument/2006/relationships/image" Target="../media/image11.emf"/><Relationship Id="rId9" Type="http://schemas.openxmlformats.org/officeDocument/2006/relationships/image" Target="../media/image16.emf"/><Relationship Id="rId14" Type="http://schemas.openxmlformats.org/officeDocument/2006/relationships/image" Target="../media/image21.emf"/></Relationships>
</file>

<file path=xl/drawings/_rels/vmlDrawing10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9525</xdr:colOff>
      <xdr:row>0</xdr:row>
      <xdr:rowOff>9525</xdr:rowOff>
    </xdr:to>
    <xdr:sp macro="" textlink="">
      <xdr:nvSpPr>
        <xdr:cNvPr id="13293" name="DtsShapeName" descr="8951E0GGDCC25B918EBEGC2310C6BG4509;&lt;&gt;H9;&lt;&gt;O[40676!!!!!!BIHO@]{40676!!!!@68@3C41107DB4C628E1107DB4C628E!!!!!!!!!!!!!!!!!!!!!!!!!!!!!!!!!!!!!!!!!!!!!!!!!!!!9;&gt;?d82=AIM11033919!!!BIHO@]m11033919!@4458201107DB60ED4@1107DB60ED4@!!!!!!!!!!!!!!!!!!!!!!!!!!!!!!!!!!!!!!!!!!!!!!!!!!!!82M?_82M@1Y49705!!!!!!BIHO@]y49705!!!!@7D31961107DB89B4G@1107DB89B4G@!!!!!!!!!!!!!!!!!!!!!!!!!!!!!!!!!!!!!!!!!!!!!!!!!!!!85J8\8:::B[11057459!!!BIHO@]{110574591@7G05671102E25G229D拱翱MUD^RH'QJF^SDP^011$/ymr!!!!!!!!!!!!!!!!!!!!!!!!!!!!!!!!!!!!!894@g894BJB56847!!!!!!BIHO@]b56847!!!1@7G05E01102E237@@121102E237@@12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1!J" hidden="1"/>
        <xdr:cNvSpPr>
          <a:spLocks noChangeArrowheads="1"/>
        </xdr:cNvSpPr>
      </xdr:nvSpPr>
      <xdr:spPr bwMode="auto">
        <a:xfrm>
          <a:off x="0" y="0"/>
          <a:ext cx="9525" cy="9525"/>
        </a:xfrm>
        <a:custGeom>
          <a:avLst/>
          <a:gdLst>
            <a:gd name="T0" fmla="*/ 0 w 21600"/>
            <a:gd name="T1" fmla="*/ 0 h 21600"/>
            <a:gd name="T2" fmla="*/ 0 w 21600"/>
            <a:gd name="T3" fmla="*/ 0 h 21600"/>
            <a:gd name="T4" fmla="*/ 0 w 21600"/>
            <a:gd name="T5" fmla="*/ 0 h 21600"/>
            <a:gd name="T6" fmla="*/ 0 w 21600"/>
            <a:gd name="T7" fmla="*/ 0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5037 w 21600"/>
            <a:gd name="T13" fmla="*/ 2277 h 21600"/>
            <a:gd name="T14" fmla="*/ 16557 w 21600"/>
            <a:gd name="T15" fmla="*/ 13677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0860" y="2187"/>
              </a:moveTo>
              <a:cubicBezTo>
                <a:pt x="10451" y="1746"/>
                <a:pt x="9529" y="1018"/>
                <a:pt x="9015" y="730"/>
              </a:cubicBezTo>
              <a:cubicBezTo>
                <a:pt x="7865" y="152"/>
                <a:pt x="6685" y="0"/>
                <a:pt x="5415" y="0"/>
              </a:cubicBezTo>
              <a:cubicBezTo>
                <a:pt x="4175" y="152"/>
                <a:pt x="2995" y="575"/>
                <a:pt x="1967" y="1305"/>
              </a:cubicBezTo>
              <a:cubicBezTo>
                <a:pt x="1150" y="2187"/>
                <a:pt x="575" y="3222"/>
                <a:pt x="242" y="4220"/>
              </a:cubicBezTo>
              <a:cubicBezTo>
                <a:pt x="0" y="5410"/>
                <a:pt x="242" y="6560"/>
                <a:pt x="575" y="7597"/>
              </a:cubicBezTo>
              <a:lnTo>
                <a:pt x="10860" y="21600"/>
              </a:lnTo>
              <a:lnTo>
                <a:pt x="20995" y="7597"/>
              </a:lnTo>
              <a:cubicBezTo>
                <a:pt x="21480" y="6560"/>
                <a:pt x="21600" y="5410"/>
                <a:pt x="21480" y="4220"/>
              </a:cubicBezTo>
              <a:cubicBezTo>
                <a:pt x="21115" y="3222"/>
                <a:pt x="20420" y="2187"/>
                <a:pt x="19632" y="1305"/>
              </a:cubicBezTo>
              <a:cubicBezTo>
                <a:pt x="18575" y="575"/>
                <a:pt x="17425" y="152"/>
                <a:pt x="16275" y="0"/>
              </a:cubicBezTo>
              <a:cubicBezTo>
                <a:pt x="15005" y="0"/>
                <a:pt x="13735" y="152"/>
                <a:pt x="12705" y="730"/>
              </a:cubicBezTo>
              <a:cubicBezTo>
                <a:pt x="12176" y="1018"/>
                <a:pt x="11254" y="1746"/>
                <a:pt x="10860" y="2187"/>
              </a:cubicBez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28575</xdr:colOff>
      <xdr:row>17</xdr:row>
      <xdr:rowOff>114300</xdr:rowOff>
    </xdr:from>
    <xdr:to>
      <xdr:col>7</xdr:col>
      <xdr:colOff>571500</xdr:colOff>
      <xdr:row>17</xdr:row>
      <xdr:rowOff>1781175</xdr:rowOff>
    </xdr:to>
    <xdr:grpSp>
      <xdr:nvGrpSpPr>
        <xdr:cNvPr id="38262" name="Group 28"/>
        <xdr:cNvGrpSpPr>
          <a:grpSpLocks/>
        </xdr:cNvGrpSpPr>
      </xdr:nvGrpSpPr>
      <xdr:grpSpPr bwMode="auto">
        <a:xfrm>
          <a:off x="3876675" y="6524625"/>
          <a:ext cx="6515100" cy="1666875"/>
          <a:chOff x="360" y="1265"/>
          <a:chExt cx="846" cy="175"/>
        </a:xfrm>
      </xdr:grpSpPr>
      <xdr:grpSp>
        <xdr:nvGrpSpPr>
          <xdr:cNvPr id="38263" name="Group 2"/>
          <xdr:cNvGrpSpPr>
            <a:grpSpLocks/>
          </xdr:cNvGrpSpPr>
        </xdr:nvGrpSpPr>
        <xdr:grpSpPr bwMode="auto">
          <a:xfrm>
            <a:off x="360" y="1265"/>
            <a:ext cx="841" cy="47"/>
            <a:chOff x="163" y="1136"/>
            <a:chExt cx="576" cy="47"/>
          </a:xfrm>
        </xdr:grpSpPr>
        <xdr:sp macro="" textlink="">
          <xdr:nvSpPr>
            <xdr:cNvPr id="5123" name="Rectangle 3"/>
            <xdr:cNvSpPr>
              <a:spLocks noChangeArrowheads="1"/>
            </xdr:cNvSpPr>
          </xdr:nvSpPr>
          <xdr:spPr bwMode="auto">
            <a:xfrm>
              <a:off x="244" y="1149"/>
              <a:ext cx="56" cy="24"/>
            </a:xfrm>
            <a:prstGeom prst="rect">
              <a:avLst/>
            </a:prstGeom>
            <a:solidFill>
              <a:srgbClr val="FFFFFF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  <xdr:txBody>
            <a:bodyPr vertOverflow="clip" wrap="square" lIns="91440" tIns="45720" rIns="91440" bIns="45720" anchor="t" upright="1"/>
            <a:lstStyle/>
            <a:p>
              <a:pPr algn="l" rtl="0">
                <a:defRPr sz="1000"/>
              </a:pPr>
              <a:r>
                <a:rPr lang="en-US" altLang="zh-CN" sz="10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MPW</a:t>
              </a:r>
            </a:p>
          </xdr:txBody>
        </xdr:sp>
        <xdr:sp macro="" textlink="">
          <xdr:nvSpPr>
            <xdr:cNvPr id="5124" name="Rectangle 4"/>
            <xdr:cNvSpPr>
              <a:spLocks noChangeArrowheads="1"/>
            </xdr:cNvSpPr>
          </xdr:nvSpPr>
          <xdr:spPr bwMode="auto">
            <a:xfrm>
              <a:off x="412" y="1150"/>
              <a:ext cx="63" cy="24"/>
            </a:xfrm>
            <a:prstGeom prst="rect">
              <a:avLst/>
            </a:prstGeom>
            <a:solidFill>
              <a:srgbClr val="FFFFFF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  <xdr:txBody>
            <a:bodyPr vertOverflow="clip" wrap="square" lIns="91440" tIns="45720" rIns="91440" bIns="45720" anchor="t" upright="1"/>
            <a:lstStyle/>
            <a:p>
              <a:pPr algn="l" rtl="0">
                <a:defRPr sz="1000"/>
              </a:pPr>
              <a:r>
                <a:rPr lang="en-US" altLang="zh-CN" sz="10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PI lot</a:t>
              </a:r>
            </a:p>
          </xdr:txBody>
        </xdr:sp>
        <xdr:sp macro="" textlink="">
          <xdr:nvSpPr>
            <xdr:cNvPr id="5125" name="Rectangle 5"/>
            <xdr:cNvSpPr>
              <a:spLocks noChangeArrowheads="1"/>
            </xdr:cNvSpPr>
          </xdr:nvSpPr>
          <xdr:spPr bwMode="auto">
            <a:xfrm>
              <a:off x="311" y="1136"/>
              <a:ext cx="88" cy="24"/>
            </a:xfrm>
            <a:prstGeom prst="rect">
              <a:avLst/>
            </a:prstGeom>
            <a:solidFill>
              <a:srgbClr val="FFFFFF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  <xdr:txBody>
            <a:bodyPr vertOverflow="clip" wrap="square" lIns="91440" tIns="45720" rIns="91440" bIns="45720" anchor="t" upright="1"/>
            <a:lstStyle/>
            <a:p>
              <a:pPr algn="l" rtl="0">
                <a:defRPr sz="1000"/>
              </a:pPr>
              <a:r>
                <a:rPr lang="en-US" altLang="zh-CN" sz="10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First version</a:t>
              </a:r>
            </a:p>
          </xdr:txBody>
        </xdr:sp>
        <xdr:sp macro="" textlink="">
          <xdr:nvSpPr>
            <xdr:cNvPr id="5126" name="Rectangle 6"/>
            <xdr:cNvSpPr>
              <a:spLocks noChangeArrowheads="1"/>
            </xdr:cNvSpPr>
          </xdr:nvSpPr>
          <xdr:spPr bwMode="auto">
            <a:xfrm>
              <a:off x="644" y="1140"/>
              <a:ext cx="95" cy="43"/>
            </a:xfrm>
            <a:prstGeom prst="rect">
              <a:avLst/>
            </a:prstGeom>
            <a:solidFill>
              <a:srgbClr val="FFFFFF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  <xdr:txBody>
            <a:bodyPr vertOverflow="clip" wrap="square" lIns="91440" tIns="45720" rIns="91440" bIns="45720" anchor="t" upright="1"/>
            <a:lstStyle/>
            <a:p>
              <a:pPr algn="l" rtl="0">
                <a:defRPr sz="1000"/>
              </a:pPr>
              <a:r>
                <a:rPr lang="en-US" altLang="zh-CN" sz="10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Mass production</a:t>
              </a:r>
            </a:p>
          </xdr:txBody>
        </xdr:sp>
        <xdr:sp macro="" textlink="">
          <xdr:nvSpPr>
            <xdr:cNvPr id="5127" name="Rectangle 7"/>
            <xdr:cNvSpPr>
              <a:spLocks noChangeArrowheads="1"/>
            </xdr:cNvSpPr>
          </xdr:nvSpPr>
          <xdr:spPr bwMode="auto">
            <a:xfrm>
              <a:off x="481" y="1136"/>
              <a:ext cx="155" cy="24"/>
            </a:xfrm>
            <a:prstGeom prst="rect">
              <a:avLst/>
            </a:prstGeom>
            <a:solidFill>
              <a:srgbClr val="FFFFFF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  <xdr:txBody>
            <a:bodyPr vertOverflow="clip" wrap="square" lIns="91440" tIns="45720" rIns="91440" bIns="45720" anchor="t" upright="1"/>
            <a:lstStyle/>
            <a:p>
              <a:pPr algn="l" rtl="0">
                <a:defRPr sz="1000"/>
              </a:pPr>
              <a:r>
                <a:rPr lang="en-US" altLang="zh-CN" sz="10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Frist &amp;Second  vension</a:t>
              </a:r>
            </a:p>
          </xdr:txBody>
        </xdr:sp>
        <xdr:cxnSp macro="">
          <xdr:nvCxnSpPr>
            <xdr:cNvPr id="38282" name="AutoShape 9"/>
            <xdr:cNvCxnSpPr>
              <a:cxnSpLocks noChangeShapeType="1"/>
              <a:stCxn id="5124" idx="3"/>
              <a:endCxn id="5126" idx="1"/>
            </xdr:cNvCxnSpPr>
          </xdr:nvCxnSpPr>
          <xdr:spPr bwMode="auto">
            <a:xfrm>
              <a:off x="475" y="1162"/>
              <a:ext cx="169" cy="0"/>
            </a:xfrm>
            <a:prstGeom prst="straightConnector1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 type="triangle" w="med" len="med"/>
            </a:ln>
          </xdr:spPr>
        </xdr:cxnSp>
        <xdr:cxnSp macro="">
          <xdr:nvCxnSpPr>
            <xdr:cNvPr id="38283" name="AutoShape 10"/>
            <xdr:cNvCxnSpPr>
              <a:cxnSpLocks noChangeShapeType="1"/>
              <a:stCxn id="5123" idx="3"/>
              <a:endCxn id="5124" idx="1"/>
            </xdr:cNvCxnSpPr>
          </xdr:nvCxnSpPr>
          <xdr:spPr bwMode="auto">
            <a:xfrm>
              <a:off x="300" y="1161"/>
              <a:ext cx="112" cy="1"/>
            </a:xfrm>
            <a:prstGeom prst="straightConnector1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 type="triangle" w="med" len="med"/>
            </a:ln>
          </xdr:spPr>
        </xdr:cxnSp>
      </xdr:grpSp>
      <xdr:grpSp>
        <xdr:nvGrpSpPr>
          <xdr:cNvPr id="38264" name="Group 11"/>
          <xdr:cNvGrpSpPr>
            <a:grpSpLocks/>
          </xdr:cNvGrpSpPr>
        </xdr:nvGrpSpPr>
        <xdr:grpSpPr bwMode="auto">
          <a:xfrm>
            <a:off x="365" y="1390"/>
            <a:ext cx="841" cy="50"/>
            <a:chOff x="164" y="1260"/>
            <a:chExt cx="577" cy="50"/>
          </a:xfrm>
        </xdr:grpSpPr>
        <xdr:sp macro="" textlink="">
          <xdr:nvSpPr>
            <xdr:cNvPr id="5132" name="Rectangle 12"/>
            <xdr:cNvSpPr>
              <a:spLocks noChangeArrowheads="1"/>
            </xdr:cNvSpPr>
          </xdr:nvSpPr>
          <xdr:spPr bwMode="auto">
            <a:xfrm>
              <a:off x="413" y="1277"/>
              <a:ext cx="64" cy="24"/>
            </a:xfrm>
            <a:prstGeom prst="rect">
              <a:avLst/>
            </a:prstGeom>
            <a:solidFill>
              <a:srgbClr val="FFFFFF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  <xdr:txBody>
            <a:bodyPr vertOverflow="clip" wrap="square" lIns="91440" tIns="45720" rIns="91440" bIns="45720" anchor="t" upright="1"/>
            <a:lstStyle/>
            <a:p>
              <a:pPr algn="l" rtl="0">
                <a:defRPr sz="1000"/>
              </a:pPr>
              <a:r>
                <a:rPr lang="en-US" altLang="zh-CN" sz="10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Qual lot</a:t>
              </a:r>
            </a:p>
          </xdr:txBody>
        </xdr:sp>
        <xdr:sp macro="" textlink="">
          <xdr:nvSpPr>
            <xdr:cNvPr id="5133" name="Rectangle 13"/>
            <xdr:cNvSpPr>
              <a:spLocks noChangeArrowheads="1"/>
            </xdr:cNvSpPr>
          </xdr:nvSpPr>
          <xdr:spPr bwMode="auto">
            <a:xfrm>
              <a:off x="245" y="1276"/>
              <a:ext cx="56" cy="24"/>
            </a:xfrm>
            <a:prstGeom prst="rect">
              <a:avLst/>
            </a:prstGeom>
            <a:solidFill>
              <a:srgbClr val="FFFFFF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  <xdr:txBody>
            <a:bodyPr vertOverflow="clip" wrap="square" lIns="91440" tIns="45720" rIns="91440" bIns="45720" anchor="t" upright="1"/>
            <a:lstStyle/>
            <a:p>
              <a:pPr algn="l" rtl="0">
                <a:defRPr sz="1000"/>
              </a:pPr>
              <a:r>
                <a:rPr lang="en-US" altLang="zh-CN" sz="10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MPW</a:t>
              </a:r>
            </a:p>
          </xdr:txBody>
        </xdr:sp>
        <xdr:sp macro="" textlink="">
          <xdr:nvSpPr>
            <xdr:cNvPr id="5134" name="Rectangle 14"/>
            <xdr:cNvSpPr>
              <a:spLocks noChangeArrowheads="1"/>
            </xdr:cNvSpPr>
          </xdr:nvSpPr>
          <xdr:spPr bwMode="auto">
            <a:xfrm>
              <a:off x="646" y="1266"/>
              <a:ext cx="95" cy="44"/>
            </a:xfrm>
            <a:prstGeom prst="rect">
              <a:avLst/>
            </a:prstGeom>
            <a:solidFill>
              <a:srgbClr val="FFFFFF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  <xdr:txBody>
            <a:bodyPr vertOverflow="clip" wrap="square" lIns="91440" tIns="45720" rIns="91440" bIns="45720" anchor="t" upright="1"/>
            <a:lstStyle/>
            <a:p>
              <a:pPr algn="l" rtl="0">
                <a:defRPr sz="1000"/>
              </a:pPr>
              <a:r>
                <a:rPr lang="en-US" altLang="zh-CN" sz="10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Mass production</a:t>
              </a:r>
            </a:p>
          </xdr:txBody>
        </xdr:sp>
        <xdr:sp macro="" textlink="">
          <xdr:nvSpPr>
            <xdr:cNvPr id="5135" name="Rectangle 15"/>
            <xdr:cNvSpPr>
              <a:spLocks noChangeArrowheads="1"/>
            </xdr:cNvSpPr>
          </xdr:nvSpPr>
          <xdr:spPr bwMode="auto">
            <a:xfrm>
              <a:off x="312" y="1262"/>
              <a:ext cx="89" cy="24"/>
            </a:xfrm>
            <a:prstGeom prst="rect">
              <a:avLst/>
            </a:prstGeom>
            <a:solidFill>
              <a:srgbClr val="FFFFFF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  <xdr:txBody>
            <a:bodyPr vertOverflow="clip" wrap="square" lIns="91440" tIns="45720" rIns="91440" bIns="45720" anchor="t" upright="1"/>
            <a:lstStyle/>
            <a:p>
              <a:pPr algn="l" rtl="0">
                <a:defRPr sz="1000"/>
              </a:pPr>
              <a:r>
                <a:rPr lang="en-US" altLang="zh-CN" sz="10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Frist version</a:t>
              </a:r>
            </a:p>
          </xdr:txBody>
        </xdr:sp>
        <xdr:sp macro="" textlink="">
          <xdr:nvSpPr>
            <xdr:cNvPr id="5136" name="Rectangle 16"/>
            <xdr:cNvSpPr>
              <a:spLocks noChangeArrowheads="1"/>
            </xdr:cNvSpPr>
          </xdr:nvSpPr>
          <xdr:spPr bwMode="auto">
            <a:xfrm>
              <a:off x="482" y="1260"/>
              <a:ext cx="151" cy="24"/>
            </a:xfrm>
            <a:prstGeom prst="rect">
              <a:avLst/>
            </a:prstGeom>
            <a:solidFill>
              <a:srgbClr val="FFFFFF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  <xdr:txBody>
            <a:bodyPr vertOverflow="clip" wrap="square" lIns="91440" tIns="45720" rIns="91440" bIns="45720" anchor="t" upright="1"/>
            <a:lstStyle/>
            <a:p>
              <a:pPr algn="l" rtl="0">
                <a:defRPr sz="1000"/>
              </a:pPr>
              <a:r>
                <a:rPr lang="en-US" altLang="zh-CN" sz="10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Frist &amp; Sencond version</a:t>
              </a:r>
            </a:p>
          </xdr:txBody>
        </xdr:sp>
        <xdr:cxnSp macro="">
          <xdr:nvCxnSpPr>
            <xdr:cNvPr id="38275" name="AutoShape 18"/>
            <xdr:cNvCxnSpPr>
              <a:cxnSpLocks noChangeShapeType="1"/>
              <a:stCxn id="5133" idx="3"/>
              <a:endCxn id="5132" idx="1"/>
            </xdr:cNvCxnSpPr>
          </xdr:nvCxnSpPr>
          <xdr:spPr bwMode="auto">
            <a:xfrm>
              <a:off x="301" y="1288"/>
              <a:ext cx="112" cy="1"/>
            </a:xfrm>
            <a:prstGeom prst="straightConnector1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 type="triangle" w="med" len="med"/>
            </a:ln>
          </xdr:spPr>
        </xdr:cxnSp>
        <xdr:cxnSp macro="">
          <xdr:nvCxnSpPr>
            <xdr:cNvPr id="38276" name="AutoShape 19"/>
            <xdr:cNvCxnSpPr>
              <a:cxnSpLocks noChangeShapeType="1"/>
              <a:stCxn id="5132" idx="3"/>
              <a:endCxn id="5134" idx="1"/>
            </xdr:cNvCxnSpPr>
          </xdr:nvCxnSpPr>
          <xdr:spPr bwMode="auto">
            <a:xfrm flipV="1">
              <a:off x="477" y="1288"/>
              <a:ext cx="169" cy="1"/>
            </a:xfrm>
            <a:prstGeom prst="straightConnector1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 type="triangle" w="med" len="med"/>
            </a:ln>
          </xdr:spPr>
        </xdr:cxnSp>
      </xdr:grpSp>
      <xdr:grpSp>
        <xdr:nvGrpSpPr>
          <xdr:cNvPr id="38265" name="Group 20"/>
          <xdr:cNvGrpSpPr>
            <a:grpSpLocks/>
          </xdr:cNvGrpSpPr>
        </xdr:nvGrpSpPr>
        <xdr:grpSpPr bwMode="auto">
          <a:xfrm>
            <a:off x="360" y="1329"/>
            <a:ext cx="839" cy="49"/>
            <a:chOff x="163" y="1200"/>
            <a:chExt cx="577" cy="49"/>
          </a:xfrm>
        </xdr:grpSpPr>
        <xdr:sp macro="" textlink="">
          <xdr:nvSpPr>
            <xdr:cNvPr id="5141" name="Rectangle 21"/>
            <xdr:cNvSpPr>
              <a:spLocks noChangeArrowheads="1"/>
            </xdr:cNvSpPr>
          </xdr:nvSpPr>
          <xdr:spPr bwMode="auto">
            <a:xfrm>
              <a:off x="244" y="1218"/>
              <a:ext cx="56" cy="24"/>
            </a:xfrm>
            <a:prstGeom prst="rect">
              <a:avLst/>
            </a:prstGeom>
            <a:solidFill>
              <a:srgbClr val="FFFFFF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  <xdr:txBody>
            <a:bodyPr vertOverflow="clip" wrap="square" lIns="91440" tIns="45720" rIns="91440" bIns="45720" anchor="t" upright="1"/>
            <a:lstStyle/>
            <a:p>
              <a:pPr algn="l" rtl="0">
                <a:defRPr sz="1000"/>
              </a:pPr>
              <a:r>
                <a:rPr lang="en-US" altLang="zh-CN" sz="10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PI lot</a:t>
              </a:r>
            </a:p>
          </xdr:txBody>
        </xdr:sp>
        <xdr:sp macro="" textlink="">
          <xdr:nvSpPr>
            <xdr:cNvPr id="5142" name="Rectangle 22"/>
            <xdr:cNvSpPr>
              <a:spLocks noChangeArrowheads="1"/>
            </xdr:cNvSpPr>
          </xdr:nvSpPr>
          <xdr:spPr bwMode="auto">
            <a:xfrm>
              <a:off x="644" y="1208"/>
              <a:ext cx="95" cy="41"/>
            </a:xfrm>
            <a:prstGeom prst="rect">
              <a:avLst/>
            </a:prstGeom>
            <a:solidFill>
              <a:srgbClr val="FFFFFF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  <xdr:txBody>
            <a:bodyPr vertOverflow="clip" wrap="square" lIns="91440" tIns="45720" rIns="91440" bIns="45720" anchor="t" upright="1"/>
            <a:lstStyle/>
            <a:p>
              <a:pPr algn="l" rtl="0">
                <a:defRPr sz="1000"/>
              </a:pPr>
              <a:r>
                <a:rPr lang="en-US" altLang="zh-CN" sz="10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Mass production</a:t>
              </a:r>
            </a:p>
          </xdr:txBody>
        </xdr:sp>
        <xdr:sp macro="" textlink="">
          <xdr:nvSpPr>
            <xdr:cNvPr id="5143" name="Rectangle 23"/>
            <xdr:cNvSpPr>
              <a:spLocks noChangeArrowheads="1"/>
            </xdr:cNvSpPr>
          </xdr:nvSpPr>
          <xdr:spPr bwMode="auto">
            <a:xfrm>
              <a:off x="401" y="1200"/>
              <a:ext cx="88" cy="24"/>
            </a:xfrm>
            <a:prstGeom prst="rect">
              <a:avLst/>
            </a:prstGeom>
            <a:solidFill>
              <a:srgbClr val="FFFFFF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  <xdr:txBody>
            <a:bodyPr vertOverflow="clip" wrap="square" lIns="91440" tIns="45720" rIns="91440" bIns="45720" anchor="t" upright="1"/>
            <a:lstStyle/>
            <a:p>
              <a:pPr algn="l" rtl="0">
                <a:defRPr sz="1000"/>
              </a:pPr>
              <a:r>
                <a:rPr lang="en-US" altLang="zh-CN" sz="10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Frist version</a:t>
              </a:r>
            </a:p>
          </xdr:txBody>
        </xdr:sp>
        <xdr:cxnSp macro="">
          <xdr:nvCxnSpPr>
            <xdr:cNvPr id="38269" name="AutoShape 25"/>
            <xdr:cNvCxnSpPr>
              <a:cxnSpLocks noChangeShapeType="1"/>
              <a:stCxn id="5141" idx="3"/>
              <a:endCxn id="5142" idx="1"/>
            </xdr:cNvCxnSpPr>
          </xdr:nvCxnSpPr>
          <xdr:spPr bwMode="auto">
            <a:xfrm flipV="1">
              <a:off x="300" y="1229"/>
              <a:ext cx="345" cy="1"/>
            </a:xfrm>
            <a:prstGeom prst="straightConnector1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 type="triangle" w="med" len="med"/>
            </a:ln>
          </xdr:spPr>
        </xdr:cxnSp>
      </xdr:grpSp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~1/Z00146~1.CHI/LOCALS~1/Temp/notesFCBCEE/Balong%20V700R001%20ePAD_2-22.xls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main"/>
      <sheetName val="模拟、电源、地Buffer资源"/>
      <sheetName val="模拟、电源、地信号信息"/>
      <sheetName val="电源、地复用关系信息"/>
      <sheetName val="Buffer资源"/>
      <sheetName val="数字信号信息"/>
      <sheetName val="复用关系信息"/>
      <sheetName val="硬件复用条件"/>
      <sheetName val="PAD信息"/>
      <sheetName val="Pad order"/>
      <sheetName val="pin info"/>
      <sheetName val="pin map"/>
      <sheetName val="check_info"/>
      <sheetName val="config"/>
      <sheetName val="help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>
        <row r="5">
          <cell r="P5" t="str">
            <v>D_TCXO0_CLK</v>
          </cell>
        </row>
        <row r="6">
          <cell r="P6" t="str">
            <v>D_TCXO1_CLK</v>
          </cell>
        </row>
        <row r="7">
          <cell r="P7" t="str">
            <v>D_TCXO_SEL</v>
          </cell>
        </row>
        <row r="8">
          <cell r="P8" t="str">
            <v>CLKIN_SLEEP</v>
          </cell>
        </row>
        <row r="9">
          <cell r="P9" t="str">
            <v>TCXO0_IN</v>
          </cell>
        </row>
        <row r="10">
          <cell r="P10" t="str">
            <v>TCXO1_IN</v>
          </cell>
        </row>
        <row r="11">
          <cell r="P11" t="str">
            <v>TCXO0_EN</v>
          </cell>
        </row>
        <row r="12">
          <cell r="P12" t="str">
            <v>TCXO1_EN</v>
          </cell>
        </row>
        <row r="13">
          <cell r="P13" t="str">
            <v>PMU_RSTIN_N</v>
          </cell>
        </row>
        <row r="14">
          <cell r="P14" t="str">
            <v>PMU_RSTOUT_N</v>
          </cell>
        </row>
        <row r="15">
          <cell r="P15" t="str">
            <v>PMU_HOLD</v>
          </cell>
        </row>
        <row r="16">
          <cell r="P16" t="str">
            <v>PMU_IRQ_N</v>
          </cell>
        </row>
        <row r="17">
          <cell r="P17" t="str">
            <v>PMU_LP</v>
          </cell>
        </row>
        <row r="18">
          <cell r="P18" t="str">
            <v>BOOT_MODE0</v>
          </cell>
        </row>
        <row r="19">
          <cell r="P19" t="str">
            <v>BOOT_MODE1</v>
          </cell>
        </row>
        <row r="20">
          <cell r="P20" t="str">
            <v>BOOT_MODE2</v>
          </cell>
        </row>
        <row r="21">
          <cell r="P21" t="str">
            <v>JTAG_MODE0</v>
          </cell>
        </row>
        <row r="22">
          <cell r="P22" t="str">
            <v>JTAG_MODE1</v>
          </cell>
        </row>
        <row r="23">
          <cell r="P23" t="str">
            <v>JTAG_MODE2</v>
          </cell>
        </row>
        <row r="24">
          <cell r="P24" t="str">
            <v>JTAG0_TCK</v>
          </cell>
        </row>
        <row r="25">
          <cell r="P25" t="str">
            <v>JTAG0_RTCK</v>
          </cell>
        </row>
        <row r="26">
          <cell r="P26" t="str">
            <v>JTAG0_TRST_N</v>
          </cell>
        </row>
        <row r="27">
          <cell r="P27" t="str">
            <v>JTAG0_TMS</v>
          </cell>
        </row>
        <row r="28">
          <cell r="P28" t="str">
            <v>JTAG0_TDI</v>
          </cell>
        </row>
        <row r="29">
          <cell r="P29" t="str">
            <v>JTAG0_TDO</v>
          </cell>
        </row>
        <row r="30">
          <cell r="P30" t="str">
            <v>JTAG1_TCK</v>
          </cell>
        </row>
        <row r="31">
          <cell r="P31" t="str">
            <v>JTAG1_RTCK</v>
          </cell>
        </row>
        <row r="32">
          <cell r="P32" t="str">
            <v>JTAG1_TRST_N</v>
          </cell>
        </row>
        <row r="33">
          <cell r="P33" t="str">
            <v>JTAG1_TMS</v>
          </cell>
        </row>
        <row r="34">
          <cell r="P34" t="str">
            <v>JTAG1_TDI</v>
          </cell>
        </row>
        <row r="35">
          <cell r="P35" t="str">
            <v>JTAG1_TDO</v>
          </cell>
        </row>
        <row r="36">
          <cell r="P36" t="str">
            <v>EFUSE_CS_N</v>
          </cell>
        </row>
        <row r="37">
          <cell r="P37" t="str">
            <v>EFUSE_SCLK</v>
          </cell>
        </row>
        <row r="38">
          <cell r="P38" t="str">
            <v>EFUSE_PGM</v>
          </cell>
        </row>
        <row r="39">
          <cell r="P39" t="str">
            <v>EFUSE_DIN</v>
          </cell>
        </row>
        <row r="40">
          <cell r="P40" t="str">
            <v>EFUSE_DOUT</v>
          </cell>
        </row>
        <row r="41">
          <cell r="P41" t="str">
            <v>EFUSE_VDDQ</v>
          </cell>
        </row>
        <row r="42">
          <cell r="P42" t="str">
            <v>DDR_CKP</v>
          </cell>
        </row>
        <row r="43">
          <cell r="P43" t="str">
            <v>DDR_CKN</v>
          </cell>
        </row>
        <row r="44">
          <cell r="P44" t="str">
            <v>DDR_CKE</v>
          </cell>
        </row>
        <row r="45">
          <cell r="P45" t="str">
            <v>DDR_CS_N</v>
          </cell>
        </row>
        <row r="46">
          <cell r="P46" t="str">
            <v>DDR_RAS_N</v>
          </cell>
        </row>
        <row r="47">
          <cell r="P47" t="str">
            <v>DDR_CAS_N</v>
          </cell>
        </row>
        <row r="48">
          <cell r="P48" t="str">
            <v>DDR_WE_N</v>
          </cell>
        </row>
        <row r="49">
          <cell r="P49" t="str">
            <v>DDR_BA0</v>
          </cell>
        </row>
        <row r="50">
          <cell r="P50" t="str">
            <v>DDR_BA1</v>
          </cell>
        </row>
        <row r="51">
          <cell r="P51" t="str">
            <v>DDR_ADDR0</v>
          </cell>
        </row>
        <row r="52">
          <cell r="P52" t="str">
            <v>DDR_ADDR1</v>
          </cell>
        </row>
        <row r="53">
          <cell r="P53" t="str">
            <v>DDR_ADDR2</v>
          </cell>
        </row>
        <row r="54">
          <cell r="P54" t="str">
            <v>DDR_ADDR3</v>
          </cell>
        </row>
        <row r="55">
          <cell r="P55" t="str">
            <v>DDR_ADDR4</v>
          </cell>
        </row>
        <row r="56">
          <cell r="P56" t="str">
            <v>DDR_ADDR5</v>
          </cell>
        </row>
        <row r="57">
          <cell r="P57" t="str">
            <v>DDR_ADDR6</v>
          </cell>
        </row>
        <row r="58">
          <cell r="P58" t="str">
            <v>DDR_ADDR7</v>
          </cell>
        </row>
        <row r="59">
          <cell r="P59" t="str">
            <v>DDR_ADDR8</v>
          </cell>
        </row>
        <row r="60">
          <cell r="P60" t="str">
            <v>DDR_ADDR9</v>
          </cell>
        </row>
        <row r="61">
          <cell r="P61" t="str">
            <v>DDR_ADDR10</v>
          </cell>
        </row>
        <row r="62">
          <cell r="P62" t="str">
            <v>DDR_ADDR11</v>
          </cell>
        </row>
        <row r="63">
          <cell r="P63" t="str">
            <v>DDR_ADDR12</v>
          </cell>
        </row>
        <row r="64">
          <cell r="P64" t="str">
            <v>DDR_DQM0</v>
          </cell>
        </row>
        <row r="65">
          <cell r="P65" t="str">
            <v>DDR_DQM1</v>
          </cell>
        </row>
        <row r="66">
          <cell r="P66" t="str">
            <v>DDR_DQM2</v>
          </cell>
        </row>
        <row r="67">
          <cell r="P67" t="str">
            <v>DDR_DQM3</v>
          </cell>
        </row>
        <row r="68">
          <cell r="P68" t="str">
            <v>DDR_DQ00</v>
          </cell>
        </row>
        <row r="69">
          <cell r="P69" t="str">
            <v>DDR_DQ01</v>
          </cell>
        </row>
        <row r="70">
          <cell r="P70" t="str">
            <v>DDR_DQ02</v>
          </cell>
        </row>
        <row r="71">
          <cell r="P71" t="str">
            <v>DDR_DQ03</v>
          </cell>
        </row>
        <row r="72">
          <cell r="P72" t="str">
            <v>DDR_DQ04</v>
          </cell>
        </row>
        <row r="73">
          <cell r="P73" t="str">
            <v>DDR_DQ05</v>
          </cell>
        </row>
        <row r="74">
          <cell r="P74" t="str">
            <v>DDR_DQ06</v>
          </cell>
        </row>
        <row r="75">
          <cell r="P75" t="str">
            <v>DDR_DQ07</v>
          </cell>
        </row>
        <row r="76">
          <cell r="P76" t="str">
            <v>DDR_DQ08</v>
          </cell>
        </row>
        <row r="77">
          <cell r="P77" t="str">
            <v>DDR_DQ09</v>
          </cell>
        </row>
        <row r="78">
          <cell r="P78" t="str">
            <v>DDR_DQ10</v>
          </cell>
        </row>
        <row r="79">
          <cell r="P79" t="str">
            <v>DDR_DQ11</v>
          </cell>
        </row>
        <row r="80">
          <cell r="P80" t="str">
            <v>DDR_DQ12</v>
          </cell>
        </row>
        <row r="81">
          <cell r="P81" t="str">
            <v>DDR_DQ13</v>
          </cell>
        </row>
        <row r="82">
          <cell r="P82" t="str">
            <v>DDR_DQ14</v>
          </cell>
        </row>
        <row r="83">
          <cell r="P83" t="str">
            <v>DDR_DQ15</v>
          </cell>
        </row>
        <row r="84">
          <cell r="P84" t="str">
            <v>DDR_DQ16</v>
          </cell>
        </row>
        <row r="85">
          <cell r="P85" t="str">
            <v>DDR_DQ17</v>
          </cell>
        </row>
        <row r="86">
          <cell r="P86" t="str">
            <v>DDR_DQ18</v>
          </cell>
        </row>
        <row r="87">
          <cell r="P87" t="str">
            <v>DDR_DQ19</v>
          </cell>
        </row>
        <row r="88">
          <cell r="P88" t="str">
            <v>DDR_DQ20</v>
          </cell>
        </row>
        <row r="89">
          <cell r="P89" t="str">
            <v>DDR_DQ21</v>
          </cell>
        </row>
        <row r="90">
          <cell r="P90" t="str">
            <v>DDR_DQ22</v>
          </cell>
        </row>
        <row r="91">
          <cell r="P91" t="str">
            <v>DDR_DQ23</v>
          </cell>
        </row>
        <row r="92">
          <cell r="P92" t="str">
            <v>DDR_DQ24</v>
          </cell>
        </row>
        <row r="93">
          <cell r="P93" t="str">
            <v>DDR_DQ25</v>
          </cell>
        </row>
        <row r="94">
          <cell r="P94" t="str">
            <v>DDR_DQ26</v>
          </cell>
        </row>
        <row r="95">
          <cell r="P95" t="str">
            <v>DDR_DQ27</v>
          </cell>
        </row>
        <row r="96">
          <cell r="P96" t="str">
            <v>DDR_DQ28</v>
          </cell>
        </row>
        <row r="97">
          <cell r="P97" t="str">
            <v>DDR_DQ29</v>
          </cell>
        </row>
        <row r="98">
          <cell r="P98" t="str">
            <v>DDR_DQ30</v>
          </cell>
        </row>
        <row r="99">
          <cell r="P99" t="str">
            <v>DDR_DQ31</v>
          </cell>
        </row>
        <row r="100">
          <cell r="P100" t="str">
            <v>DDR_DQS0_P</v>
          </cell>
        </row>
        <row r="101">
          <cell r="P101" t="str">
            <v>DDR_DQS0_N</v>
          </cell>
        </row>
        <row r="102">
          <cell r="P102" t="str">
            <v>DDR_DQS1_P</v>
          </cell>
        </row>
        <row r="103">
          <cell r="P103" t="str">
            <v>DDR_DQS1_N</v>
          </cell>
        </row>
        <row r="104">
          <cell r="P104" t="str">
            <v>DDR_DQS2_P</v>
          </cell>
        </row>
        <row r="105">
          <cell r="P105" t="str">
            <v>DDR_DQS2_N</v>
          </cell>
        </row>
        <row r="106">
          <cell r="P106" t="str">
            <v>DDR_DQS3_P</v>
          </cell>
        </row>
        <row r="107">
          <cell r="P107" t="str">
            <v>DDR_DQS3_N</v>
          </cell>
        </row>
        <row r="108">
          <cell r="P108" t="str">
            <v>DDR_ZQ</v>
          </cell>
        </row>
        <row r="109">
          <cell r="P109" t="str">
            <v>NF_CE0_N</v>
          </cell>
        </row>
        <row r="110">
          <cell r="P110" t="str">
            <v>NF_ALE</v>
          </cell>
        </row>
        <row r="111">
          <cell r="P111" t="str">
            <v>NF_CLE</v>
          </cell>
        </row>
        <row r="112">
          <cell r="P112" t="str">
            <v>NF_WR_N</v>
          </cell>
        </row>
        <row r="113">
          <cell r="P113" t="str">
            <v>NF_RD_N</v>
          </cell>
        </row>
        <row r="114">
          <cell r="P114" t="str">
            <v>NF_DATA0</v>
          </cell>
        </row>
        <row r="115">
          <cell r="P115" t="str">
            <v>NF_DATA1</v>
          </cell>
        </row>
        <row r="116">
          <cell r="P116" t="str">
            <v>NF_DATA2</v>
          </cell>
        </row>
        <row r="117">
          <cell r="P117" t="str">
            <v>NF_DATA3</v>
          </cell>
        </row>
        <row r="118">
          <cell r="P118" t="str">
            <v>NF_DATA4</v>
          </cell>
        </row>
        <row r="119">
          <cell r="P119" t="str">
            <v>NF_DATA5</v>
          </cell>
        </row>
        <row r="120">
          <cell r="P120" t="str">
            <v>NF_DATA6</v>
          </cell>
        </row>
        <row r="121">
          <cell r="P121" t="str">
            <v>NF_DATA7</v>
          </cell>
        </row>
        <row r="122">
          <cell r="P122" t="str">
            <v>NF_DATA8</v>
          </cell>
        </row>
        <row r="123">
          <cell r="P123" t="str">
            <v>NF_DATA9</v>
          </cell>
        </row>
        <row r="124">
          <cell r="P124" t="str">
            <v>NF_DATA10</v>
          </cell>
        </row>
        <row r="125">
          <cell r="P125" t="str">
            <v>NF_DATA11</v>
          </cell>
        </row>
        <row r="126">
          <cell r="P126" t="str">
            <v>NF_DATA12</v>
          </cell>
        </row>
        <row r="127">
          <cell r="P127" t="str">
            <v>NF_DATA13</v>
          </cell>
        </row>
        <row r="128">
          <cell r="P128" t="str">
            <v>NF_DATA14</v>
          </cell>
        </row>
        <row r="129">
          <cell r="P129" t="str">
            <v>NF_DATA15</v>
          </cell>
        </row>
        <row r="130">
          <cell r="P130" t="str">
            <v>NF_RB0</v>
          </cell>
        </row>
        <row r="131">
          <cell r="P131" t="str">
            <v>NF_ADDR_NUM</v>
          </cell>
        </row>
        <row r="132">
          <cell r="P132" t="str">
            <v>NF_DATA_WIDE</v>
          </cell>
        </row>
        <row r="133">
          <cell r="P133" t="str">
            <v>NF_PAGE_SIZE0</v>
          </cell>
        </row>
        <row r="134">
          <cell r="P134" t="str">
            <v>NF_PAGE_SIZE1</v>
          </cell>
        </row>
        <row r="135">
          <cell r="P135" t="str">
            <v>NF_BLOCK_SIZE</v>
          </cell>
        </row>
        <row r="136">
          <cell r="P136" t="str">
            <v>NF_ECC_TYPE0</v>
          </cell>
        </row>
        <row r="137">
          <cell r="P137" t="str">
            <v>NF_ECC_TYPE1</v>
          </cell>
        </row>
        <row r="138">
          <cell r="P138" t="str">
            <v>NF_ECC_TYPE2</v>
          </cell>
        </row>
        <row r="139">
          <cell r="P139" t="str">
            <v>USB20_VBUS</v>
          </cell>
        </row>
        <row r="140">
          <cell r="P140" t="str">
            <v>USB20_ID</v>
          </cell>
        </row>
        <row r="141">
          <cell r="P141" t="str">
            <v>USB20_DP</v>
          </cell>
        </row>
        <row r="142">
          <cell r="P142" t="str">
            <v>USB20_DM</v>
          </cell>
        </row>
        <row r="143">
          <cell r="P143" t="str">
            <v>USB20_RKELVIN</v>
          </cell>
        </row>
        <row r="144">
          <cell r="P144" t="str">
            <v>USB20_ANALOGTEST</v>
          </cell>
        </row>
        <row r="145">
          <cell r="P145" t="str">
            <v>USB20_XO</v>
          </cell>
        </row>
        <row r="146">
          <cell r="P146" t="str">
            <v>USB20_XI</v>
          </cell>
        </row>
        <row r="147">
          <cell r="P147" t="str">
            <v>HSIC_STROBE</v>
          </cell>
        </row>
        <row r="148">
          <cell r="P148" t="str">
            <v>HSIC_DATA</v>
          </cell>
        </row>
        <row r="149">
          <cell r="P149" t="str">
            <v>PMU_USIM0_CLK</v>
          </cell>
        </row>
        <row r="150">
          <cell r="P150" t="str">
            <v>PMU_USIM0_RST</v>
          </cell>
        </row>
        <row r="151">
          <cell r="P151" t="str">
            <v>PMU_USIM0_DATA</v>
          </cell>
        </row>
        <row r="152">
          <cell r="P152" t="str">
            <v>PMU_USIM0_DETECT</v>
          </cell>
        </row>
        <row r="153">
          <cell r="P153" t="str">
            <v>PMU_USIM1_CLK</v>
          </cell>
        </row>
        <row r="154">
          <cell r="P154" t="str">
            <v>PMU_USIM1_RST</v>
          </cell>
        </row>
        <row r="155">
          <cell r="P155" t="str">
            <v>PMU_USIM1_DATA</v>
          </cell>
        </row>
        <row r="156">
          <cell r="P156" t="str">
            <v>PMU_USIM1_DETECT</v>
          </cell>
        </row>
        <row r="157">
          <cell r="P157" t="str">
            <v>MMC0_CLK</v>
          </cell>
        </row>
        <row r="158">
          <cell r="P158" t="str">
            <v>MMC0_CLK_FB_OUT</v>
          </cell>
        </row>
        <row r="159">
          <cell r="P159" t="str">
            <v>MMC0_CLK_FB_IN</v>
          </cell>
        </row>
        <row r="160">
          <cell r="P160" t="str">
            <v>MMC0_CMD</v>
          </cell>
        </row>
        <row r="161">
          <cell r="P161" t="str">
            <v>MMC0_DATA0</v>
          </cell>
        </row>
        <row r="162">
          <cell r="P162" t="str">
            <v>MMC0_DATA1</v>
          </cell>
        </row>
        <row r="163">
          <cell r="P163" t="str">
            <v>MMC0_DATA2</v>
          </cell>
        </row>
        <row r="164">
          <cell r="P164" t="str">
            <v>MMC0_DATA3</v>
          </cell>
        </row>
        <row r="165">
          <cell r="P165" t="str">
            <v>MMC0_WP</v>
          </cell>
        </row>
        <row r="166">
          <cell r="P166" t="str">
            <v>MMC0_CARDIN_N</v>
          </cell>
        </row>
        <row r="167">
          <cell r="P167" t="str">
            <v>MMC1_CLK</v>
          </cell>
        </row>
        <row r="168">
          <cell r="P168" t="str">
            <v>MMC1_CLK_FB_OUT</v>
          </cell>
        </row>
        <row r="169">
          <cell r="P169" t="str">
            <v>MMC1_CLK_FB_IN</v>
          </cell>
        </row>
        <row r="170">
          <cell r="P170" t="str">
            <v>MMC1_CMD</v>
          </cell>
        </row>
        <row r="171">
          <cell r="P171" t="str">
            <v>MMC1_DATA0</v>
          </cell>
        </row>
        <row r="172">
          <cell r="P172" t="str">
            <v>MMC1_DATA1</v>
          </cell>
        </row>
        <row r="173">
          <cell r="P173" t="str">
            <v>MMC1_DATA2</v>
          </cell>
        </row>
        <row r="174">
          <cell r="P174" t="str">
            <v>MMC1_DATA3</v>
          </cell>
        </row>
        <row r="175">
          <cell r="P175" t="str">
            <v>MMC1_WP</v>
          </cell>
        </row>
        <row r="176">
          <cell r="P176" t="str">
            <v>MMC1_CARDIN_N</v>
          </cell>
        </row>
        <row r="177">
          <cell r="P177" t="str">
            <v>MMC2_CLK</v>
          </cell>
        </row>
        <row r="178">
          <cell r="P178" t="str">
            <v>MMC2_CLK_FB_OUT</v>
          </cell>
        </row>
        <row r="179">
          <cell r="P179" t="str">
            <v>MMC2_CLK_FB_IN</v>
          </cell>
        </row>
        <row r="180">
          <cell r="P180" t="str">
            <v>MMC2_CMD</v>
          </cell>
        </row>
        <row r="181">
          <cell r="P181" t="str">
            <v>MMC2_DATA0</v>
          </cell>
        </row>
        <row r="182">
          <cell r="P182" t="str">
            <v>MMC2_DATA1</v>
          </cell>
        </row>
        <row r="183">
          <cell r="P183" t="str">
            <v>MMC2_DATA2</v>
          </cell>
        </row>
        <row r="184">
          <cell r="P184" t="str">
            <v>MMC2_DATA3</v>
          </cell>
        </row>
        <row r="185">
          <cell r="P185" t="str">
            <v>MMC2_WP</v>
          </cell>
        </row>
        <row r="186">
          <cell r="P186" t="str">
            <v>MMC2_CARDIN_N</v>
          </cell>
        </row>
        <row r="187">
          <cell r="P187" t="str">
            <v>SDIO_CLK</v>
          </cell>
        </row>
        <row r="188">
          <cell r="P188" t="str">
            <v>SDIO_CMD</v>
          </cell>
        </row>
        <row r="189">
          <cell r="P189" t="str">
            <v>SDIO_DATA0</v>
          </cell>
        </row>
        <row r="190">
          <cell r="P190" t="str">
            <v>SDIO_DATA1</v>
          </cell>
        </row>
        <row r="191">
          <cell r="P191" t="str">
            <v>SDIO_DATA2</v>
          </cell>
        </row>
        <row r="192">
          <cell r="P192" t="str">
            <v>SDIO_DATA3</v>
          </cell>
        </row>
        <row r="193">
          <cell r="P193" t="str">
            <v>I2C_SCL</v>
          </cell>
        </row>
        <row r="194">
          <cell r="P194" t="str">
            <v>I2C_SDA</v>
          </cell>
        </row>
        <row r="195">
          <cell r="P195" t="str">
            <v>SSP0_CS0_N</v>
          </cell>
        </row>
        <row r="196">
          <cell r="P196" t="str">
            <v>SSP0_CS1_N</v>
          </cell>
        </row>
        <row r="197">
          <cell r="P197" t="str">
            <v>SSP0_CLK_OUT</v>
          </cell>
        </row>
        <row r="198">
          <cell r="P198" t="str">
            <v>SSP0_SDIO</v>
          </cell>
        </row>
        <row r="199">
          <cell r="P199" t="str">
            <v>SSP0_SDO</v>
          </cell>
        </row>
        <row r="200">
          <cell r="P200" t="str">
            <v>SSP1_CS0_N</v>
          </cell>
        </row>
        <row r="201">
          <cell r="P201" t="str">
            <v>SSP1_CS1_N</v>
          </cell>
        </row>
        <row r="202">
          <cell r="P202" t="str">
            <v>SSP1_CLK_OUT</v>
          </cell>
        </row>
        <row r="203">
          <cell r="P203" t="str">
            <v>SSP1_SDIO</v>
          </cell>
        </row>
        <row r="204">
          <cell r="P204" t="str">
            <v>SSP1_SDO</v>
          </cell>
        </row>
        <row r="205">
          <cell r="P205" t="str">
            <v>SSI0</v>
          </cell>
        </row>
        <row r="206">
          <cell r="P206" t="str">
            <v>SSI1</v>
          </cell>
        </row>
        <row r="207">
          <cell r="P207" t="str">
            <v>UART0_TXD</v>
          </cell>
        </row>
        <row r="208">
          <cell r="P208" t="str">
            <v>UART0_RXD</v>
          </cell>
        </row>
        <row r="209">
          <cell r="P209" t="str">
            <v>UART1_TXD</v>
          </cell>
        </row>
        <row r="210">
          <cell r="P210" t="str">
            <v>UART1_RXD</v>
          </cell>
        </row>
        <row r="211">
          <cell r="P211" t="str">
            <v>UART2_TXD</v>
          </cell>
        </row>
        <row r="212">
          <cell r="P212" t="str">
            <v>UART2_RXD</v>
          </cell>
        </row>
        <row r="213">
          <cell r="P213" t="str">
            <v>UART3_TXD</v>
          </cell>
        </row>
        <row r="214">
          <cell r="P214" t="str">
            <v>UART3_RXD</v>
          </cell>
        </row>
        <row r="215">
          <cell r="P215" t="str">
            <v>HS_UART_TXD</v>
          </cell>
        </row>
        <row r="216">
          <cell r="P216" t="str">
            <v>HS_UART_RXD</v>
          </cell>
        </row>
        <row r="217">
          <cell r="P217" t="str">
            <v>HS_UART_RTS_N</v>
          </cell>
        </row>
        <row r="218">
          <cell r="P218" t="str">
            <v>HS_UART_CTS_N</v>
          </cell>
        </row>
        <row r="219">
          <cell r="P219" t="str">
            <v>LTE_PCM_CLK</v>
          </cell>
        </row>
        <row r="220">
          <cell r="P220" t="str">
            <v>LTE_PCM_SYNC</v>
          </cell>
        </row>
        <row r="221">
          <cell r="P221" t="str">
            <v>LTE_PCM_DI</v>
          </cell>
        </row>
        <row r="222">
          <cell r="P222" t="str">
            <v>LTE_PCM_DO</v>
          </cell>
        </row>
        <row r="223">
          <cell r="P223" t="str">
            <v>LCD_RST_N</v>
          </cell>
        </row>
        <row r="224">
          <cell r="P224" t="str">
            <v>LCD_CS_N</v>
          </cell>
        </row>
        <row r="225">
          <cell r="P225" t="str">
            <v>LCD_WR_N</v>
          </cell>
        </row>
        <row r="226">
          <cell r="P226" t="str">
            <v>LCD_RD_N</v>
          </cell>
        </row>
        <row r="227">
          <cell r="P227" t="str">
            <v>LCD_DC</v>
          </cell>
        </row>
        <row r="228">
          <cell r="P228" t="str">
            <v>LCD_D0</v>
          </cell>
        </row>
        <row r="229">
          <cell r="P229" t="str">
            <v>LCD_D1</v>
          </cell>
        </row>
        <row r="230">
          <cell r="P230" t="str">
            <v>LCD_D2</v>
          </cell>
        </row>
        <row r="231">
          <cell r="P231" t="str">
            <v>LCD_D3</v>
          </cell>
        </row>
        <row r="232">
          <cell r="P232" t="str">
            <v>LCD_D4</v>
          </cell>
        </row>
        <row r="233">
          <cell r="P233" t="str">
            <v>LCD_D5</v>
          </cell>
        </row>
        <row r="234">
          <cell r="P234" t="str">
            <v>LCD_D6</v>
          </cell>
        </row>
        <row r="235">
          <cell r="P235" t="str">
            <v>LCD_D7</v>
          </cell>
        </row>
        <row r="236">
          <cell r="P236" t="str">
            <v>LCD_D8</v>
          </cell>
        </row>
        <row r="237">
          <cell r="P237" t="str">
            <v>LCD_D9</v>
          </cell>
        </row>
        <row r="238">
          <cell r="P238" t="str">
            <v>LCD_D10</v>
          </cell>
        </row>
        <row r="239">
          <cell r="P239" t="str">
            <v>LCD_D11</v>
          </cell>
        </row>
        <row r="240">
          <cell r="P240" t="str">
            <v>LCD_D12</v>
          </cell>
        </row>
        <row r="241">
          <cell r="P241" t="str">
            <v>LCD_D13</v>
          </cell>
        </row>
        <row r="242">
          <cell r="P242" t="str">
            <v>LCD_D14</v>
          </cell>
        </row>
        <row r="243">
          <cell r="P243" t="str">
            <v>LCD_D15</v>
          </cell>
        </row>
        <row r="244">
          <cell r="P244" t="str">
            <v>GMII_RX_CLK</v>
          </cell>
        </row>
        <row r="245">
          <cell r="P245" t="str">
            <v>GMII_TX_CLK</v>
          </cell>
        </row>
        <row r="246">
          <cell r="P246" t="str">
            <v>GMII_CLK_125</v>
          </cell>
        </row>
        <row r="247">
          <cell r="P247" t="str">
            <v>GMII_GTXCLK</v>
          </cell>
        </row>
        <row r="248">
          <cell r="P248" t="str">
            <v>GMII_TXEN</v>
          </cell>
        </row>
        <row r="249">
          <cell r="P249" t="str">
            <v>GMII_TXER</v>
          </cell>
        </row>
        <row r="250">
          <cell r="P250" t="str">
            <v>GMII_TXD0</v>
          </cell>
        </row>
        <row r="251">
          <cell r="P251" t="str">
            <v>GMII_TXD1</v>
          </cell>
        </row>
        <row r="252">
          <cell r="P252" t="str">
            <v>GMII_TXD2</v>
          </cell>
        </row>
        <row r="253">
          <cell r="P253" t="str">
            <v>GMII_TXD3</v>
          </cell>
        </row>
        <row r="254">
          <cell r="P254" t="str">
            <v>GMII_TXD4</v>
          </cell>
        </row>
        <row r="255">
          <cell r="P255" t="str">
            <v>GMII_TXD5</v>
          </cell>
        </row>
        <row r="256">
          <cell r="P256" t="str">
            <v>GMII_TXD6</v>
          </cell>
        </row>
        <row r="257">
          <cell r="P257" t="str">
            <v>GMII_TXD7</v>
          </cell>
        </row>
        <row r="258">
          <cell r="P258" t="str">
            <v>GMII_RXDV</v>
          </cell>
        </row>
        <row r="259">
          <cell r="P259" t="str">
            <v>GMII_RXCRS</v>
          </cell>
        </row>
        <row r="260">
          <cell r="P260" t="str">
            <v>GMII_RXER</v>
          </cell>
        </row>
        <row r="261">
          <cell r="P261" t="str">
            <v>GMII_COL</v>
          </cell>
        </row>
        <row r="262">
          <cell r="P262" t="str">
            <v>GMII_RXD0</v>
          </cell>
        </row>
        <row r="263">
          <cell r="P263" t="str">
            <v>GMII_RXD1</v>
          </cell>
        </row>
        <row r="264">
          <cell r="P264" t="str">
            <v>GMII_RXD2</v>
          </cell>
        </row>
        <row r="265">
          <cell r="P265" t="str">
            <v>GMII_RXD3</v>
          </cell>
        </row>
        <row r="266">
          <cell r="P266" t="str">
            <v>GMII_RXD4</v>
          </cell>
        </row>
        <row r="267">
          <cell r="P267" t="str">
            <v>GMII_RXD5</v>
          </cell>
        </row>
        <row r="268">
          <cell r="P268" t="str">
            <v>GMII_RXD6</v>
          </cell>
        </row>
        <row r="269">
          <cell r="P269" t="str">
            <v>GMII_RXD7</v>
          </cell>
        </row>
        <row r="270">
          <cell r="P270" t="str">
            <v>GMII_MDIO</v>
          </cell>
        </row>
        <row r="271">
          <cell r="P271" t="str">
            <v>GMII_MDC</v>
          </cell>
        </row>
        <row r="272">
          <cell r="P272" t="str">
            <v>TP_DO0</v>
          </cell>
        </row>
        <row r="273">
          <cell r="P273" t="str">
            <v>TP_DO1</v>
          </cell>
        </row>
        <row r="274">
          <cell r="P274" t="str">
            <v>TP_DO2</v>
          </cell>
        </row>
        <row r="275">
          <cell r="P275" t="str">
            <v>TP_DO3</v>
          </cell>
        </row>
        <row r="276">
          <cell r="P276" t="str">
            <v>TP_DO4</v>
          </cell>
        </row>
        <row r="277">
          <cell r="P277" t="str">
            <v>TP_DO5</v>
          </cell>
        </row>
        <row r="278">
          <cell r="P278" t="str">
            <v>TP_DO6</v>
          </cell>
        </row>
        <row r="279">
          <cell r="P279" t="str">
            <v>TP_DO7</v>
          </cell>
        </row>
        <row r="280">
          <cell r="P280" t="str">
            <v>TP_DO8</v>
          </cell>
        </row>
        <row r="281">
          <cell r="P281" t="str">
            <v>TP_DO9</v>
          </cell>
        </row>
        <row r="282">
          <cell r="P282" t="str">
            <v>TP_DO10</v>
          </cell>
        </row>
        <row r="283">
          <cell r="P283" t="str">
            <v>TP_DO11</v>
          </cell>
        </row>
        <row r="284">
          <cell r="P284" t="str">
            <v>TP_DO12</v>
          </cell>
        </row>
        <row r="285">
          <cell r="P285" t="str">
            <v>TP_DO13</v>
          </cell>
        </row>
        <row r="286">
          <cell r="P286" t="str">
            <v>TP_DO14</v>
          </cell>
        </row>
        <row r="287">
          <cell r="P287" t="str">
            <v>TP_DO15</v>
          </cell>
        </row>
        <row r="288">
          <cell r="P288" t="str">
            <v>TP_CLK</v>
          </cell>
        </row>
        <row r="289">
          <cell r="P289" t="str">
            <v>TP_CTL</v>
          </cell>
        </row>
        <row r="290">
          <cell r="P290" t="str">
            <v>LTE_RX_MCLK</v>
          </cell>
        </row>
        <row r="291">
          <cell r="P291" t="str">
            <v>LTE_RX_SYNC</v>
          </cell>
        </row>
        <row r="292">
          <cell r="P292" t="str">
            <v>LTE_RXA_DATA0</v>
          </cell>
        </row>
        <row r="293">
          <cell r="P293" t="str">
            <v>LTE_RXA_DATA1</v>
          </cell>
        </row>
        <row r="294">
          <cell r="P294" t="str">
            <v>LTE_RXA_DATA2</v>
          </cell>
        </row>
        <row r="295">
          <cell r="P295" t="str">
            <v>LTE_RXA_DATA3</v>
          </cell>
        </row>
        <row r="296">
          <cell r="P296" t="str">
            <v>LTE_RXA_DATA4</v>
          </cell>
        </row>
        <row r="297">
          <cell r="P297" t="str">
            <v>LTE_RXA_DATA5</v>
          </cell>
        </row>
        <row r="298">
          <cell r="P298" t="str">
            <v>LTE_RXA_DATA6</v>
          </cell>
        </row>
        <row r="299">
          <cell r="P299" t="str">
            <v>LTE_RXB_DATA0</v>
          </cell>
        </row>
        <row r="300">
          <cell r="P300" t="str">
            <v>LTE_RXB_DATA1</v>
          </cell>
        </row>
        <row r="301">
          <cell r="P301" t="str">
            <v>LTE_RXB_DATA2</v>
          </cell>
        </row>
        <row r="302">
          <cell r="P302" t="str">
            <v>LTE_RXB_DATA3</v>
          </cell>
        </row>
        <row r="303">
          <cell r="P303" t="str">
            <v>LTE_RXB_DATA4</v>
          </cell>
        </row>
        <row r="304">
          <cell r="P304" t="str">
            <v>LTE_RXB_DATA5</v>
          </cell>
        </row>
        <row r="305">
          <cell r="P305" t="str">
            <v>LTE_RXB_DATA6</v>
          </cell>
        </row>
        <row r="306">
          <cell r="P306" t="str">
            <v>LTE_TX_CLK</v>
          </cell>
        </row>
        <row r="307">
          <cell r="P307" t="str">
            <v>LTE_TX_SYNC</v>
          </cell>
        </row>
        <row r="308">
          <cell r="P308" t="str">
            <v>LTE_TXA_DATA0</v>
          </cell>
        </row>
        <row r="309">
          <cell r="P309" t="str">
            <v>LTE_TXA_DATA1</v>
          </cell>
        </row>
        <row r="310">
          <cell r="P310" t="str">
            <v>LTE_TXA_DATA2</v>
          </cell>
        </row>
        <row r="311">
          <cell r="P311" t="str">
            <v>LTE_TXA_DATA3</v>
          </cell>
        </row>
        <row r="312">
          <cell r="P312" t="str">
            <v>LTE_TXA_DATA4</v>
          </cell>
        </row>
        <row r="313">
          <cell r="P313" t="str">
            <v>LTE_TXA_DATA5</v>
          </cell>
        </row>
        <row r="314">
          <cell r="P314" t="str">
            <v>LTE_TXA_DATA6</v>
          </cell>
        </row>
        <row r="315">
          <cell r="P315" t="str">
            <v>LTE_RXA_EN</v>
          </cell>
        </row>
        <row r="316">
          <cell r="P316" t="str">
            <v>LTE_RXB_EN</v>
          </cell>
        </row>
        <row r="317">
          <cell r="P317" t="str">
            <v>LTE_TX_EN</v>
          </cell>
        </row>
        <row r="318">
          <cell r="P318" t="str">
            <v>LTE_RXA_BLK_EN</v>
          </cell>
        </row>
        <row r="319">
          <cell r="P319" t="str">
            <v>LTE_RXB_BLK_EN</v>
          </cell>
        </row>
        <row r="320">
          <cell r="P320" t="str">
            <v>LTE_AUXDAC1_EN</v>
          </cell>
        </row>
        <row r="321">
          <cell r="P321" t="str">
            <v>LTE_AUXDAC2_EN</v>
          </cell>
        </row>
        <row r="322">
          <cell r="P322" t="str">
            <v>LTE_SSI_AUXDAC</v>
          </cell>
        </row>
        <row r="323">
          <cell r="P323" t="str">
            <v>LTE_AUXDAC1</v>
          </cell>
        </row>
        <row r="324">
          <cell r="P324" t="str">
            <v>LTE_AUXDAC2</v>
          </cell>
        </row>
        <row r="325">
          <cell r="P325" t="str">
            <v>WG_RX_MCLK</v>
          </cell>
        </row>
        <row r="326">
          <cell r="P326" t="str">
            <v>WG_RX_SYNC</v>
          </cell>
        </row>
        <row r="327">
          <cell r="P327" t="str">
            <v>WG_RXA_DATA0</v>
          </cell>
        </row>
        <row r="328">
          <cell r="P328" t="str">
            <v>WG_RXA_DATA1</v>
          </cell>
        </row>
        <row r="329">
          <cell r="P329" t="str">
            <v>WG_RXA_DATA2</v>
          </cell>
        </row>
        <row r="330">
          <cell r="P330" t="str">
            <v>WG_RXA_DATA3</v>
          </cell>
        </row>
        <row r="331">
          <cell r="P331" t="str">
            <v>WG_RXA_DATA4</v>
          </cell>
        </row>
        <row r="332">
          <cell r="P332" t="str">
            <v>WG_RXA_DATA5</v>
          </cell>
        </row>
        <row r="333">
          <cell r="P333" t="str">
            <v>WG_RXA_DATA6</v>
          </cell>
        </row>
        <row r="334">
          <cell r="P334" t="str">
            <v>WG_RXB_DATA0</v>
          </cell>
        </row>
        <row r="335">
          <cell r="P335" t="str">
            <v>WG_RXB_DATA1</v>
          </cell>
        </row>
        <row r="336">
          <cell r="P336" t="str">
            <v>WG_RXB_DATA2</v>
          </cell>
        </row>
        <row r="337">
          <cell r="P337" t="str">
            <v>WG_RXB_DATA3</v>
          </cell>
        </row>
        <row r="338">
          <cell r="P338" t="str">
            <v>WG_RXB_DATA4</v>
          </cell>
        </row>
        <row r="339">
          <cell r="P339" t="str">
            <v>WG_RXB_DATA5</v>
          </cell>
        </row>
        <row r="340">
          <cell r="P340" t="str">
            <v>WG_RXB_DATA6</v>
          </cell>
        </row>
        <row r="341">
          <cell r="P341" t="str">
            <v>WG_TX_MCLK</v>
          </cell>
        </row>
        <row r="342">
          <cell r="P342" t="str">
            <v>WG_TX_SYNC</v>
          </cell>
        </row>
        <row r="343">
          <cell r="P343" t="str">
            <v>WG_TXA_DATA0</v>
          </cell>
        </row>
        <row r="344">
          <cell r="P344" t="str">
            <v>WG_TXA_DATA1</v>
          </cell>
        </row>
        <row r="345">
          <cell r="P345" t="str">
            <v>WG_TXA_DATA2</v>
          </cell>
        </row>
        <row r="346">
          <cell r="P346" t="str">
            <v>WG_TXA_DATA3</v>
          </cell>
        </row>
        <row r="347">
          <cell r="P347" t="str">
            <v>WG_TXA_DATA4</v>
          </cell>
        </row>
        <row r="348">
          <cell r="P348" t="str">
            <v>WG_TXA_DATA5</v>
          </cell>
        </row>
        <row r="349">
          <cell r="P349" t="str">
            <v>WG_TXA_DATA6</v>
          </cell>
        </row>
        <row r="350">
          <cell r="P350" t="str">
            <v>W_RXA_EN</v>
          </cell>
        </row>
        <row r="351">
          <cell r="P351" t="str">
            <v>W_RXB_EN</v>
          </cell>
        </row>
        <row r="352">
          <cell r="P352" t="str">
            <v>W_TX_EN</v>
          </cell>
        </row>
        <row r="353">
          <cell r="P353" t="str">
            <v>G_RXA_EN</v>
          </cell>
        </row>
        <row r="354">
          <cell r="P354" t="str">
            <v>G_RXB_EN</v>
          </cell>
        </row>
        <row r="355">
          <cell r="P355" t="str">
            <v>G_TX_EN</v>
          </cell>
        </row>
        <row r="356">
          <cell r="P356" t="str">
            <v>WG_RXA_BLK_EN</v>
          </cell>
        </row>
        <row r="357">
          <cell r="P357" t="str">
            <v>WG_RXB_BLK_EN</v>
          </cell>
        </row>
        <row r="358">
          <cell r="P358" t="str">
            <v>WG_AUXDAC1_EN</v>
          </cell>
        </row>
        <row r="359">
          <cell r="P359" t="str">
            <v>WG_AUXDAC2_EN</v>
          </cell>
        </row>
        <row r="360">
          <cell r="P360" t="str">
            <v>SSI_ABB</v>
          </cell>
        </row>
        <row r="361">
          <cell r="P361" t="str">
            <v>WG_SSI_HKADC</v>
          </cell>
        </row>
        <row r="362">
          <cell r="P362" t="str">
            <v>WG_SSI_AUXDAC</v>
          </cell>
        </row>
        <row r="363">
          <cell r="P363" t="str">
            <v>WG_AUXDAC1</v>
          </cell>
        </row>
        <row r="364">
          <cell r="P364" t="str">
            <v>WG_AUXDAC2</v>
          </cell>
        </row>
        <row r="365">
          <cell r="P365" t="str">
            <v>ABB_RST_N</v>
          </cell>
        </row>
        <row r="366">
          <cell r="P366" t="str">
            <v>ABB_VREF</v>
          </cell>
        </row>
        <row r="367">
          <cell r="P367" t="str">
            <v>LTE_RXA_I_P</v>
          </cell>
        </row>
        <row r="368">
          <cell r="P368" t="str">
            <v>LTE_RXA_I_N</v>
          </cell>
        </row>
        <row r="369">
          <cell r="P369" t="str">
            <v>LTE_RXA_Q_P</v>
          </cell>
        </row>
        <row r="370">
          <cell r="P370" t="str">
            <v>LTE_RXA_Q_N</v>
          </cell>
        </row>
        <row r="371">
          <cell r="P371" t="str">
            <v>LTE_RXB_I_P</v>
          </cell>
        </row>
        <row r="372">
          <cell r="P372" t="str">
            <v>LTE_RXB_I_N</v>
          </cell>
        </row>
        <row r="373">
          <cell r="P373" t="str">
            <v>LTE_RXB_Q_P</v>
          </cell>
        </row>
        <row r="374">
          <cell r="P374" t="str">
            <v>LTE_RXB_Q_N</v>
          </cell>
        </row>
        <row r="375">
          <cell r="P375" t="str">
            <v>LTE_TXA_I_P</v>
          </cell>
        </row>
        <row r="376">
          <cell r="P376" t="str">
            <v>LTE_TXA_I_N</v>
          </cell>
        </row>
        <row r="377">
          <cell r="P377" t="str">
            <v>LTE_TXA_Q_P</v>
          </cell>
        </row>
        <row r="378">
          <cell r="P378" t="str">
            <v>LTE_TXA_Q_N</v>
          </cell>
        </row>
        <row r="379">
          <cell r="P379" t="str">
            <v>WG_RXA_I_P</v>
          </cell>
        </row>
        <row r="380">
          <cell r="P380" t="str">
            <v>WG_RXA_I_N</v>
          </cell>
        </row>
        <row r="381">
          <cell r="P381" t="str">
            <v>WG_RXA_Q_P</v>
          </cell>
        </row>
        <row r="382">
          <cell r="P382" t="str">
            <v>WG_RXA_Q_N</v>
          </cell>
        </row>
        <row r="383">
          <cell r="P383" t="str">
            <v>WG_RXB_I_P</v>
          </cell>
        </row>
        <row r="384">
          <cell r="P384" t="str">
            <v>WG_RXB_I_N</v>
          </cell>
        </row>
        <row r="385">
          <cell r="P385" t="str">
            <v>WG_RXB_Q_P</v>
          </cell>
        </row>
        <row r="386">
          <cell r="P386" t="str">
            <v>WG_RXB_Q_N</v>
          </cell>
        </row>
        <row r="387">
          <cell r="P387" t="str">
            <v>WG_TXA_I_P</v>
          </cell>
        </row>
        <row r="388">
          <cell r="P388" t="str">
            <v>WG_TXA_I_N</v>
          </cell>
        </row>
        <row r="389">
          <cell r="P389" t="str">
            <v>WG_TXA_Q_P</v>
          </cell>
        </row>
        <row r="390">
          <cell r="P390" t="str">
            <v>WG_TXA_Q_N</v>
          </cell>
        </row>
        <row r="391">
          <cell r="P391" t="str">
            <v>WG_HKADC0</v>
          </cell>
        </row>
        <row r="392">
          <cell r="P392" t="str">
            <v>WG_HKADC1</v>
          </cell>
        </row>
        <row r="393">
          <cell r="P393" t="str">
            <v>WG_HKADC2</v>
          </cell>
        </row>
        <row r="394">
          <cell r="P394" t="str">
            <v>WG_HKADC3</v>
          </cell>
        </row>
        <row r="395">
          <cell r="P395" t="str">
            <v>WG_HKADC4</v>
          </cell>
        </row>
        <row r="396">
          <cell r="P396" t="str">
            <v>WG_HKADC5</v>
          </cell>
        </row>
        <row r="397">
          <cell r="P397" t="str">
            <v>WG_HKADC6</v>
          </cell>
        </row>
        <row r="398">
          <cell r="P398" t="str">
            <v>WG_HKADC7</v>
          </cell>
        </row>
        <row r="399">
          <cell r="P399" t="str">
            <v>WG_HKADC8</v>
          </cell>
        </row>
        <row r="400">
          <cell r="P400" t="str">
            <v>WG_HKADC9</v>
          </cell>
        </row>
        <row r="401">
          <cell r="P401" t="str">
            <v>LTE_RF_RST_N</v>
          </cell>
        </row>
        <row r="402">
          <cell r="P402" t="str">
            <v>LTE_RF_SSI_MODE</v>
          </cell>
        </row>
        <row r="403">
          <cell r="P403" t="str">
            <v>LTE_RF_CTRLEN_SSI_1</v>
          </cell>
        </row>
        <row r="404">
          <cell r="P404" t="str">
            <v>LTE_RF_CTRLDATA_SSI_2</v>
          </cell>
        </row>
        <row r="405">
          <cell r="P405" t="str">
            <v>LTE_RF_CTRLCLK</v>
          </cell>
        </row>
        <row r="406">
          <cell r="P406" t="str">
            <v>LTE_RF_TCVR_ON</v>
          </cell>
        </row>
        <row r="407">
          <cell r="P407" t="str">
            <v>LTE_RF_TX_EN</v>
          </cell>
        </row>
        <row r="408">
          <cell r="P408" t="str">
            <v>LTE_RF_XO_MODE</v>
          </cell>
        </row>
        <row r="409">
          <cell r="P409" t="str">
            <v>WG_RF_RST_N</v>
          </cell>
        </row>
        <row r="410">
          <cell r="P410" t="str">
            <v>WG_RF_SSI_MODE</v>
          </cell>
        </row>
        <row r="411">
          <cell r="P411" t="str">
            <v>WG_RF_CTRLEN_SSI_1</v>
          </cell>
        </row>
        <row r="412">
          <cell r="P412" t="str">
            <v>WG_RF_CTRLDATA_SSI_2</v>
          </cell>
        </row>
        <row r="413">
          <cell r="P413" t="str">
            <v>WG_RF_CTRLCLK</v>
          </cell>
        </row>
        <row r="414">
          <cell r="P414" t="str">
            <v>WG_RF_TCVR_ON</v>
          </cell>
        </row>
        <row r="415">
          <cell r="P415" t="str">
            <v>WG_RF_TX_EN</v>
          </cell>
        </row>
        <row r="416">
          <cell r="P416" t="str">
            <v>WG_RF_XO_MODE</v>
          </cell>
        </row>
        <row r="417">
          <cell r="P417" t="str">
            <v>WG_SIGE_HSMODE</v>
          </cell>
        </row>
        <row r="418">
          <cell r="P418" t="str">
            <v>WG_SIGE_SENB_RX</v>
          </cell>
        </row>
        <row r="419">
          <cell r="P419" t="str">
            <v>WG_SIGE_SENB_TX</v>
          </cell>
        </row>
        <row r="420">
          <cell r="P420" t="str">
            <v>WG_SIGE_SDATA</v>
          </cell>
        </row>
        <row r="421">
          <cell r="P421" t="str">
            <v>WG_SIGE_SCLK</v>
          </cell>
        </row>
        <row r="422">
          <cell r="P422" t="str">
            <v>WG_SIGE_RX_ON</v>
          </cell>
        </row>
        <row r="423">
          <cell r="P423" t="str">
            <v>WG_SIGE_TX_ON</v>
          </cell>
        </row>
        <row r="424">
          <cell r="P424" t="str">
            <v>WG_SIGE_TX_IDLE</v>
          </cell>
        </row>
        <row r="425">
          <cell r="P425" t="str">
            <v>LTE_PDM</v>
          </cell>
        </row>
        <row r="426">
          <cell r="P426" t="str">
            <v>WG_PDM</v>
          </cell>
        </row>
        <row r="427">
          <cell r="P427" t="str">
            <v>APT_PDM</v>
          </cell>
        </row>
        <row r="428">
          <cell r="P428" t="str">
            <v>PA_ON0</v>
          </cell>
        </row>
        <row r="429">
          <cell r="P429" t="str">
            <v>PA_ON1</v>
          </cell>
        </row>
        <row r="430">
          <cell r="P430" t="str">
            <v>PA_ON2</v>
          </cell>
        </row>
        <row r="431">
          <cell r="P431" t="str">
            <v>PA_ON3</v>
          </cell>
        </row>
        <row r="432">
          <cell r="P432" t="str">
            <v>PA_ON4</v>
          </cell>
        </row>
        <row r="433">
          <cell r="P433" t="str">
            <v>PA_ON5</v>
          </cell>
        </row>
        <row r="434">
          <cell r="P434" t="str">
            <v>PA_ATT0</v>
          </cell>
        </row>
        <row r="435">
          <cell r="P435" t="str">
            <v>PA_ATT1</v>
          </cell>
        </row>
        <row r="436">
          <cell r="P436" t="str">
            <v>GSM_PA_HB_EN</v>
          </cell>
        </row>
        <row r="437">
          <cell r="P437" t="str">
            <v>GSM_PA_LB_EN</v>
          </cell>
        </row>
        <row r="438">
          <cell r="P438" t="str">
            <v>P_ANT_SEL0</v>
          </cell>
        </row>
        <row r="439">
          <cell r="P439" t="str">
            <v>P_ANT_SEL1</v>
          </cell>
        </row>
        <row r="440">
          <cell r="P440" t="str">
            <v>P_ANT_SEL2</v>
          </cell>
        </row>
        <row r="441">
          <cell r="P441" t="str">
            <v>P_ANT_SEL3</v>
          </cell>
        </row>
        <row r="442">
          <cell r="P442" t="str">
            <v>D_ANT_SEL0</v>
          </cell>
        </row>
        <row r="443">
          <cell r="P443" t="str">
            <v>D_ANT_SEL1</v>
          </cell>
        </row>
        <row r="444">
          <cell r="P444" t="str">
            <v>D_ANT_SEL2</v>
          </cell>
        </row>
        <row r="445">
          <cell r="P445" t="str">
            <v>D_ANT_SEL3</v>
          </cell>
        </row>
        <row r="446">
          <cell r="P446" t="str">
            <v>GRFC0</v>
          </cell>
        </row>
        <row r="447">
          <cell r="P447" t="str">
            <v>GRFC1</v>
          </cell>
        </row>
        <row r="448">
          <cell r="P448" t="str">
            <v>GRFC2</v>
          </cell>
        </row>
        <row r="449">
          <cell r="P449" t="str">
            <v>GRFC3</v>
          </cell>
        </row>
        <row r="450">
          <cell r="P450" t="str">
            <v>GRFC4</v>
          </cell>
        </row>
        <row r="451">
          <cell r="P451" t="str">
            <v>GRFC5</v>
          </cell>
        </row>
        <row r="452">
          <cell r="P452" t="str">
            <v>GRFC6</v>
          </cell>
        </row>
        <row r="453">
          <cell r="P453" t="str">
            <v>GRFC7</v>
          </cell>
        </row>
        <row r="454">
          <cell r="P454" t="str">
            <v>GPIO_0_00</v>
          </cell>
        </row>
        <row r="455">
          <cell r="P455" t="str">
            <v>GPIO_0_01</v>
          </cell>
        </row>
        <row r="456">
          <cell r="P456" t="str">
            <v>GPIO_0_02</v>
          </cell>
        </row>
        <row r="457">
          <cell r="P457" t="str">
            <v>GPIO_0_03</v>
          </cell>
        </row>
        <row r="458">
          <cell r="P458" t="str">
            <v>GPIO_0_04</v>
          </cell>
        </row>
        <row r="459">
          <cell r="P459" t="str">
            <v>GPIO_0_05</v>
          </cell>
        </row>
        <row r="460">
          <cell r="P460" t="str">
            <v>GPIO_0_06</v>
          </cell>
        </row>
        <row r="461">
          <cell r="P461" t="str">
            <v>GPIO_0_07</v>
          </cell>
        </row>
        <row r="462">
          <cell r="P462" t="str">
            <v>GPIO_0_08</v>
          </cell>
        </row>
        <row r="463">
          <cell r="P463" t="str">
            <v>GPIO_0_09</v>
          </cell>
        </row>
        <row r="464">
          <cell r="P464" t="str">
            <v>GPIO_0_10</v>
          </cell>
        </row>
        <row r="465">
          <cell r="P465" t="str">
            <v>GPIO_0_11</v>
          </cell>
        </row>
        <row r="466">
          <cell r="P466" t="str">
            <v>GPIO_0_12</v>
          </cell>
        </row>
        <row r="467">
          <cell r="P467" t="str">
            <v>GPIO_0_13</v>
          </cell>
        </row>
        <row r="468">
          <cell r="P468" t="str">
            <v>GPIO_0_14</v>
          </cell>
        </row>
        <row r="469">
          <cell r="P469" t="str">
            <v>GPIO_0_15</v>
          </cell>
        </row>
        <row r="470">
          <cell r="P470" t="str">
            <v>GPIO_0_16</v>
          </cell>
        </row>
        <row r="471">
          <cell r="P471" t="str">
            <v>GPIO_0_17</v>
          </cell>
        </row>
        <row r="472">
          <cell r="P472" t="str">
            <v>GPIO_0_18</v>
          </cell>
        </row>
        <row r="473">
          <cell r="P473" t="str">
            <v>GPIO_0_19</v>
          </cell>
        </row>
        <row r="474">
          <cell r="P474" t="str">
            <v>GPIO_0_20</v>
          </cell>
        </row>
        <row r="475">
          <cell r="P475" t="str">
            <v>GPIO_0_21</v>
          </cell>
        </row>
        <row r="476">
          <cell r="P476" t="str">
            <v>GPIO_0_22</v>
          </cell>
        </row>
        <row r="477">
          <cell r="P477" t="str">
            <v>GPIO_0_23</v>
          </cell>
        </row>
        <row r="478">
          <cell r="P478" t="str">
            <v>GPIO_0_24</v>
          </cell>
        </row>
        <row r="479">
          <cell r="P479" t="str">
            <v>GPIO_0_25</v>
          </cell>
        </row>
        <row r="480">
          <cell r="P480" t="str">
            <v>GPIO_0_26</v>
          </cell>
        </row>
        <row r="481">
          <cell r="P481" t="str">
            <v>GPIO_0_27</v>
          </cell>
        </row>
        <row r="482">
          <cell r="P482" t="str">
            <v>GPIO_0_28</v>
          </cell>
        </row>
        <row r="483">
          <cell r="P483" t="str">
            <v>GPIO_0_29</v>
          </cell>
        </row>
        <row r="484">
          <cell r="P484" t="str">
            <v>GPIO_0_30</v>
          </cell>
        </row>
        <row r="485">
          <cell r="P485" t="str">
            <v>GPIO_0_31</v>
          </cell>
        </row>
        <row r="486">
          <cell r="P486" t="str">
            <v>GPIO_1_00</v>
          </cell>
        </row>
        <row r="487">
          <cell r="P487" t="str">
            <v>GPIO_1_01</v>
          </cell>
        </row>
        <row r="488">
          <cell r="P488" t="str">
            <v>GPIO_1_02</v>
          </cell>
        </row>
        <row r="489">
          <cell r="P489" t="str">
            <v>GPIO_1_03</v>
          </cell>
        </row>
        <row r="490">
          <cell r="P490" t="str">
            <v>GPIO_1_04</v>
          </cell>
        </row>
        <row r="491">
          <cell r="P491" t="str">
            <v>GPIO_1_05</v>
          </cell>
        </row>
        <row r="492">
          <cell r="P492" t="str">
            <v>GPIO_1_06</v>
          </cell>
        </row>
        <row r="493">
          <cell r="P493" t="str">
            <v>GPIO_1_07</v>
          </cell>
        </row>
        <row r="494">
          <cell r="P494" t="str">
            <v>GPIO_1_08</v>
          </cell>
        </row>
        <row r="495">
          <cell r="P495" t="str">
            <v>GPIO_1_09</v>
          </cell>
        </row>
        <row r="496">
          <cell r="P496" t="str">
            <v>GPIO_1_10</v>
          </cell>
        </row>
        <row r="497">
          <cell r="P497" t="str">
            <v>GPIO_1_11</v>
          </cell>
        </row>
        <row r="498">
          <cell r="P498" t="str">
            <v>GPIO_1_12</v>
          </cell>
        </row>
        <row r="499">
          <cell r="P499" t="str">
            <v>GPIO_1_13</v>
          </cell>
        </row>
        <row r="500">
          <cell r="P500" t="str">
            <v>GPIO_1_14</v>
          </cell>
        </row>
        <row r="501">
          <cell r="P501" t="str">
            <v>GPIO_1_15</v>
          </cell>
        </row>
        <row r="502">
          <cell r="P502" t="str">
            <v>GPIO_1_16</v>
          </cell>
        </row>
        <row r="503">
          <cell r="P503" t="str">
            <v>GPIO_1_17</v>
          </cell>
        </row>
        <row r="504">
          <cell r="P504" t="str">
            <v>GPIO_1_18</v>
          </cell>
        </row>
        <row r="505">
          <cell r="P505" t="str">
            <v>GPIO_1_19</v>
          </cell>
        </row>
        <row r="506">
          <cell r="P506" t="str">
            <v>GPIO_1_20</v>
          </cell>
        </row>
        <row r="507">
          <cell r="P507" t="str">
            <v>GPIO_1_21</v>
          </cell>
        </row>
        <row r="508">
          <cell r="P508" t="str">
            <v>GPIO_1_22</v>
          </cell>
        </row>
        <row r="509">
          <cell r="P509" t="str">
            <v>GPIO_1_23</v>
          </cell>
        </row>
        <row r="510">
          <cell r="P510" t="str">
            <v>GPIO_1_24</v>
          </cell>
        </row>
        <row r="511">
          <cell r="P511" t="str">
            <v>GPIO_1_25</v>
          </cell>
        </row>
        <row r="512">
          <cell r="P512" t="str">
            <v>GPIO_1_26</v>
          </cell>
        </row>
        <row r="513">
          <cell r="P513" t="str">
            <v>GPIO_1_27</v>
          </cell>
        </row>
        <row r="514">
          <cell r="P514" t="str">
            <v>GPIO_1_28</v>
          </cell>
        </row>
        <row r="515">
          <cell r="P515" t="str">
            <v>GPIO_1_29</v>
          </cell>
        </row>
        <row r="516">
          <cell r="P516" t="str">
            <v>GPIO_1_30</v>
          </cell>
        </row>
        <row r="517">
          <cell r="P517" t="str">
            <v>GPIO_1_31</v>
          </cell>
        </row>
        <row r="518">
          <cell r="P518" t="str">
            <v>GPIO_2_00</v>
          </cell>
        </row>
        <row r="519">
          <cell r="P519" t="str">
            <v>GPIO_2_01</v>
          </cell>
        </row>
        <row r="520">
          <cell r="P520" t="str">
            <v>GPIO_2_02</v>
          </cell>
        </row>
        <row r="521">
          <cell r="P521" t="str">
            <v>GPIO_2_03</v>
          </cell>
        </row>
        <row r="522">
          <cell r="P522" t="str">
            <v>GPIO_2_04</v>
          </cell>
        </row>
        <row r="523">
          <cell r="P523" t="str">
            <v>GPIO_2_05</v>
          </cell>
        </row>
        <row r="524">
          <cell r="P524" t="str">
            <v>GPIO_2_06</v>
          </cell>
        </row>
        <row r="525">
          <cell r="P525" t="str">
            <v>GPIO_2_07</v>
          </cell>
        </row>
        <row r="526">
          <cell r="P526" t="str">
            <v>GPIO_2_08</v>
          </cell>
        </row>
        <row r="527">
          <cell r="P527" t="str">
            <v>GPIO_2_09</v>
          </cell>
        </row>
        <row r="528">
          <cell r="P528" t="str">
            <v>GPIO_2_10</v>
          </cell>
        </row>
        <row r="529">
          <cell r="P529" t="str">
            <v>GPIO_2_11</v>
          </cell>
        </row>
        <row r="530">
          <cell r="P530" t="str">
            <v>GPIO_2_12</v>
          </cell>
        </row>
        <row r="531">
          <cell r="P531" t="str">
            <v>GPIO_2_13</v>
          </cell>
        </row>
        <row r="532">
          <cell r="P532" t="str">
            <v>GPIO_2_14</v>
          </cell>
        </row>
        <row r="533">
          <cell r="P533" t="str">
            <v>GPIO_2_15</v>
          </cell>
        </row>
        <row r="534">
          <cell r="P534" t="str">
            <v>GPIO_2_16</v>
          </cell>
        </row>
        <row r="535">
          <cell r="P535" t="str">
            <v>GPIO_2_17</v>
          </cell>
        </row>
        <row r="536">
          <cell r="P536" t="str">
            <v>GPIO_2_18</v>
          </cell>
        </row>
        <row r="537">
          <cell r="P537" t="str">
            <v>GPIO_2_19</v>
          </cell>
        </row>
        <row r="538">
          <cell r="P538" t="str">
            <v>GPIO_2_20</v>
          </cell>
        </row>
        <row r="539">
          <cell r="P539" t="str">
            <v>GPIO_2_21</v>
          </cell>
        </row>
        <row r="540">
          <cell r="P540" t="str">
            <v>GPIO_2_22</v>
          </cell>
        </row>
        <row r="541">
          <cell r="P541" t="str">
            <v>GPIO_2_23</v>
          </cell>
        </row>
        <row r="542">
          <cell r="P542" t="str">
            <v>GPIO_2_24</v>
          </cell>
        </row>
        <row r="543">
          <cell r="P543" t="str">
            <v>GPIO_2_25</v>
          </cell>
        </row>
        <row r="544">
          <cell r="P544" t="str">
            <v>GPIO_2_26</v>
          </cell>
        </row>
        <row r="545">
          <cell r="P545" t="str">
            <v>GPIO_2_27</v>
          </cell>
        </row>
        <row r="546">
          <cell r="P546" t="str">
            <v>GPIO_2_28</v>
          </cell>
        </row>
        <row r="547">
          <cell r="P547" t="str">
            <v>GPIO_2_29</v>
          </cell>
        </row>
        <row r="548">
          <cell r="P548" t="str">
            <v>GPIO_2_30</v>
          </cell>
        </row>
        <row r="549">
          <cell r="P549" t="str">
            <v>GPIO_2_31</v>
          </cell>
        </row>
        <row r="550">
          <cell r="P550" t="str">
            <v>GPIO_3_00</v>
          </cell>
        </row>
        <row r="551">
          <cell r="P551" t="str">
            <v>GPIO_3_01</v>
          </cell>
        </row>
        <row r="552">
          <cell r="P552" t="str">
            <v>GPIO_3_02</v>
          </cell>
        </row>
        <row r="553">
          <cell r="P553" t="str">
            <v>GPIO_3_03</v>
          </cell>
        </row>
        <row r="554">
          <cell r="P554" t="str">
            <v>GPIO_3_04</v>
          </cell>
        </row>
        <row r="555">
          <cell r="P555" t="str">
            <v>GPIO_3_05</v>
          </cell>
        </row>
        <row r="556">
          <cell r="P556" t="str">
            <v>GPIO_3_06</v>
          </cell>
        </row>
        <row r="557">
          <cell r="P557" t="str">
            <v>GPIO_3_07</v>
          </cell>
        </row>
        <row r="558">
          <cell r="P558" t="str">
            <v>GPIO_3_08</v>
          </cell>
        </row>
        <row r="559">
          <cell r="P559" t="str">
            <v>GPIO_3_09</v>
          </cell>
        </row>
        <row r="560">
          <cell r="P560" t="str">
            <v>GPIO_3_10</v>
          </cell>
        </row>
        <row r="561">
          <cell r="P561" t="str">
            <v>GPIO_3_11</v>
          </cell>
        </row>
        <row r="562">
          <cell r="P562" t="str">
            <v>GPIO_3_12</v>
          </cell>
        </row>
        <row r="563">
          <cell r="P563" t="str">
            <v>GPIO_3_13</v>
          </cell>
        </row>
        <row r="564">
          <cell r="P564" t="str">
            <v>GPIO_3_14</v>
          </cell>
        </row>
        <row r="565">
          <cell r="P565" t="str">
            <v>GPIO_3_15</v>
          </cell>
        </row>
        <row r="566">
          <cell r="P566" t="str">
            <v>GPIO_3_16</v>
          </cell>
        </row>
        <row r="567">
          <cell r="P567" t="str">
            <v>GPIO_3_17</v>
          </cell>
        </row>
        <row r="568">
          <cell r="P568" t="str">
            <v>GPIO_3_18</v>
          </cell>
        </row>
        <row r="569">
          <cell r="P569" t="str">
            <v>GPIO_3_19</v>
          </cell>
        </row>
        <row r="570">
          <cell r="P570" t="str">
            <v>GPIO_3_20</v>
          </cell>
        </row>
        <row r="571">
          <cell r="P571" t="str">
            <v>GPIO_3_21</v>
          </cell>
        </row>
        <row r="572">
          <cell r="P572" t="str">
            <v>GPIO_3_22</v>
          </cell>
        </row>
        <row r="573">
          <cell r="P573" t="str">
            <v>GPIO_3_23</v>
          </cell>
        </row>
        <row r="574">
          <cell r="P574" t="str">
            <v>GPIO_3_24</v>
          </cell>
        </row>
        <row r="575">
          <cell r="P575" t="str">
            <v>GPIO_3_25</v>
          </cell>
        </row>
        <row r="576">
          <cell r="P576" t="str">
            <v>GPIO_3_26</v>
          </cell>
        </row>
        <row r="577">
          <cell r="P577" t="str">
            <v>GPIO_3_27</v>
          </cell>
        </row>
        <row r="578">
          <cell r="P578" t="str">
            <v>GPIO_3_28</v>
          </cell>
        </row>
        <row r="579">
          <cell r="P579" t="str">
            <v>GPIO_3_29</v>
          </cell>
        </row>
        <row r="580">
          <cell r="P580" t="str">
            <v>GPIO_3_30</v>
          </cell>
        </row>
        <row r="581">
          <cell r="P581" t="str">
            <v>GPIO_3_31</v>
          </cell>
        </row>
        <row r="582">
          <cell r="P582" t="str">
            <v>utmi_rxdata0</v>
          </cell>
        </row>
        <row r="583">
          <cell r="P583" t="str">
            <v>utmi_rxdata1</v>
          </cell>
        </row>
        <row r="584">
          <cell r="P584" t="str">
            <v>utmi_rxdata2</v>
          </cell>
        </row>
        <row r="585">
          <cell r="P585" t="str">
            <v>utmi_rxdata3</v>
          </cell>
        </row>
        <row r="586">
          <cell r="P586" t="str">
            <v>utmi_rxdata4</v>
          </cell>
        </row>
        <row r="587">
          <cell r="P587" t="str">
            <v>utmi_rxdata5</v>
          </cell>
        </row>
        <row r="588">
          <cell r="P588" t="str">
            <v>utmi_rxdata6</v>
          </cell>
        </row>
        <row r="589">
          <cell r="P589" t="str">
            <v>utmi_rxdata7</v>
          </cell>
        </row>
        <row r="590">
          <cell r="P590" t="str">
            <v>utmi_rxdata8</v>
          </cell>
        </row>
        <row r="591">
          <cell r="P591" t="str">
            <v>utmi_rxdata9</v>
          </cell>
        </row>
        <row r="592">
          <cell r="P592" t="str">
            <v>utmi_rxdata10</v>
          </cell>
        </row>
        <row r="593">
          <cell r="P593" t="str">
            <v>utmi_rxdata11</v>
          </cell>
        </row>
        <row r="594">
          <cell r="P594" t="str">
            <v>utmi_rxdata12</v>
          </cell>
        </row>
        <row r="595">
          <cell r="P595" t="str">
            <v>utmi_rxdata13</v>
          </cell>
        </row>
        <row r="596">
          <cell r="P596" t="str">
            <v>utmi_rxdata14</v>
          </cell>
        </row>
        <row r="597">
          <cell r="P597" t="str">
            <v>utmi_rxdata15</v>
          </cell>
        </row>
        <row r="598">
          <cell r="P598" t="str">
            <v>utmi_clk</v>
          </cell>
        </row>
        <row r="599">
          <cell r="P599" t="str">
            <v>utmi_rxvalidh</v>
          </cell>
        </row>
        <row r="600">
          <cell r="P600" t="str">
            <v>utmi_rxvalid</v>
          </cell>
        </row>
        <row r="601">
          <cell r="P601" t="str">
            <v>utmi_rxactive</v>
          </cell>
        </row>
        <row r="602">
          <cell r="P602" t="str">
            <v>utmi_rxerror</v>
          </cell>
        </row>
        <row r="603">
          <cell r="P603" t="str">
            <v>utmi_linestate0</v>
          </cell>
        </row>
        <row r="604">
          <cell r="P604" t="str">
            <v>utmi_linestate1</v>
          </cell>
        </row>
        <row r="605">
          <cell r="P605" t="str">
            <v>utmi_txdata0</v>
          </cell>
        </row>
        <row r="606">
          <cell r="P606" t="str">
            <v>utmi_txdata1</v>
          </cell>
        </row>
        <row r="607">
          <cell r="P607" t="str">
            <v>utmi_txdata2</v>
          </cell>
        </row>
        <row r="608">
          <cell r="P608" t="str">
            <v>utmi_txdata3</v>
          </cell>
        </row>
        <row r="609">
          <cell r="P609" t="str">
            <v>utmi_txdata4</v>
          </cell>
        </row>
        <row r="610">
          <cell r="P610" t="str">
            <v>utmi_txdata5</v>
          </cell>
        </row>
        <row r="611">
          <cell r="P611" t="str">
            <v>utmi_txdata6</v>
          </cell>
        </row>
        <row r="612">
          <cell r="P612" t="str">
            <v>utmi_txdata7</v>
          </cell>
        </row>
        <row r="613">
          <cell r="P613" t="str">
            <v>utmi_txdata8</v>
          </cell>
        </row>
        <row r="614">
          <cell r="P614" t="str">
            <v>utmi_txdata9</v>
          </cell>
        </row>
        <row r="615">
          <cell r="P615" t="str">
            <v>utmi_txdata10</v>
          </cell>
        </row>
        <row r="616">
          <cell r="P616" t="str">
            <v>utmi_txdata11</v>
          </cell>
        </row>
        <row r="617">
          <cell r="P617" t="str">
            <v>utmi_txdata12</v>
          </cell>
        </row>
        <row r="618">
          <cell r="P618" t="str">
            <v>utmi_txdata13</v>
          </cell>
        </row>
        <row r="619">
          <cell r="P619" t="str">
            <v>utmi_txdata14</v>
          </cell>
        </row>
        <row r="620">
          <cell r="P620" t="str">
            <v>utmi_txdata15</v>
          </cell>
        </row>
        <row r="621">
          <cell r="P621" t="str">
            <v>utmi_txready</v>
          </cell>
        </row>
        <row r="622">
          <cell r="P622" t="str">
            <v>utmi_txvalidh</v>
          </cell>
        </row>
        <row r="623">
          <cell r="P623" t="str">
            <v>utmi_txvalid</v>
          </cell>
        </row>
        <row r="624">
          <cell r="P624" t="str">
            <v>utmi_opmode0</v>
          </cell>
        </row>
        <row r="625">
          <cell r="P625" t="str">
            <v>utmi_opmode1</v>
          </cell>
        </row>
        <row r="626">
          <cell r="P626" t="str">
            <v>utmi_suspend_n</v>
          </cell>
        </row>
        <row r="627">
          <cell r="P627" t="str">
            <v>utmi_sleep_n</v>
          </cell>
        </row>
        <row r="628">
          <cell r="P628" t="str">
            <v>utmi_l1_suspend_n</v>
          </cell>
        </row>
        <row r="629">
          <cell r="P629" t="str">
            <v>utmi_termslect</v>
          </cell>
        </row>
        <row r="630">
          <cell r="P630" t="str">
            <v>utmi_xcvrselect0</v>
          </cell>
        </row>
        <row r="631">
          <cell r="P631" t="str">
            <v>utmi_xcvrselect1</v>
          </cell>
        </row>
        <row r="632">
          <cell r="P632" t="str">
            <v>utmi_word_if</v>
          </cell>
        </row>
        <row r="633">
          <cell r="P633" t="str">
            <v>utmi_fsls_low_power</v>
          </cell>
        </row>
        <row r="634">
          <cell r="P634" t="str">
            <v>utmi_fslsserialmode</v>
          </cell>
        </row>
        <row r="635">
          <cell r="P635" t="str">
            <v>utmi_vcontrolload_n</v>
          </cell>
        </row>
        <row r="636">
          <cell r="P636" t="str">
            <v>test_clk00</v>
          </cell>
        </row>
        <row r="637">
          <cell r="P637" t="str">
            <v>test_clk01</v>
          </cell>
        </row>
        <row r="638">
          <cell r="P638" t="str">
            <v>test_clk02</v>
          </cell>
        </row>
        <row r="639">
          <cell r="P639" t="str">
            <v>test_clk03</v>
          </cell>
        </row>
        <row r="640">
          <cell r="P640" t="str">
            <v>test_clk04</v>
          </cell>
        </row>
        <row r="641">
          <cell r="P641" t="str">
            <v>test_clk05</v>
          </cell>
        </row>
        <row r="642">
          <cell r="P642" t="str">
            <v>test_clk06</v>
          </cell>
        </row>
        <row r="643">
          <cell r="P643" t="str">
            <v>test_clk07</v>
          </cell>
        </row>
        <row r="644">
          <cell r="P644" t="str">
            <v>test_clk08</v>
          </cell>
        </row>
        <row r="645">
          <cell r="P645" t="str">
            <v>test_clk09</v>
          </cell>
        </row>
        <row r="646">
          <cell r="P646" t="str">
            <v>test_clk10</v>
          </cell>
        </row>
        <row r="647">
          <cell r="P647" t="str">
            <v>test_clk11</v>
          </cell>
        </row>
        <row r="648">
          <cell r="P648" t="str">
            <v>test_clk12</v>
          </cell>
        </row>
        <row r="649">
          <cell r="P649" t="str">
            <v>test_clk13</v>
          </cell>
        </row>
        <row r="650">
          <cell r="P650" t="str">
            <v>test_clk14</v>
          </cell>
        </row>
        <row r="651">
          <cell r="P651" t="str">
            <v>test_clk15</v>
          </cell>
        </row>
        <row r="652">
          <cell r="P652" t="str">
            <v>test_clk16</v>
          </cell>
        </row>
        <row r="653">
          <cell r="P653" t="str">
            <v>test_clk17</v>
          </cell>
        </row>
        <row r="654">
          <cell r="P654" t="str">
            <v>test_clk18</v>
          </cell>
        </row>
        <row r="655">
          <cell r="P655" t="str">
            <v>test_clk19</v>
          </cell>
        </row>
        <row r="656">
          <cell r="P656" t="str">
            <v>test_clk20</v>
          </cell>
        </row>
        <row r="657">
          <cell r="P657" t="str">
            <v>test_clk21</v>
          </cell>
        </row>
        <row r="658">
          <cell r="P658" t="str">
            <v>test_clk22</v>
          </cell>
        </row>
        <row r="659">
          <cell r="P659" t="str">
            <v>test_clk23</v>
          </cell>
        </row>
        <row r="660">
          <cell r="P660" t="str">
            <v>test_clk24</v>
          </cell>
        </row>
        <row r="661">
          <cell r="P661" t="str">
            <v>GU_PCM_CLK</v>
          </cell>
        </row>
        <row r="662">
          <cell r="P662" t="str">
            <v>GU_PCM_SYNC</v>
          </cell>
        </row>
        <row r="663">
          <cell r="P663" t="str">
            <v>GU_PCM_DI</v>
          </cell>
        </row>
        <row r="664">
          <cell r="P664" t="str">
            <v>GU_PCM_DO</v>
          </cell>
        </row>
      </sheetData>
      <sheetData sheetId="14"/>
    </sheetDataSet>
  </externalBook>
</externalLink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.xml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3.xml"/><Relationship Id="rId5" Type="http://schemas.openxmlformats.org/officeDocument/2006/relationships/control" Target="../activeX/activeX2.xml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oleObject" Target="../embeddings/oleObject6.bin"/><Relationship Id="rId13" Type="http://schemas.openxmlformats.org/officeDocument/2006/relationships/oleObject" Target="../embeddings/oleObject11.bin"/><Relationship Id="rId18" Type="http://schemas.openxmlformats.org/officeDocument/2006/relationships/oleObject" Target="../embeddings/oleObject16.bin"/><Relationship Id="rId3" Type="http://schemas.openxmlformats.org/officeDocument/2006/relationships/oleObject" Target="../embeddings/oleObject1.bin"/><Relationship Id="rId7" Type="http://schemas.openxmlformats.org/officeDocument/2006/relationships/oleObject" Target="../embeddings/oleObject5.bin"/><Relationship Id="rId12" Type="http://schemas.openxmlformats.org/officeDocument/2006/relationships/oleObject" Target="../embeddings/oleObject10.bin"/><Relationship Id="rId17" Type="http://schemas.openxmlformats.org/officeDocument/2006/relationships/oleObject" Target="../embeddings/oleObject15.bin"/><Relationship Id="rId2" Type="http://schemas.openxmlformats.org/officeDocument/2006/relationships/vmlDrawing" Target="../drawings/vmlDrawing9.vml"/><Relationship Id="rId16" Type="http://schemas.openxmlformats.org/officeDocument/2006/relationships/oleObject" Target="../embeddings/oleObject14.bin"/><Relationship Id="rId1" Type="http://schemas.openxmlformats.org/officeDocument/2006/relationships/printerSettings" Target="../printerSettings/printerSettings12.bin"/><Relationship Id="rId6" Type="http://schemas.openxmlformats.org/officeDocument/2006/relationships/oleObject" Target="../embeddings/oleObject4.bin"/><Relationship Id="rId11" Type="http://schemas.openxmlformats.org/officeDocument/2006/relationships/oleObject" Target="../embeddings/oleObject9.bin"/><Relationship Id="rId5" Type="http://schemas.openxmlformats.org/officeDocument/2006/relationships/oleObject" Target="../embeddings/oleObject3.bin"/><Relationship Id="rId15" Type="http://schemas.openxmlformats.org/officeDocument/2006/relationships/oleObject" Target="../embeddings/oleObject13.bin"/><Relationship Id="rId10" Type="http://schemas.openxmlformats.org/officeDocument/2006/relationships/oleObject" Target="../embeddings/oleObject8.bin"/><Relationship Id="rId19" Type="http://schemas.openxmlformats.org/officeDocument/2006/relationships/oleObject" Target="../embeddings/oleObject17.bin"/><Relationship Id="rId4" Type="http://schemas.openxmlformats.org/officeDocument/2006/relationships/oleObject" Target="../embeddings/oleObject2.bin"/><Relationship Id="rId9" Type="http://schemas.openxmlformats.org/officeDocument/2006/relationships/oleObject" Target="../embeddings/oleObject7.bin"/><Relationship Id="rId14" Type="http://schemas.openxmlformats.org/officeDocument/2006/relationships/oleObject" Target="../embeddings/oleObject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2"/>
  <dimension ref="A1:C76"/>
  <sheetViews>
    <sheetView workbookViewId="0">
      <selection activeCell="E14" sqref="E14"/>
    </sheetView>
  </sheetViews>
  <sheetFormatPr defaultColWidth="9" defaultRowHeight="14.25"/>
  <cols>
    <col min="1" max="1" width="29.5" style="35" customWidth="1"/>
    <col min="2" max="2" width="46.375" style="35" customWidth="1"/>
    <col min="3" max="3" width="39.625" style="35" customWidth="1"/>
    <col min="4" max="16384" width="9" style="5"/>
  </cols>
  <sheetData>
    <row r="1" spans="1:3" s="45" customFormat="1">
      <c r="A1" s="1" t="s">
        <v>26</v>
      </c>
      <c r="B1" s="1" t="s">
        <v>27</v>
      </c>
      <c r="C1" s="1" t="s">
        <v>28</v>
      </c>
    </row>
    <row r="2" spans="1:3" s="45" customFormat="1">
      <c r="A2" s="46">
        <v>41240</v>
      </c>
      <c r="B2" s="77" t="s">
        <v>541</v>
      </c>
      <c r="C2" s="48" t="s">
        <v>540</v>
      </c>
    </row>
    <row r="3" spans="1:3" s="45" customFormat="1" ht="42.75">
      <c r="A3" s="46">
        <v>41249</v>
      </c>
      <c r="B3" s="77" t="s">
        <v>633</v>
      </c>
      <c r="C3" s="48" t="s">
        <v>615</v>
      </c>
    </row>
    <row r="4" spans="1:3" s="45" customFormat="1" ht="142.5">
      <c r="A4" s="46">
        <v>41261</v>
      </c>
      <c r="B4" s="77" t="s">
        <v>685</v>
      </c>
      <c r="C4" s="48" t="s">
        <v>615</v>
      </c>
    </row>
    <row r="5" spans="1:3" ht="28.5">
      <c r="A5" s="46">
        <v>41271</v>
      </c>
      <c r="B5" s="77" t="s">
        <v>691</v>
      </c>
      <c r="C5" s="48" t="s">
        <v>615</v>
      </c>
    </row>
    <row r="6" spans="1:3" ht="28.5">
      <c r="A6" s="46">
        <v>41286</v>
      </c>
      <c r="B6" s="77" t="s">
        <v>714</v>
      </c>
      <c r="C6" s="48" t="s">
        <v>615</v>
      </c>
    </row>
    <row r="7" spans="1:3" ht="85.5">
      <c r="A7" s="46">
        <v>41290</v>
      </c>
      <c r="B7" s="77" t="s">
        <v>727</v>
      </c>
      <c r="C7" s="48" t="s">
        <v>615</v>
      </c>
    </row>
    <row r="8" spans="1:3" ht="57">
      <c r="A8" s="46">
        <v>41296</v>
      </c>
      <c r="B8" s="77" t="s">
        <v>733</v>
      </c>
      <c r="C8" s="48" t="s">
        <v>732</v>
      </c>
    </row>
    <row r="9" spans="1:3" ht="28.5">
      <c r="A9" s="46">
        <v>41337</v>
      </c>
      <c r="B9" s="77" t="s">
        <v>734</v>
      </c>
      <c r="C9" s="48" t="s">
        <v>732</v>
      </c>
    </row>
    <row r="10" spans="1:3" ht="57">
      <c r="A10" s="46">
        <v>41397</v>
      </c>
      <c r="B10" s="77" t="s">
        <v>943</v>
      </c>
      <c r="C10" s="48" t="s">
        <v>732</v>
      </c>
    </row>
    <row r="11" spans="1:3" ht="28.5">
      <c r="A11" s="46">
        <v>41421</v>
      </c>
      <c r="B11" s="77" t="s">
        <v>1062</v>
      </c>
      <c r="C11" s="48" t="s">
        <v>732</v>
      </c>
    </row>
    <row r="12" spans="1:3" ht="28.5">
      <c r="A12" s="46">
        <v>41430</v>
      </c>
      <c r="B12" s="77" t="s">
        <v>1065</v>
      </c>
      <c r="C12" s="48" t="s">
        <v>732</v>
      </c>
    </row>
    <row r="13" spans="1:3" ht="61.5" customHeight="1">
      <c r="A13" s="46">
        <v>41477</v>
      </c>
      <c r="B13" s="77" t="s">
        <v>1077</v>
      </c>
      <c r="C13" s="48" t="s">
        <v>1078</v>
      </c>
    </row>
    <row r="14" spans="1:3" ht="42.75">
      <c r="A14" s="46">
        <v>41477</v>
      </c>
      <c r="B14" s="77" t="s">
        <v>1079</v>
      </c>
      <c r="C14" s="48" t="s">
        <v>1080</v>
      </c>
    </row>
    <row r="15" spans="1:3" ht="90.75" customHeight="1">
      <c r="A15" s="46">
        <v>41479</v>
      </c>
      <c r="B15" s="77" t="s">
        <v>1085</v>
      </c>
      <c r="C15" s="48" t="s">
        <v>1084</v>
      </c>
    </row>
    <row r="16" spans="1:3" ht="90.75" customHeight="1">
      <c r="A16" s="46"/>
      <c r="B16" s="77"/>
      <c r="C16" s="1"/>
    </row>
    <row r="17" spans="1:3" ht="90.75" customHeight="1">
      <c r="A17" s="46"/>
      <c r="B17" s="77"/>
      <c r="C17" s="1"/>
    </row>
    <row r="18" spans="1:3" ht="90.75" customHeight="1">
      <c r="A18" s="46"/>
      <c r="B18" s="77"/>
      <c r="C18" s="1"/>
    </row>
    <row r="19" spans="1:3" ht="113.45" customHeight="1">
      <c r="A19" s="46"/>
      <c r="B19" s="77"/>
      <c r="C19" s="1"/>
    </row>
    <row r="20" spans="1:3" ht="113.45" customHeight="1">
      <c r="A20" s="46"/>
      <c r="B20" s="77"/>
      <c r="C20" s="1"/>
    </row>
    <row r="21" spans="1:3" ht="113.45" customHeight="1">
      <c r="A21" s="46"/>
      <c r="B21" s="77"/>
      <c r="C21" s="1"/>
    </row>
    <row r="22" spans="1:3" ht="113.45" customHeight="1">
      <c r="A22" s="46"/>
      <c r="B22" s="77"/>
      <c r="C22" s="1"/>
    </row>
    <row r="23" spans="1:3" ht="113.45" customHeight="1">
      <c r="A23" s="46"/>
      <c r="B23" s="77"/>
      <c r="C23" s="1"/>
    </row>
    <row r="24" spans="1:3" ht="113.45" customHeight="1">
      <c r="A24" s="46"/>
      <c r="B24" s="77"/>
      <c r="C24" s="1"/>
    </row>
    <row r="25" spans="1:3" ht="113.45" customHeight="1">
      <c r="A25" s="46"/>
      <c r="B25" s="48"/>
      <c r="C25" s="1"/>
    </row>
    <row r="26" spans="1:3" ht="113.45" customHeight="1">
      <c r="A26" s="46"/>
      <c r="B26" s="48"/>
      <c r="C26" s="1"/>
    </row>
    <row r="27" spans="1:3" ht="113.45" customHeight="1">
      <c r="A27" s="46"/>
      <c r="B27" s="1"/>
      <c r="C27" s="1"/>
    </row>
    <row r="28" spans="1:3" ht="113.45" customHeight="1">
      <c r="A28" s="46"/>
      <c r="B28" s="48"/>
      <c r="C28" s="1"/>
    </row>
    <row r="29" spans="1:3" ht="113.45" customHeight="1">
      <c r="A29" s="46"/>
      <c r="B29" s="1"/>
      <c r="C29" s="1"/>
    </row>
    <row r="30" spans="1:3" ht="113.45" customHeight="1">
      <c r="A30" s="46"/>
      <c r="B30" s="48"/>
      <c r="C30" s="1"/>
    </row>
    <row r="31" spans="1:3" ht="113.45" customHeight="1">
      <c r="A31" s="46"/>
      <c r="B31" s="1"/>
      <c r="C31" s="1"/>
    </row>
    <row r="32" spans="1:3" ht="113.45" customHeight="1">
      <c r="A32" s="46"/>
      <c r="B32" s="58"/>
      <c r="C32" s="1"/>
    </row>
    <row r="33" spans="1:3" ht="113.45" customHeight="1">
      <c r="A33" s="46"/>
      <c r="B33" s="59"/>
      <c r="C33" s="1"/>
    </row>
    <row r="34" spans="1:3" ht="113.45" customHeight="1">
      <c r="A34" s="46"/>
      <c r="B34" s="60"/>
      <c r="C34" s="1"/>
    </row>
    <row r="35" spans="1:3" ht="113.45" customHeight="1">
      <c r="A35" s="46"/>
      <c r="B35" s="48"/>
      <c r="C35" s="1"/>
    </row>
    <row r="36" spans="1:3" s="26" customFormat="1" ht="15">
      <c r="A36" s="41"/>
      <c r="B36" s="43"/>
      <c r="C36" s="43"/>
    </row>
    <row r="37" spans="1:3" s="26" customFormat="1" ht="15">
      <c r="A37" s="46"/>
      <c r="B37" s="48"/>
      <c r="C37" s="1"/>
    </row>
    <row r="38" spans="1:3" s="26" customFormat="1" ht="15">
      <c r="A38" s="46"/>
      <c r="B38" s="61"/>
      <c r="C38" s="1"/>
    </row>
    <row r="39" spans="1:3" s="26" customFormat="1" ht="15">
      <c r="A39" s="46"/>
      <c r="B39" s="48"/>
      <c r="C39" s="1"/>
    </row>
    <row r="40" spans="1:3" s="26" customFormat="1" ht="15">
      <c r="A40" s="46"/>
      <c r="B40" s="1"/>
      <c r="C40" s="1"/>
    </row>
    <row r="41" spans="1:3" s="26" customFormat="1" ht="43.5" customHeight="1">
      <c r="A41" s="46"/>
      <c r="B41" s="1"/>
      <c r="C41" s="1"/>
    </row>
    <row r="42" spans="1:3" s="26" customFormat="1" ht="43.5" customHeight="1">
      <c r="A42" s="46"/>
      <c r="B42" s="1"/>
      <c r="C42" s="1"/>
    </row>
    <row r="43" spans="1:3" s="26" customFormat="1" ht="15">
      <c r="A43" s="46"/>
      <c r="B43" s="63"/>
      <c r="C43" s="1"/>
    </row>
    <row r="44" spans="1:3" s="26" customFormat="1" ht="15">
      <c r="A44" s="46"/>
      <c r="B44" s="1"/>
      <c r="C44" s="1"/>
    </row>
    <row r="45" spans="1:3" s="26" customFormat="1" ht="15">
      <c r="A45" s="46"/>
      <c r="B45" s="1"/>
      <c r="C45" s="1"/>
    </row>
    <row r="46" spans="1:3" s="26" customFormat="1" ht="15">
      <c r="A46" s="46"/>
      <c r="B46" s="1"/>
      <c r="C46" s="1"/>
    </row>
    <row r="47" spans="1:3" s="26" customFormat="1" ht="15">
      <c r="A47" s="46"/>
      <c r="B47" s="1"/>
      <c r="C47" s="1"/>
    </row>
    <row r="48" spans="1:3" s="26" customFormat="1" ht="15">
      <c r="A48" s="46"/>
      <c r="B48" s="1"/>
      <c r="C48" s="1"/>
    </row>
    <row r="49" spans="1:3" s="26" customFormat="1" ht="15">
      <c r="A49" s="46"/>
      <c r="B49" s="48"/>
      <c r="C49" s="1"/>
    </row>
    <row r="50" spans="1:3" s="26" customFormat="1" ht="15">
      <c r="A50" s="46"/>
      <c r="B50" s="64"/>
      <c r="C50" s="1"/>
    </row>
    <row r="51" spans="1:3" s="26" customFormat="1" ht="15">
      <c r="A51" s="46"/>
      <c r="B51" s="48"/>
      <c r="C51" s="1"/>
    </row>
    <row r="52" spans="1:3" s="26" customFormat="1" ht="15">
      <c r="A52" s="46"/>
      <c r="B52" s="1"/>
      <c r="C52" s="1"/>
    </row>
    <row r="53" spans="1:3" s="26" customFormat="1" ht="15">
      <c r="A53" s="46"/>
      <c r="B53" s="1"/>
      <c r="C53" s="1"/>
    </row>
    <row r="54" spans="1:3" s="26" customFormat="1" ht="15">
      <c r="A54" s="46"/>
      <c r="B54" s="1"/>
      <c r="C54" s="1"/>
    </row>
    <row r="55" spans="1:3" s="26" customFormat="1" ht="15">
      <c r="A55" s="46"/>
      <c r="B55" s="65"/>
      <c r="C55" s="1"/>
    </row>
    <row r="56" spans="1:3" s="26" customFormat="1" ht="15">
      <c r="A56" s="46"/>
      <c r="B56" s="48"/>
      <c r="C56" s="1"/>
    </row>
    <row r="57" spans="1:3" s="26" customFormat="1" ht="15">
      <c r="A57" s="46"/>
      <c r="B57" s="42"/>
      <c r="C57" s="42"/>
    </row>
    <row r="58" spans="1:3" s="26" customFormat="1" ht="15">
      <c r="A58" s="46"/>
      <c r="B58" s="65"/>
      <c r="C58" s="1"/>
    </row>
    <row r="59" spans="1:3" s="26" customFormat="1" ht="15">
      <c r="A59" s="46"/>
      <c r="B59" s="65"/>
      <c r="C59" s="1"/>
    </row>
    <row r="60" spans="1:3" s="26" customFormat="1" ht="15">
      <c r="A60" s="46"/>
      <c r="B60" s="65"/>
      <c r="C60" s="1"/>
    </row>
    <row r="61" spans="1:3" s="26" customFormat="1" ht="15">
      <c r="A61" s="46"/>
      <c r="B61" s="65"/>
      <c r="C61" s="1"/>
    </row>
    <row r="62" spans="1:3" s="26" customFormat="1" ht="15">
      <c r="A62" s="46"/>
      <c r="B62" s="65"/>
      <c r="C62" s="1"/>
    </row>
    <row r="63" spans="1:3" s="26" customFormat="1" ht="15">
      <c r="A63" s="46"/>
      <c r="B63" s="65"/>
      <c r="C63" s="1"/>
    </row>
    <row r="64" spans="1:3" s="26" customFormat="1" ht="15">
      <c r="A64" s="46"/>
      <c r="B64" s="65"/>
      <c r="C64" s="1"/>
    </row>
    <row r="65" spans="1:3" s="26" customFormat="1" ht="15">
      <c r="A65" s="46"/>
      <c r="B65" s="48"/>
      <c r="C65" s="1"/>
    </row>
    <row r="66" spans="1:3" s="26" customFormat="1" ht="15">
      <c r="A66" s="46"/>
      <c r="B66" s="48"/>
      <c r="C66" s="1"/>
    </row>
    <row r="67" spans="1:3" s="26" customFormat="1" ht="15">
      <c r="A67" s="44"/>
      <c r="B67" s="42"/>
      <c r="C67" s="42"/>
    </row>
    <row r="68" spans="1:3" s="26" customFormat="1" ht="15">
      <c r="A68" s="44"/>
      <c r="B68" s="42"/>
      <c r="C68" s="42"/>
    </row>
    <row r="69" spans="1:3" s="26" customFormat="1" ht="15">
      <c r="A69" s="44"/>
      <c r="B69" s="42"/>
      <c r="C69" s="42"/>
    </row>
    <row r="70" spans="1:3" s="26" customFormat="1" ht="15">
      <c r="A70" s="44"/>
      <c r="B70" s="42"/>
      <c r="C70" s="42"/>
    </row>
    <row r="71" spans="1:3" s="26" customFormat="1" ht="15">
      <c r="A71" s="44"/>
      <c r="B71" s="42"/>
      <c r="C71" s="42"/>
    </row>
    <row r="72" spans="1:3" s="26" customFormat="1" ht="15">
      <c r="A72" s="44"/>
      <c r="B72" s="42"/>
      <c r="C72" s="42"/>
    </row>
    <row r="73" spans="1:3" s="26" customFormat="1" ht="15">
      <c r="A73" s="44"/>
      <c r="B73" s="42"/>
      <c r="C73" s="42"/>
    </row>
    <row r="74" spans="1:3" s="26" customFormat="1" ht="15">
      <c r="A74" s="44"/>
      <c r="B74" s="42"/>
      <c r="C74" s="42"/>
    </row>
    <row r="75" spans="1:3" s="26" customFormat="1" ht="15">
      <c r="A75" s="44"/>
      <c r="B75" s="42"/>
      <c r="C75" s="42"/>
    </row>
    <row r="76" spans="1:3" ht="15">
      <c r="A76" s="44"/>
      <c r="B76" s="42"/>
      <c r="C76" s="42"/>
    </row>
  </sheetData>
  <phoneticPr fontId="3" type="noConversion"/>
  <pageMargins left="0.75" right="0.75" top="1" bottom="1" header="0.5" footer="0.5"/>
  <pageSetup paperSize="9" orientation="portrait" horizontalDpi="300" verticalDpi="300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3"/>
  <dimension ref="A1:I19"/>
  <sheetViews>
    <sheetView workbookViewId="0">
      <selection activeCell="C12" sqref="C12:E12"/>
    </sheetView>
  </sheetViews>
  <sheetFormatPr defaultRowHeight="14.25"/>
  <cols>
    <col min="2" max="2" width="41.5" customWidth="1"/>
    <col min="3" max="5" width="17" customWidth="1"/>
    <col min="6" max="6" width="9" style="5"/>
    <col min="7" max="7" width="18.375" style="5" customWidth="1"/>
    <col min="8" max="9" width="9" style="5"/>
  </cols>
  <sheetData>
    <row r="1" spans="1:5" ht="33.950000000000003" customHeight="1">
      <c r="A1" s="24" t="s">
        <v>42</v>
      </c>
    </row>
    <row r="2" spans="1:5" ht="26.25" customHeight="1">
      <c r="B2" s="16" t="s">
        <v>24</v>
      </c>
      <c r="C2" s="16" t="s">
        <v>5</v>
      </c>
      <c r="D2" s="16" t="s">
        <v>6</v>
      </c>
      <c r="E2" s="16" t="s">
        <v>7</v>
      </c>
    </row>
    <row r="3" spans="1:5" ht="38.25" customHeight="1">
      <c r="B3" s="3" t="s">
        <v>3</v>
      </c>
      <c r="C3" s="295" t="s">
        <v>421</v>
      </c>
      <c r="D3" s="296"/>
      <c r="E3" s="297"/>
    </row>
    <row r="4" spans="1:5" ht="38.25" customHeight="1">
      <c r="B4" s="3" t="s">
        <v>4</v>
      </c>
      <c r="C4" s="30" t="s">
        <v>422</v>
      </c>
      <c r="D4" s="30" t="s">
        <v>423</v>
      </c>
      <c r="E4" s="30" t="s">
        <v>424</v>
      </c>
    </row>
    <row r="5" spans="1:5" ht="38.25" customHeight="1">
      <c r="B5" s="3" t="s">
        <v>2</v>
      </c>
      <c r="C5" s="30"/>
      <c r="D5" s="30">
        <v>0.65</v>
      </c>
      <c r="E5" s="30"/>
    </row>
    <row r="6" spans="1:5" s="12" customFormat="1" ht="27.2" customHeight="1">
      <c r="B6" s="21" t="s">
        <v>30</v>
      </c>
      <c r="C6" s="298" t="s">
        <v>29</v>
      </c>
      <c r="D6" s="298"/>
      <c r="E6" s="298"/>
    </row>
    <row r="7" spans="1:5" s="12" customFormat="1" ht="12.75" customHeight="1">
      <c r="B7" s="19"/>
      <c r="C7" s="20"/>
      <c r="D7" s="20"/>
      <c r="E7" s="20"/>
    </row>
    <row r="8" spans="1:5" s="12" customFormat="1" ht="37.700000000000003" customHeight="1">
      <c r="B8" s="17" t="s">
        <v>20</v>
      </c>
      <c r="C8" s="18" t="s">
        <v>23</v>
      </c>
      <c r="D8" s="18" t="s">
        <v>21</v>
      </c>
      <c r="E8" s="18" t="s">
        <v>22</v>
      </c>
    </row>
    <row r="9" spans="1:5" ht="29.25" customHeight="1">
      <c r="B9" s="3" t="s">
        <v>13</v>
      </c>
      <c r="C9" s="31"/>
      <c r="D9" s="31"/>
      <c r="E9" s="31"/>
    </row>
    <row r="10" spans="1:5" ht="32.25" customHeight="1">
      <c r="A10" s="5"/>
      <c r="B10" s="5"/>
      <c r="C10" s="5"/>
      <c r="D10" s="5"/>
      <c r="E10" s="5"/>
    </row>
    <row r="11" spans="1:5" s="12" customFormat="1" ht="29.25" customHeight="1">
      <c r="A11" s="29" t="s">
        <v>33</v>
      </c>
      <c r="B11" s="28"/>
    </row>
    <row r="12" spans="1:5" ht="78" customHeight="1">
      <c r="A12" s="5"/>
      <c r="B12" s="17" t="s">
        <v>34</v>
      </c>
      <c r="C12" s="294"/>
      <c r="D12" s="294"/>
      <c r="E12" s="294"/>
    </row>
    <row r="13" spans="1:5">
      <c r="A13" s="5"/>
      <c r="B13" s="5"/>
      <c r="C13" s="5"/>
      <c r="D13" s="5"/>
      <c r="E13" s="5"/>
    </row>
    <row r="14" spans="1:5">
      <c r="A14" s="5"/>
      <c r="B14" s="5"/>
      <c r="C14" s="5"/>
      <c r="D14" s="5"/>
      <c r="E14" s="5"/>
    </row>
    <row r="15" spans="1:5">
      <c r="A15" s="5"/>
      <c r="B15" s="5"/>
      <c r="C15" s="5"/>
      <c r="D15" s="5"/>
      <c r="E15" s="5"/>
    </row>
    <row r="16" spans="1:5">
      <c r="A16" s="5"/>
      <c r="B16" s="5"/>
      <c r="C16" s="5"/>
      <c r="D16" s="5"/>
      <c r="E16" s="5"/>
    </row>
    <row r="17" spans="1:9" s="5" customFormat="1" ht="27.2" customHeight="1">
      <c r="A17" s="27" t="s">
        <v>36</v>
      </c>
    </row>
    <row r="18" spans="1:9" s="23" customFormat="1" ht="148.5" customHeight="1">
      <c r="B18" s="299" t="s">
        <v>35</v>
      </c>
      <c r="C18" s="301"/>
      <c r="D18" s="301"/>
      <c r="E18" s="301"/>
      <c r="F18" s="301"/>
      <c r="G18" s="302"/>
      <c r="H18" s="26"/>
      <c r="I18" s="26"/>
    </row>
    <row r="19" spans="1:9" s="23" customFormat="1" ht="36.75" customHeight="1" thickBot="1">
      <c r="B19" s="300"/>
      <c r="C19" s="22"/>
      <c r="D19" s="303"/>
      <c r="E19" s="303"/>
      <c r="F19" s="303"/>
      <c r="G19" s="304"/>
      <c r="H19" s="26"/>
      <c r="I19" s="26"/>
    </row>
  </sheetData>
  <mergeCells count="6">
    <mergeCell ref="C12:E12"/>
    <mergeCell ref="C3:E3"/>
    <mergeCell ref="C6:E6"/>
    <mergeCell ref="B18:B19"/>
    <mergeCell ref="C18:G18"/>
    <mergeCell ref="D19:G19"/>
  </mergeCells>
  <phoneticPr fontId="3" type="noConversion"/>
  <dataValidations count="1">
    <dataValidation type="list" allowBlank="1" showInputMessage="1" showErrorMessage="1" sqref="C6:E7">
      <formula1>"Green,RoHS,Halogen-free,Pb-free,Normal"</formula1>
    </dataValidation>
  </dataValidations>
  <pageMargins left="0.75" right="0.75" top="1" bottom="1" header="0.5" footer="0.5"/>
  <pageSetup paperSize="9" orientation="portrait" r:id="rId1"/>
  <headerFooter alignWithMargins="0">
    <oddHeader>&amp;LHi6910 V100R001 SI&amp;PKG_REQ&amp;R机密</oddHeader>
  </headerFooter>
  <drawing r:id="rId2"/>
  <legacyDrawing r:id="rId3"/>
  <controls>
    <control shapeId="5128" r:id="rId4" name="OptionButton1"/>
    <control shapeId="5137" r:id="rId5" name="OptionButton2"/>
    <control shapeId="5144" r:id="rId6" name="OptionButton3"/>
    <control shapeId="5147" r:id="rId7" name="OptionButton5"/>
    <control shapeId="5146" r:id="rId8" name="OptionButton4"/>
  </controls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4"/>
  <dimension ref="B1:E11"/>
  <sheetViews>
    <sheetView workbookViewId="0">
      <selection activeCell="B30" sqref="B30"/>
    </sheetView>
  </sheetViews>
  <sheetFormatPr defaultRowHeight="14.25"/>
  <cols>
    <col min="2" max="2" width="42.875" customWidth="1"/>
    <col min="3" max="3" width="11.125" customWidth="1"/>
    <col min="4" max="4" width="11.25" customWidth="1"/>
    <col min="5" max="5" width="11.625" customWidth="1"/>
  </cols>
  <sheetData>
    <row r="1" spans="2:5" ht="35.25" customHeight="1">
      <c r="B1" s="2" t="s">
        <v>44</v>
      </c>
    </row>
    <row r="2" spans="2:5" ht="18.75">
      <c r="B2" s="4" t="s">
        <v>11</v>
      </c>
      <c r="C2" s="306" t="s">
        <v>420</v>
      </c>
      <c r="D2" s="307"/>
      <c r="E2" s="308"/>
    </row>
    <row r="3" spans="2:5" ht="18.75">
      <c r="B3" s="4" t="s">
        <v>25</v>
      </c>
      <c r="C3" s="306" t="s">
        <v>419</v>
      </c>
      <c r="D3" s="309"/>
      <c r="E3" s="310"/>
    </row>
    <row r="4" spans="2:5" ht="18.75">
      <c r="B4" s="4" t="s">
        <v>31</v>
      </c>
      <c r="C4" s="305" t="s">
        <v>418</v>
      </c>
      <c r="D4" s="305"/>
      <c r="E4" s="305"/>
    </row>
    <row r="5" spans="2:5" ht="18.75">
      <c r="B5" s="4" t="s">
        <v>32</v>
      </c>
      <c r="C5" s="305" t="s">
        <v>43</v>
      </c>
      <c r="D5" s="305"/>
      <c r="E5" s="305"/>
    </row>
    <row r="6" spans="2:5" ht="24" customHeight="1"/>
    <row r="7" spans="2:5" ht="35.25" customHeight="1">
      <c r="B7" s="2" t="s">
        <v>40</v>
      </c>
    </row>
    <row r="8" spans="2:5" ht="18.75">
      <c r="B8" s="4" t="s">
        <v>11</v>
      </c>
      <c r="C8" s="306"/>
      <c r="D8" s="307"/>
      <c r="E8" s="308"/>
    </row>
    <row r="9" spans="2:5" ht="18.75">
      <c r="B9" s="4" t="s">
        <v>25</v>
      </c>
      <c r="C9" s="306"/>
      <c r="D9" s="309"/>
      <c r="E9" s="310"/>
    </row>
    <row r="10" spans="2:5" ht="18.75">
      <c r="B10" s="4" t="s">
        <v>31</v>
      </c>
      <c r="C10" s="305"/>
      <c r="D10" s="305"/>
      <c r="E10" s="305"/>
    </row>
    <row r="11" spans="2:5" ht="18.75">
      <c r="B11" s="4" t="s">
        <v>32</v>
      </c>
      <c r="C11" s="305"/>
      <c r="D11" s="305"/>
      <c r="E11" s="305"/>
    </row>
  </sheetData>
  <mergeCells count="8">
    <mergeCell ref="C10:E10"/>
    <mergeCell ref="C11:E11"/>
    <mergeCell ref="C2:E2"/>
    <mergeCell ref="C5:E5"/>
    <mergeCell ref="C4:E4"/>
    <mergeCell ref="C3:E3"/>
    <mergeCell ref="C8:E8"/>
    <mergeCell ref="C9:E9"/>
  </mergeCells>
  <phoneticPr fontId="3" type="noConversion"/>
  <pageMargins left="0.75" right="0.75" top="1" bottom="1" header="0.5" footer="0.5"/>
  <pageSetup paperSize="9" orientation="portrait" horizontalDpi="1200" verticalDpi="1200" r:id="rId1"/>
  <headerFooter alignWithMargins="0">
    <oddHeader>&amp;LHi6910 V100R001 SI&amp;PKG_REQ&amp;R机密</oddHeader>
  </headerFooter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5"/>
  <dimension ref="B1:L14"/>
  <sheetViews>
    <sheetView workbookViewId="0">
      <selection activeCell="B28" sqref="B28"/>
    </sheetView>
  </sheetViews>
  <sheetFormatPr defaultRowHeight="14.25"/>
  <cols>
    <col min="2" max="2" width="34.25" customWidth="1"/>
    <col min="3" max="3" width="17.125" customWidth="1"/>
    <col min="4" max="4" width="17.25" customWidth="1"/>
    <col min="5" max="5" width="20.75" customWidth="1"/>
    <col min="6" max="6" width="7.875" customWidth="1"/>
    <col min="7" max="7" width="5.625" customWidth="1"/>
    <col min="8" max="8" width="31.75" customWidth="1"/>
    <col min="9" max="9" width="13.125" customWidth="1"/>
  </cols>
  <sheetData>
    <row r="1" spans="2:12" ht="27.2" customHeight="1">
      <c r="B1" s="2" t="s">
        <v>45</v>
      </c>
    </row>
    <row r="3" spans="2:12" ht="29.25" customHeight="1">
      <c r="B3" s="8" t="s">
        <v>8</v>
      </c>
      <c r="C3" s="7"/>
      <c r="D3" s="7"/>
      <c r="E3" s="7"/>
      <c r="F3" s="9"/>
      <c r="G3" s="9"/>
      <c r="H3" s="11"/>
      <c r="I3" s="9"/>
      <c r="J3" s="6"/>
      <c r="K3" s="6"/>
      <c r="L3" s="6"/>
    </row>
    <row r="4" spans="2:12" ht="29.25" customHeight="1">
      <c r="B4" s="311" t="s">
        <v>41</v>
      </c>
      <c r="C4" s="32"/>
      <c r="D4" s="32">
        <v>0.8</v>
      </c>
      <c r="E4" s="32">
        <v>1</v>
      </c>
      <c r="F4" s="9"/>
      <c r="G4" s="9"/>
      <c r="H4" s="11"/>
      <c r="I4" s="9"/>
      <c r="J4" s="6"/>
      <c r="K4" s="6"/>
      <c r="L4" s="6"/>
    </row>
    <row r="5" spans="2:12" ht="24" customHeight="1">
      <c r="B5" s="312"/>
      <c r="C5" s="32"/>
      <c r="D5" s="32"/>
      <c r="E5" s="32"/>
      <c r="F5" s="9"/>
      <c r="G5" s="9"/>
      <c r="H5" s="11"/>
      <c r="I5" s="9"/>
      <c r="J5" s="6"/>
      <c r="K5" s="6"/>
      <c r="L5" s="6"/>
    </row>
    <row r="6" spans="2:12" ht="24" customHeight="1">
      <c r="B6" s="8" t="s">
        <v>37</v>
      </c>
      <c r="C6" s="32">
        <v>0</v>
      </c>
      <c r="D6" s="32"/>
      <c r="E6" s="32">
        <v>70</v>
      </c>
      <c r="F6" s="9"/>
      <c r="G6" s="9"/>
      <c r="H6" s="11"/>
      <c r="I6" s="9"/>
      <c r="J6" s="6"/>
      <c r="K6" s="6"/>
      <c r="L6" s="6"/>
    </row>
    <row r="7" spans="2:12" ht="21" customHeight="1">
      <c r="B7" s="8" t="s">
        <v>38</v>
      </c>
      <c r="C7" s="32"/>
      <c r="D7" s="32">
        <v>125</v>
      </c>
      <c r="E7" s="32"/>
      <c r="F7" s="9"/>
      <c r="G7" s="9"/>
      <c r="H7" s="11"/>
      <c r="I7" s="9"/>
      <c r="J7" s="6"/>
      <c r="K7" s="6"/>
      <c r="L7" s="6"/>
    </row>
    <row r="8" spans="2:12" ht="21" customHeight="1">
      <c r="B8" s="8" t="s">
        <v>9</v>
      </c>
      <c r="C8" s="32">
        <v>-40</v>
      </c>
      <c r="D8" s="32"/>
      <c r="E8" s="32">
        <v>70</v>
      </c>
      <c r="F8" s="9"/>
      <c r="G8" s="9"/>
      <c r="H8" s="11"/>
      <c r="I8" s="9"/>
      <c r="J8" s="6"/>
      <c r="K8" s="6"/>
      <c r="L8" s="6"/>
    </row>
    <row r="9" spans="2:12" ht="25.5" customHeight="1">
      <c r="B9" s="8" t="s">
        <v>10</v>
      </c>
      <c r="C9" s="32"/>
      <c r="D9" s="32"/>
      <c r="E9" s="32"/>
      <c r="F9" s="9"/>
      <c r="G9" s="9"/>
      <c r="H9" s="11"/>
      <c r="I9" s="9"/>
      <c r="J9" s="6"/>
      <c r="K9" s="6"/>
      <c r="L9" s="6"/>
    </row>
    <row r="10" spans="2:12" ht="20.25" customHeight="1">
      <c r="B10" s="8" t="s">
        <v>39</v>
      </c>
      <c r="C10" s="36"/>
      <c r="D10" s="32"/>
      <c r="E10" s="36"/>
      <c r="F10" s="9"/>
      <c r="G10" s="9"/>
      <c r="H10" s="11"/>
      <c r="I10" s="9"/>
      <c r="J10" s="6"/>
      <c r="K10" s="6"/>
      <c r="L10" s="6"/>
    </row>
    <row r="11" spans="2:12">
      <c r="B11" s="6"/>
      <c r="C11" s="6"/>
      <c r="D11" s="6"/>
      <c r="E11" s="9"/>
      <c r="F11" s="9"/>
      <c r="G11" s="9"/>
      <c r="H11" s="11"/>
      <c r="I11" s="9"/>
      <c r="J11" s="6"/>
      <c r="K11" s="6"/>
      <c r="L11" s="6"/>
    </row>
    <row r="12" spans="2:12" ht="17.25" customHeight="1">
      <c r="B12" s="6"/>
      <c r="C12" s="6"/>
      <c r="D12" s="6"/>
      <c r="E12" s="9"/>
      <c r="F12" s="9"/>
      <c r="G12" s="9"/>
      <c r="H12" s="11"/>
      <c r="I12" s="9"/>
      <c r="J12" s="6"/>
      <c r="K12" s="6"/>
      <c r="L12" s="6"/>
    </row>
    <row r="13" spans="2:12" ht="18.75" customHeight="1">
      <c r="B13" s="10" t="s">
        <v>1</v>
      </c>
      <c r="C13" s="7"/>
      <c r="D13" s="7"/>
      <c r="E13" s="7"/>
      <c r="F13" s="6"/>
      <c r="G13" s="6"/>
      <c r="H13" s="6"/>
      <c r="I13" s="6"/>
      <c r="J13" s="6"/>
      <c r="K13" s="6"/>
      <c r="L13" s="6"/>
    </row>
    <row r="14" spans="2:12" ht="25.5" customHeight="1">
      <c r="B14" s="10" t="s">
        <v>0</v>
      </c>
      <c r="C14" s="1"/>
      <c r="D14" s="1"/>
      <c r="E14" s="32"/>
    </row>
  </sheetData>
  <mergeCells count="1">
    <mergeCell ref="B4:B5"/>
  </mergeCells>
  <phoneticPr fontId="3" type="noConversion"/>
  <pageMargins left="0.75" right="0.75" top="1" bottom="1" header="0.5" footer="0.5"/>
  <pageSetup paperSize="9" orientation="portrait" horizontalDpi="300" verticalDpi="300" r:id="rId1"/>
  <headerFooter alignWithMargins="0">
    <oddHeader>&amp;LHi6910 V100R001 SI&amp;PKG_REQ&amp;R机密</oddHeader>
  </headerFooter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7">
    <outlinePr summaryBelow="0"/>
  </sheetPr>
  <dimension ref="A1:DT64"/>
  <sheetViews>
    <sheetView tabSelected="1" zoomScaleNormal="100" zoomScaleSheetLayoutView="100" workbookViewId="0">
      <pane xSplit="6" ySplit="2" topLeftCell="G3" activePane="bottomRight" state="frozen"/>
      <selection pane="topRight" activeCell="E1" sqref="E1"/>
      <selection pane="bottomLeft" activeCell="A7" sqref="A7"/>
      <selection pane="bottomRight" activeCell="A35" sqref="A35:XFD35"/>
    </sheetView>
  </sheetViews>
  <sheetFormatPr defaultColWidth="9" defaultRowHeight="14.25"/>
  <cols>
    <col min="1" max="1" width="18.25" customWidth="1"/>
    <col min="2" max="2" width="6.25" customWidth="1"/>
    <col min="3" max="3" width="6.125" style="231" customWidth="1"/>
    <col min="4" max="4" width="5.5" style="207" customWidth="1"/>
    <col min="5" max="5" width="7.75" customWidth="1"/>
    <col min="6" max="6" width="21" customWidth="1"/>
    <col min="7" max="9" width="16" style="254" customWidth="1"/>
    <col min="10" max="11" width="11.625" style="254" customWidth="1"/>
    <col min="12" max="12" width="4.875" customWidth="1"/>
    <col min="13" max="13" width="9.125" customWidth="1"/>
    <col min="14" max="14" width="10.375" customWidth="1"/>
    <col min="15" max="15" width="9.375" customWidth="1"/>
    <col min="16" max="16" width="5.5" customWidth="1"/>
    <col min="17" max="17" width="5.75" customWidth="1"/>
    <col min="18" max="18" width="10.625" customWidth="1"/>
    <col min="19" max="19" width="12" customWidth="1"/>
    <col min="20" max="20" width="18.125" customWidth="1"/>
    <col min="21" max="21" width="16.5" customWidth="1"/>
    <col min="22" max="22" width="4.75" customWidth="1"/>
    <col min="23" max="23" width="34.25" customWidth="1"/>
    <col min="24" max="24" width="8" customWidth="1"/>
    <col min="25" max="25" width="68.75" style="140" customWidth="1"/>
    <col min="26" max="26" width="18.875" customWidth="1"/>
    <col min="27" max="27" width="5.625" customWidth="1"/>
    <col min="28" max="28" width="34.25" customWidth="1"/>
    <col min="29" max="29" width="10.875" customWidth="1"/>
    <col min="30" max="30" width="29" customWidth="1"/>
    <col min="31" max="31" width="19" customWidth="1"/>
    <col min="32" max="32" width="5.5" customWidth="1"/>
    <col min="33" max="33" width="36.25" customWidth="1"/>
    <col min="34" max="34" width="8" customWidth="1"/>
    <col min="35" max="35" width="30.375" customWidth="1"/>
    <col min="36" max="36" width="19" customWidth="1"/>
    <col min="37" max="37" width="5" customWidth="1"/>
    <col min="38" max="38" width="35.25" customWidth="1"/>
    <col min="39" max="39" width="9.75" bestFit="1" customWidth="1"/>
    <col min="40" max="40" width="24.875" customWidth="1"/>
    <col min="42" max="42" width="12.125" bestFit="1" customWidth="1"/>
  </cols>
  <sheetData>
    <row r="1" spans="1:46" s="13" customFormat="1" ht="15">
      <c r="A1" s="313" t="s">
        <v>735</v>
      </c>
      <c r="B1" s="317" t="s">
        <v>736</v>
      </c>
      <c r="C1" s="317" t="s">
        <v>737</v>
      </c>
      <c r="D1" s="313" t="s">
        <v>738</v>
      </c>
      <c r="E1" s="313" t="s">
        <v>739</v>
      </c>
      <c r="F1" s="313" t="s">
        <v>740</v>
      </c>
      <c r="G1" s="267" t="s">
        <v>1066</v>
      </c>
      <c r="H1" s="268" t="s">
        <v>1067</v>
      </c>
      <c r="I1" s="268" t="s">
        <v>1068</v>
      </c>
      <c r="J1" s="268" t="s">
        <v>1069</v>
      </c>
      <c r="K1" s="269" t="s">
        <v>1070</v>
      </c>
      <c r="L1" s="313" t="s">
        <v>741</v>
      </c>
      <c r="M1" s="313" t="s">
        <v>742</v>
      </c>
      <c r="N1" s="313" t="s">
        <v>743</v>
      </c>
      <c r="O1" s="313" t="s">
        <v>744</v>
      </c>
      <c r="P1" s="313" t="s">
        <v>745</v>
      </c>
      <c r="Q1" s="324" t="s" ph="1">
        <v>1083</v>
      </c>
      <c r="R1" s="324" t="s" ph="1">
        <v>746</v>
      </c>
      <c r="S1" s="324" t="s" ph="1">
        <v>747</v>
      </c>
      <c r="T1" s="313" t="s">
        <v>748</v>
      </c>
      <c r="U1" s="148" t="s">
        <v>749</v>
      </c>
      <c r="V1" s="149"/>
      <c r="W1" s="149"/>
      <c r="X1" s="149"/>
      <c r="Y1" s="150"/>
      <c r="Z1" s="151" t="s">
        <v>506</v>
      </c>
      <c r="AA1" s="149"/>
      <c r="AB1" s="149"/>
      <c r="AC1" s="149"/>
      <c r="AD1" s="152"/>
      <c r="AE1" s="151" t="s">
        <v>507</v>
      </c>
      <c r="AF1" s="149"/>
      <c r="AG1" s="149"/>
      <c r="AH1" s="149"/>
      <c r="AI1" s="152"/>
      <c r="AJ1" s="151" t="s">
        <v>508</v>
      </c>
      <c r="AK1" s="153"/>
      <c r="AL1" s="153"/>
      <c r="AM1" s="153"/>
      <c r="AN1" s="154"/>
      <c r="AO1" s="322" t="s">
        <v>750</v>
      </c>
      <c r="AP1" s="232" t="s">
        <v>751</v>
      </c>
      <c r="AQ1" s="232" t="s">
        <v>752</v>
      </c>
      <c r="AR1" s="233" t="s">
        <v>753</v>
      </c>
      <c r="AS1" s="232" t="s">
        <v>752</v>
      </c>
    </row>
    <row r="2" spans="1:46" s="13" customFormat="1" ht="15">
      <c r="A2" s="314"/>
      <c r="B2" s="318"/>
      <c r="C2" s="318"/>
      <c r="D2" s="314"/>
      <c r="E2" s="314"/>
      <c r="F2" s="314"/>
      <c r="G2" s="319" t="s">
        <v>1076</v>
      </c>
      <c r="H2" s="320"/>
      <c r="I2" s="320"/>
      <c r="J2" s="320"/>
      <c r="K2" s="321"/>
      <c r="L2" s="314"/>
      <c r="M2" s="314"/>
      <c r="N2" s="314"/>
      <c r="O2" s="314"/>
      <c r="P2" s="314"/>
      <c r="Q2" s="318" ph="1"/>
      <c r="R2" s="318" ph="1"/>
      <c r="S2" s="318" ph="1"/>
      <c r="T2" s="314"/>
      <c r="U2" s="155" t="s">
        <v>754</v>
      </c>
      <c r="V2" s="155" t="s">
        <v>755</v>
      </c>
      <c r="W2" s="155" t="s">
        <v>756</v>
      </c>
      <c r="X2" s="155" t="s">
        <v>757</v>
      </c>
      <c r="Y2" s="156" t="s">
        <v>758</v>
      </c>
      <c r="Z2" s="157" t="s">
        <v>759</v>
      </c>
      <c r="AA2" s="157" t="s">
        <v>755</v>
      </c>
      <c r="AB2" s="155" t="s">
        <v>756</v>
      </c>
      <c r="AC2" s="155" t="s">
        <v>757</v>
      </c>
      <c r="AD2" s="157" t="s">
        <v>760</v>
      </c>
      <c r="AE2" s="157" t="s">
        <v>759</v>
      </c>
      <c r="AF2" s="157" t="s">
        <v>755</v>
      </c>
      <c r="AG2" s="157" t="s">
        <v>756</v>
      </c>
      <c r="AH2" s="155" t="s">
        <v>757</v>
      </c>
      <c r="AI2" s="157" t="s">
        <v>760</v>
      </c>
      <c r="AJ2" s="157" t="s">
        <v>759</v>
      </c>
      <c r="AK2" s="157" t="s">
        <v>755</v>
      </c>
      <c r="AL2" s="157" t="s">
        <v>756</v>
      </c>
      <c r="AM2" s="155" t="s">
        <v>757</v>
      </c>
      <c r="AN2" s="157" t="s">
        <v>760</v>
      </c>
      <c r="AO2" s="323"/>
      <c r="AP2" s="243"/>
      <c r="AQ2" s="243"/>
      <c r="AR2" s="243"/>
      <c r="AS2" s="243"/>
    </row>
    <row r="3" spans="1:46" s="213" customFormat="1">
      <c r="A3" s="240" t="s">
        <v>761</v>
      </c>
      <c r="B3" s="241"/>
      <c r="C3" s="241"/>
      <c r="D3" s="241"/>
      <c r="E3" s="241"/>
      <c r="F3" s="241"/>
      <c r="G3" s="270"/>
      <c r="H3" s="270"/>
      <c r="I3" s="270"/>
      <c r="J3" s="270"/>
      <c r="K3" s="270"/>
      <c r="L3" s="39"/>
      <c r="M3" s="39"/>
      <c r="N3" s="39"/>
      <c r="O3" s="39"/>
      <c r="P3" s="39"/>
      <c r="Q3" s="39"/>
      <c r="R3" s="39"/>
      <c r="S3" s="39"/>
      <c r="T3" s="38"/>
      <c r="U3" s="38"/>
      <c r="V3" s="37"/>
      <c r="W3" s="37"/>
      <c r="X3" s="37"/>
      <c r="Y3" s="141"/>
      <c r="Z3" s="37"/>
      <c r="AA3" s="37"/>
      <c r="AB3" s="37"/>
      <c r="AC3" s="37"/>
      <c r="AD3" s="37"/>
      <c r="AE3" s="37"/>
      <c r="AF3" s="37"/>
      <c r="AG3" s="37"/>
      <c r="AH3" s="37"/>
      <c r="AI3" s="37"/>
      <c r="AJ3" s="37"/>
      <c r="AK3" s="37"/>
      <c r="AL3" s="37"/>
      <c r="AM3" s="37"/>
      <c r="AN3" s="37"/>
      <c r="AO3" s="37"/>
      <c r="AP3" s="242"/>
      <c r="AQ3" s="242"/>
      <c r="AR3" s="242"/>
      <c r="AS3" s="242"/>
    </row>
    <row r="4" spans="1:46" s="47" customFormat="1" ht="12.75">
      <c r="A4" s="146" t="s">
        <v>762</v>
      </c>
      <c r="B4" s="62" t="s">
        <v>56</v>
      </c>
      <c r="C4" s="62" t="s">
        <v>56</v>
      </c>
      <c r="D4" s="62" t="s">
        <v>56</v>
      </c>
      <c r="E4" s="62" t="s">
        <v>50</v>
      </c>
      <c r="F4" s="146" t="s">
        <v>477</v>
      </c>
      <c r="G4" s="271" t="s">
        <v>1071</v>
      </c>
      <c r="H4" s="271" t="s">
        <v>1071</v>
      </c>
      <c r="I4" s="47" t="s">
        <v>1072</v>
      </c>
      <c r="J4" s="272" t="s">
        <v>1073</v>
      </c>
      <c r="K4" s="272" t="s">
        <v>1073</v>
      </c>
      <c r="L4" s="62" t="s">
        <v>54</v>
      </c>
      <c r="M4" s="62" t="s">
        <v>763</v>
      </c>
      <c r="N4" s="62" t="s">
        <v>764</v>
      </c>
      <c r="O4" s="62" t="s">
        <v>113</v>
      </c>
      <c r="P4" s="62" t="s">
        <v>116</v>
      </c>
      <c r="Q4" s="62" t="s">
        <v>174</v>
      </c>
      <c r="R4" s="62" t="s">
        <v>765</v>
      </c>
      <c r="S4" s="62" t="s">
        <v>12</v>
      </c>
      <c r="T4" s="62" t="s">
        <v>498</v>
      </c>
      <c r="U4" s="62" t="str">
        <f t="shared" ref="U4:U10" si="0">LOWER(F4)</f>
        <v>clkin_sleep</v>
      </c>
      <c r="V4" s="62" t="s">
        <v>54</v>
      </c>
      <c r="W4" s="62" t="s">
        <v>766</v>
      </c>
      <c r="X4" s="62" t="s">
        <v>767</v>
      </c>
      <c r="Y4" s="215" t="s">
        <v>768</v>
      </c>
      <c r="Z4" s="62"/>
      <c r="AA4" s="62"/>
      <c r="AB4" s="62"/>
      <c r="AC4" s="62"/>
      <c r="AD4" s="62"/>
      <c r="AE4" s="62"/>
      <c r="AF4" s="62"/>
      <c r="AG4" s="62"/>
      <c r="AH4" s="62"/>
      <c r="AI4" s="62"/>
      <c r="AJ4" s="62"/>
      <c r="AK4" s="62"/>
      <c r="AL4" s="62"/>
      <c r="AM4" s="62"/>
      <c r="AN4" s="62"/>
      <c r="AO4" s="62"/>
      <c r="AP4" s="325" t="s">
        <v>769</v>
      </c>
      <c r="AQ4" s="244" t="s">
        <v>770</v>
      </c>
      <c r="AR4" s="325" t="s">
        <v>771</v>
      </c>
      <c r="AS4" s="244" t="s">
        <v>772</v>
      </c>
      <c r="AT4" s="234"/>
    </row>
    <row r="5" spans="1:46" s="62" customFormat="1">
      <c r="A5" s="146" t="s">
        <v>762</v>
      </c>
      <c r="B5" s="62" t="s">
        <v>56</v>
      </c>
      <c r="C5" s="62" t="s">
        <v>56</v>
      </c>
      <c r="D5" s="62" t="s">
        <v>56</v>
      </c>
      <c r="E5" s="62" t="s">
        <v>50</v>
      </c>
      <c r="F5" s="146" t="s">
        <v>773</v>
      </c>
      <c r="G5" s="271" t="s">
        <v>1071</v>
      </c>
      <c r="H5" s="271" t="s">
        <v>1071</v>
      </c>
      <c r="I5" s="47" t="s">
        <v>1072</v>
      </c>
      <c r="J5" s="272" t="s">
        <v>1073</v>
      </c>
      <c r="K5" s="272" t="s">
        <v>1073</v>
      </c>
      <c r="L5" s="62" t="s">
        <v>54</v>
      </c>
      <c r="M5" s="62" t="s">
        <v>719</v>
      </c>
      <c r="N5" s="62" t="s">
        <v>764</v>
      </c>
      <c r="O5" s="62" t="s">
        <v>113</v>
      </c>
      <c r="P5" s="62" t="s">
        <v>116</v>
      </c>
      <c r="Q5" s="62" t="s">
        <v>85</v>
      </c>
      <c r="R5" s="62" t="s">
        <v>765</v>
      </c>
      <c r="S5" s="62" t="s">
        <v>482</v>
      </c>
      <c r="T5" s="62" t="s">
        <v>498</v>
      </c>
      <c r="U5" s="62" t="str">
        <f t="shared" si="0"/>
        <v>rstin_n</v>
      </c>
      <c r="V5" s="62" t="s">
        <v>54</v>
      </c>
      <c r="W5" s="62" t="s">
        <v>766</v>
      </c>
      <c r="X5" s="62" t="s">
        <v>719</v>
      </c>
      <c r="Y5" s="215" t="s">
        <v>774</v>
      </c>
      <c r="Z5" s="162"/>
      <c r="AP5" s="326"/>
      <c r="AQ5" s="244" t="s">
        <v>770</v>
      </c>
      <c r="AR5" s="326"/>
      <c r="AS5" s="244" t="s">
        <v>770</v>
      </c>
      <c r="AT5" s="235"/>
    </row>
    <row r="6" spans="1:46" s="62" customFormat="1">
      <c r="A6" s="146" t="s">
        <v>775</v>
      </c>
      <c r="B6" s="62" t="s">
        <v>56</v>
      </c>
      <c r="C6" s="62" t="s">
        <v>56</v>
      </c>
      <c r="D6" s="62" t="s">
        <v>56</v>
      </c>
      <c r="E6" s="62" t="s">
        <v>50</v>
      </c>
      <c r="F6" s="146" t="s">
        <v>776</v>
      </c>
      <c r="G6" s="271" t="s">
        <v>1071</v>
      </c>
      <c r="H6" s="47" t="s">
        <v>1072</v>
      </c>
      <c r="I6" s="47" t="s">
        <v>1072</v>
      </c>
      <c r="J6" s="272" t="s">
        <v>1073</v>
      </c>
      <c r="K6" s="272" t="s">
        <v>1073</v>
      </c>
      <c r="L6" s="62" t="s">
        <v>115</v>
      </c>
      <c r="M6" s="62" t="s">
        <v>719</v>
      </c>
      <c r="N6" s="62" t="s">
        <v>777</v>
      </c>
      <c r="O6" s="62" t="s">
        <v>113</v>
      </c>
      <c r="P6" s="62" t="s">
        <v>114</v>
      </c>
      <c r="Q6" s="62" t="s">
        <v>731</v>
      </c>
      <c r="R6" s="62" t="s">
        <v>778</v>
      </c>
      <c r="S6" s="62" t="s">
        <v>46</v>
      </c>
      <c r="T6" s="62" t="s">
        <v>499</v>
      </c>
      <c r="U6" s="62" t="str">
        <f t="shared" si="0"/>
        <v>rstout_n</v>
      </c>
      <c r="V6" s="62" t="s">
        <v>115</v>
      </c>
      <c r="W6" s="62" t="s">
        <v>766</v>
      </c>
      <c r="X6" s="62" t="s">
        <v>719</v>
      </c>
      <c r="Y6" s="215" t="s">
        <v>779</v>
      </c>
      <c r="Z6" s="162"/>
      <c r="AP6" s="326"/>
      <c r="AQ6" s="244" t="s">
        <v>770</v>
      </c>
      <c r="AR6" s="326"/>
      <c r="AS6" s="244" t="s">
        <v>770</v>
      </c>
      <c r="AT6" s="235"/>
    </row>
    <row r="7" spans="1:46" s="62" customFormat="1" ht="12.75">
      <c r="A7" s="146" t="s">
        <v>775</v>
      </c>
      <c r="B7" s="62" t="s">
        <v>56</v>
      </c>
      <c r="C7" s="62" t="s">
        <v>56</v>
      </c>
      <c r="D7" s="62" t="s">
        <v>56</v>
      </c>
      <c r="E7" s="62" t="s">
        <v>48</v>
      </c>
      <c r="F7" s="146" t="s">
        <v>780</v>
      </c>
      <c r="G7" s="146" t="s">
        <v>1072</v>
      </c>
      <c r="H7" s="47" t="s">
        <v>1072</v>
      </c>
      <c r="I7" s="47" t="s">
        <v>1072</v>
      </c>
      <c r="J7" s="272" t="s">
        <v>1073</v>
      </c>
      <c r="K7" s="272" t="s">
        <v>1073</v>
      </c>
      <c r="L7" s="62" t="s">
        <v>53</v>
      </c>
      <c r="M7" s="62" t="s">
        <v>781</v>
      </c>
      <c r="N7" s="62" t="s">
        <v>777</v>
      </c>
      <c r="O7" s="62" t="s">
        <v>113</v>
      </c>
      <c r="P7" s="62" t="s">
        <v>116</v>
      </c>
      <c r="Q7" s="62" t="s">
        <v>85</v>
      </c>
      <c r="R7" s="62" t="s">
        <v>478</v>
      </c>
      <c r="S7" s="62" t="s">
        <v>46</v>
      </c>
      <c r="T7" s="62" t="s">
        <v>499</v>
      </c>
      <c r="U7" s="62" t="str">
        <f t="shared" si="0"/>
        <v>pmu_irq_n</v>
      </c>
      <c r="V7" s="62" t="s">
        <v>53</v>
      </c>
      <c r="W7" s="62" t="s">
        <v>766</v>
      </c>
      <c r="X7" s="62" t="s">
        <v>719</v>
      </c>
      <c r="Y7" s="215" t="s">
        <v>782</v>
      </c>
      <c r="AJ7" s="62" t="s">
        <v>783</v>
      </c>
      <c r="AK7" s="146" t="s">
        <v>53</v>
      </c>
      <c r="AL7" s="62" t="s">
        <v>784</v>
      </c>
      <c r="AM7" s="62" t="s">
        <v>781</v>
      </c>
      <c r="AP7" s="326"/>
      <c r="AQ7" s="244" t="s">
        <v>770</v>
      </c>
      <c r="AR7" s="326"/>
      <c r="AS7" s="244" t="s">
        <v>770</v>
      </c>
      <c r="AT7" s="235"/>
    </row>
    <row r="8" spans="1:46" s="47" customFormat="1" ht="12.75">
      <c r="A8" s="146" t="s">
        <v>775</v>
      </c>
      <c r="B8" s="62" t="s">
        <v>56</v>
      </c>
      <c r="C8" s="62" t="s">
        <v>56</v>
      </c>
      <c r="D8" s="62" t="s">
        <v>56</v>
      </c>
      <c r="E8" s="146" t="s">
        <v>48</v>
      </c>
      <c r="F8" s="62" t="s">
        <v>785</v>
      </c>
      <c r="G8" s="146" t="s">
        <v>1072</v>
      </c>
      <c r="H8" s="47" t="s">
        <v>1072</v>
      </c>
      <c r="I8" s="47" t="s">
        <v>1072</v>
      </c>
      <c r="J8" s="272" t="s">
        <v>1073</v>
      </c>
      <c r="K8" s="272" t="s">
        <v>1073</v>
      </c>
      <c r="L8" s="62" t="s">
        <v>51</v>
      </c>
      <c r="M8" s="62" t="s">
        <v>786</v>
      </c>
      <c r="N8" s="62" t="s">
        <v>764</v>
      </c>
      <c r="O8" s="62" t="s">
        <v>113</v>
      </c>
      <c r="P8" s="62" t="s">
        <v>114</v>
      </c>
      <c r="Q8" s="62" t="s">
        <v>179</v>
      </c>
      <c r="R8" s="62" t="s">
        <v>502</v>
      </c>
      <c r="S8" s="62" t="s">
        <v>46</v>
      </c>
      <c r="T8" s="62" t="s">
        <v>499</v>
      </c>
      <c r="U8" s="62" t="str">
        <f t="shared" si="0"/>
        <v>pmu_ssi</v>
      </c>
      <c r="V8" s="62" t="s">
        <v>51</v>
      </c>
      <c r="W8" s="62" t="s">
        <v>787</v>
      </c>
      <c r="X8" s="62" t="s">
        <v>636</v>
      </c>
      <c r="Y8" s="215"/>
      <c r="Z8" s="146"/>
      <c r="AA8" s="62"/>
      <c r="AB8" s="62"/>
      <c r="AC8" s="62"/>
      <c r="AD8" s="62"/>
      <c r="AE8" s="62"/>
      <c r="AF8" s="62"/>
      <c r="AG8" s="62"/>
      <c r="AH8" s="62"/>
      <c r="AI8" s="62"/>
      <c r="AJ8" s="62" t="s">
        <v>788</v>
      </c>
      <c r="AK8" s="62" t="s">
        <v>52</v>
      </c>
      <c r="AL8" s="62" t="s">
        <v>688</v>
      </c>
      <c r="AM8" s="62" t="s">
        <v>786</v>
      </c>
      <c r="AN8" s="62"/>
      <c r="AO8" s="62"/>
      <c r="AP8" s="326"/>
      <c r="AQ8" s="244" t="s">
        <v>770</v>
      </c>
      <c r="AR8" s="326"/>
      <c r="AS8" s="244" t="s">
        <v>770</v>
      </c>
      <c r="AT8" s="234"/>
    </row>
    <row r="9" spans="1:46" s="47" customFormat="1" ht="12.75">
      <c r="A9" s="146" t="s">
        <v>775</v>
      </c>
      <c r="B9" s="62" t="s">
        <v>56</v>
      </c>
      <c r="C9" s="62" t="s">
        <v>56</v>
      </c>
      <c r="D9" s="62" t="s">
        <v>56</v>
      </c>
      <c r="E9" s="146" t="s">
        <v>48</v>
      </c>
      <c r="F9" s="62" t="s">
        <v>789</v>
      </c>
      <c r="G9" s="146" t="s">
        <v>1072</v>
      </c>
      <c r="H9" s="47" t="s">
        <v>1072</v>
      </c>
      <c r="I9" s="47" t="s">
        <v>1072</v>
      </c>
      <c r="J9" s="272" t="s">
        <v>1073</v>
      </c>
      <c r="K9" s="272" t="s">
        <v>1073</v>
      </c>
      <c r="L9" s="62" t="s">
        <v>51</v>
      </c>
      <c r="M9" s="62" t="s">
        <v>786</v>
      </c>
      <c r="N9" s="62" t="s">
        <v>777</v>
      </c>
      <c r="O9" s="62" t="s">
        <v>113</v>
      </c>
      <c r="P9" s="62" t="s">
        <v>114</v>
      </c>
      <c r="Q9" s="62" t="s">
        <v>179</v>
      </c>
      <c r="R9" s="62" t="s">
        <v>529</v>
      </c>
      <c r="S9" s="62" t="s">
        <v>46</v>
      </c>
      <c r="T9" s="62" t="s">
        <v>499</v>
      </c>
      <c r="U9" s="62" t="str">
        <f t="shared" si="0"/>
        <v>pmu_hkadc_ssi</v>
      </c>
      <c r="V9" s="62" t="s">
        <v>51</v>
      </c>
      <c r="W9" s="62" t="s">
        <v>790</v>
      </c>
      <c r="X9" s="62" t="s">
        <v>636</v>
      </c>
      <c r="Y9" s="215"/>
      <c r="Z9" s="146"/>
      <c r="AA9" s="62"/>
      <c r="AB9" s="62"/>
      <c r="AC9" s="62"/>
      <c r="AD9" s="62"/>
      <c r="AE9" s="62"/>
      <c r="AF9" s="62"/>
      <c r="AG9" s="62"/>
      <c r="AH9" s="62"/>
      <c r="AI9" s="62"/>
      <c r="AJ9" s="62" t="s">
        <v>791</v>
      </c>
      <c r="AK9" s="62" t="s">
        <v>52</v>
      </c>
      <c r="AL9" s="62" t="s">
        <v>688</v>
      </c>
      <c r="AM9" s="62" t="s">
        <v>786</v>
      </c>
      <c r="AN9" s="62"/>
      <c r="AO9" s="62"/>
      <c r="AP9" s="326"/>
      <c r="AQ9" s="244" t="s">
        <v>770</v>
      </c>
      <c r="AR9" s="326"/>
      <c r="AS9" s="244" t="s">
        <v>770</v>
      </c>
      <c r="AT9" s="234"/>
    </row>
    <row r="10" spans="1:46" s="47" customFormat="1" ht="12.75">
      <c r="A10" s="146" t="s">
        <v>775</v>
      </c>
      <c r="B10" s="62" t="s">
        <v>56</v>
      </c>
      <c r="C10" s="62" t="s">
        <v>56</v>
      </c>
      <c r="D10" s="62" t="s">
        <v>56</v>
      </c>
      <c r="E10" s="146" t="s">
        <v>48</v>
      </c>
      <c r="F10" s="62" t="s">
        <v>792</v>
      </c>
      <c r="G10" s="146" t="s">
        <v>1071</v>
      </c>
      <c r="H10" s="47" t="s">
        <v>1072</v>
      </c>
      <c r="I10" s="47" t="s">
        <v>1072</v>
      </c>
      <c r="J10" s="272" t="s">
        <v>1073</v>
      </c>
      <c r="K10" s="272" t="s">
        <v>1073</v>
      </c>
      <c r="L10" s="62" t="s">
        <v>51</v>
      </c>
      <c r="M10" s="62" t="s">
        <v>786</v>
      </c>
      <c r="N10" s="62" t="s">
        <v>777</v>
      </c>
      <c r="O10" s="62" t="s">
        <v>113</v>
      </c>
      <c r="P10" s="62" t="s">
        <v>114</v>
      </c>
      <c r="Q10" s="216" t="s">
        <v>174</v>
      </c>
      <c r="R10" s="62" t="s">
        <v>479</v>
      </c>
      <c r="S10" s="62" t="s">
        <v>46</v>
      </c>
      <c r="T10" s="62" t="s">
        <v>499</v>
      </c>
      <c r="U10" s="62" t="str">
        <f t="shared" si="0"/>
        <v>pmu_auxdac0_ssi</v>
      </c>
      <c r="V10" s="62" t="s">
        <v>52</v>
      </c>
      <c r="W10" s="62" t="s">
        <v>793</v>
      </c>
      <c r="X10" s="62" t="s">
        <v>636</v>
      </c>
      <c r="Y10" s="215"/>
      <c r="Z10" s="146" t="s">
        <v>794</v>
      </c>
      <c r="AA10" s="62" t="s">
        <v>51</v>
      </c>
      <c r="AB10" s="62" t="s">
        <v>643</v>
      </c>
      <c r="AC10" s="62" t="s">
        <v>720</v>
      </c>
      <c r="AD10" s="62"/>
      <c r="AE10" s="62"/>
      <c r="AF10" s="62"/>
      <c r="AG10" s="62"/>
      <c r="AH10" s="62"/>
      <c r="AI10" s="62"/>
      <c r="AJ10" s="146" t="s">
        <v>698</v>
      </c>
      <c r="AK10" s="146" t="s">
        <v>52</v>
      </c>
      <c r="AL10" s="62" t="s">
        <v>784</v>
      </c>
      <c r="AM10" s="62" t="s">
        <v>786</v>
      </c>
      <c r="AN10" s="62"/>
      <c r="AO10" s="62"/>
      <c r="AP10" s="326"/>
      <c r="AQ10" s="244" t="s">
        <v>770</v>
      </c>
      <c r="AR10" s="326"/>
      <c r="AS10" s="244" t="s">
        <v>770</v>
      </c>
      <c r="AT10" s="234"/>
    </row>
    <row r="11" spans="1:46" s="47" customFormat="1" ht="12.75">
      <c r="A11" s="146" t="s">
        <v>775</v>
      </c>
      <c r="B11" s="62" t="s">
        <v>56</v>
      </c>
      <c r="C11" s="62" t="s">
        <v>56</v>
      </c>
      <c r="D11" s="62" t="s">
        <v>56</v>
      </c>
      <c r="E11" s="62" t="s">
        <v>48</v>
      </c>
      <c r="F11" s="62" t="s">
        <v>795</v>
      </c>
      <c r="G11" s="146" t="s">
        <v>1087</v>
      </c>
      <c r="H11" s="47" t="s">
        <v>1081</v>
      </c>
      <c r="I11" s="47" t="s">
        <v>1072</v>
      </c>
      <c r="J11" s="272" t="s">
        <v>1073</v>
      </c>
      <c r="K11" s="272" t="s">
        <v>1073</v>
      </c>
      <c r="L11" s="62" t="s">
        <v>51</v>
      </c>
      <c r="M11" s="62" t="s">
        <v>786</v>
      </c>
      <c r="N11" s="62" t="s">
        <v>777</v>
      </c>
      <c r="O11" s="62" t="s">
        <v>113</v>
      </c>
      <c r="P11" s="62" t="s">
        <v>114</v>
      </c>
      <c r="Q11" s="62" t="s">
        <v>83</v>
      </c>
      <c r="R11" s="62" t="s">
        <v>480</v>
      </c>
      <c r="S11" s="62" t="s">
        <v>46</v>
      </c>
      <c r="T11" s="62" t="s">
        <v>499</v>
      </c>
      <c r="U11" s="62" t="s">
        <v>796</v>
      </c>
      <c r="V11" s="62" t="s">
        <v>51</v>
      </c>
      <c r="W11" s="62" t="s">
        <v>797</v>
      </c>
      <c r="X11" s="62" t="s">
        <v>720</v>
      </c>
      <c r="Y11" s="215"/>
      <c r="Z11" s="146" t="s">
        <v>798</v>
      </c>
      <c r="AA11" s="62" t="s">
        <v>52</v>
      </c>
      <c r="AB11" s="62" t="s">
        <v>647</v>
      </c>
      <c r="AC11" s="62" t="s">
        <v>720</v>
      </c>
      <c r="AD11" s="62"/>
      <c r="AE11" s="62"/>
      <c r="AF11" s="62"/>
      <c r="AG11" s="62"/>
      <c r="AH11" s="62"/>
      <c r="AI11" s="62"/>
      <c r="AJ11" s="146" t="s">
        <v>697</v>
      </c>
      <c r="AK11" s="146" t="s">
        <v>52</v>
      </c>
      <c r="AL11" s="62" t="s">
        <v>688</v>
      </c>
      <c r="AM11" s="62" t="s">
        <v>786</v>
      </c>
      <c r="AN11" s="62"/>
      <c r="AO11" s="62"/>
      <c r="AP11" s="326"/>
      <c r="AQ11" s="244" t="s">
        <v>770</v>
      </c>
      <c r="AR11" s="326"/>
      <c r="AS11" s="244" t="s">
        <v>770</v>
      </c>
      <c r="AT11" s="234"/>
    </row>
    <row r="12" spans="1:46" s="222" customFormat="1" ht="12.75">
      <c r="A12" s="146" t="s">
        <v>775</v>
      </c>
      <c r="B12" s="62" t="s">
        <v>56</v>
      </c>
      <c r="C12" s="62" t="s">
        <v>56</v>
      </c>
      <c r="D12" s="62" t="s">
        <v>56</v>
      </c>
      <c r="E12" s="62" t="s">
        <v>49</v>
      </c>
      <c r="F12" s="62" t="s">
        <v>799</v>
      </c>
      <c r="G12" s="146" t="s">
        <v>1071</v>
      </c>
      <c r="H12" s="47" t="s">
        <v>1072</v>
      </c>
      <c r="I12" s="47" t="s">
        <v>1072</v>
      </c>
      <c r="J12" s="272" t="s">
        <v>1073</v>
      </c>
      <c r="K12" s="272" t="s">
        <v>1073</v>
      </c>
      <c r="L12" s="62" t="s">
        <v>51</v>
      </c>
      <c r="M12" s="62" t="s">
        <v>786</v>
      </c>
      <c r="N12" s="62" t="s">
        <v>777</v>
      </c>
      <c r="O12" s="62" t="s">
        <v>113</v>
      </c>
      <c r="P12" s="62" t="s">
        <v>114</v>
      </c>
      <c r="Q12" s="216" t="s">
        <v>179</v>
      </c>
      <c r="R12" s="62" t="s">
        <v>57</v>
      </c>
      <c r="S12" s="62" t="s">
        <v>46</v>
      </c>
      <c r="T12" s="62" t="s">
        <v>499</v>
      </c>
      <c r="U12" s="62" t="str">
        <f>LOWER(F12)</f>
        <v>pmu_ssi_clk</v>
      </c>
      <c r="V12" s="62" t="s">
        <v>52</v>
      </c>
      <c r="W12" s="146" t="s">
        <v>800</v>
      </c>
      <c r="X12" s="62" t="s">
        <v>636</v>
      </c>
      <c r="Y12" s="215"/>
      <c r="Z12" s="146" t="s">
        <v>801</v>
      </c>
      <c r="AA12" s="62" t="s">
        <v>51</v>
      </c>
      <c r="AB12" s="62" t="s">
        <v>648</v>
      </c>
      <c r="AC12" s="62" t="s">
        <v>720</v>
      </c>
      <c r="AD12" s="62"/>
      <c r="AE12" s="62"/>
      <c r="AF12" s="62"/>
      <c r="AG12" s="62"/>
      <c r="AH12" s="62"/>
      <c r="AI12" s="62"/>
      <c r="AJ12" s="146" t="s">
        <v>696</v>
      </c>
      <c r="AK12" s="146" t="s">
        <v>52</v>
      </c>
      <c r="AL12" s="62" t="s">
        <v>688</v>
      </c>
      <c r="AM12" s="62" t="s">
        <v>786</v>
      </c>
      <c r="AN12" s="245"/>
      <c r="AO12" s="245"/>
      <c r="AP12" s="326"/>
      <c r="AQ12" s="244" t="s">
        <v>770</v>
      </c>
      <c r="AR12" s="326"/>
      <c r="AS12" s="244" t="s">
        <v>770</v>
      </c>
    </row>
    <row r="13" spans="1:46" s="47" customFormat="1" ht="12.75">
      <c r="A13" s="146" t="s">
        <v>775</v>
      </c>
      <c r="B13" s="62" t="s">
        <v>56</v>
      </c>
      <c r="C13" s="62" t="s">
        <v>56</v>
      </c>
      <c r="D13" s="62" t="s">
        <v>56</v>
      </c>
      <c r="E13" s="62" t="s">
        <v>48</v>
      </c>
      <c r="F13" s="146" t="s">
        <v>802</v>
      </c>
      <c r="G13" s="146" t="s">
        <v>1071</v>
      </c>
      <c r="H13" s="47" t="s">
        <v>1072</v>
      </c>
      <c r="I13" s="47" t="s">
        <v>1072</v>
      </c>
      <c r="J13" s="272" t="s">
        <v>1073</v>
      </c>
      <c r="K13" s="272" t="s">
        <v>1073</v>
      </c>
      <c r="L13" s="62" t="s">
        <v>51</v>
      </c>
      <c r="M13" s="62" t="s">
        <v>786</v>
      </c>
      <c r="N13" s="62" t="s">
        <v>777</v>
      </c>
      <c r="O13" s="62" t="s">
        <v>113</v>
      </c>
      <c r="P13" s="62" t="s">
        <v>114</v>
      </c>
      <c r="Q13" s="216" t="s">
        <v>177</v>
      </c>
      <c r="R13" s="62" t="s">
        <v>58</v>
      </c>
      <c r="S13" s="62" t="s">
        <v>46</v>
      </c>
      <c r="T13" s="62" t="s">
        <v>499</v>
      </c>
      <c r="U13" s="62" t="str">
        <f>LOWER(F13)</f>
        <v>ch0_tcxo_en</v>
      </c>
      <c r="V13" s="62" t="s">
        <v>52</v>
      </c>
      <c r="W13" s="62" t="s">
        <v>803</v>
      </c>
      <c r="X13" s="62" t="s">
        <v>719</v>
      </c>
      <c r="Y13" s="215" t="s">
        <v>804</v>
      </c>
      <c r="Z13" s="146" t="s">
        <v>640</v>
      </c>
      <c r="AA13" s="62" t="s">
        <v>51</v>
      </c>
      <c r="AB13" s="62" t="s">
        <v>642</v>
      </c>
      <c r="AC13" s="62" t="s">
        <v>720</v>
      </c>
      <c r="AD13" s="62"/>
      <c r="AE13" s="62"/>
      <c r="AF13" s="62"/>
      <c r="AG13" s="62"/>
      <c r="AH13" s="62"/>
      <c r="AI13" s="62"/>
      <c r="AJ13" s="146" t="s">
        <v>695</v>
      </c>
      <c r="AK13" s="146" t="s">
        <v>52</v>
      </c>
      <c r="AL13" s="62" t="s">
        <v>688</v>
      </c>
      <c r="AM13" s="62" t="s">
        <v>786</v>
      </c>
      <c r="AN13" s="62"/>
      <c r="AO13" s="62"/>
      <c r="AP13" s="326"/>
      <c r="AQ13" s="244" t="s">
        <v>770</v>
      </c>
      <c r="AR13" s="326"/>
      <c r="AS13" s="244" t="s">
        <v>770</v>
      </c>
      <c r="AT13" s="234"/>
    </row>
    <row r="14" spans="1:46" s="47" customFormat="1" ht="12.75">
      <c r="A14" s="146" t="s">
        <v>775</v>
      </c>
      <c r="B14" s="62" t="s">
        <v>56</v>
      </c>
      <c r="C14" s="62" t="s">
        <v>56</v>
      </c>
      <c r="D14" s="62" t="s">
        <v>56</v>
      </c>
      <c r="E14" s="62" t="s">
        <v>48</v>
      </c>
      <c r="F14" s="146" t="s">
        <v>805</v>
      </c>
      <c r="G14" s="146" t="s">
        <v>1071</v>
      </c>
      <c r="H14" s="47" t="s">
        <v>1072</v>
      </c>
      <c r="I14" s="47" t="s">
        <v>1072</v>
      </c>
      <c r="J14" s="272" t="s">
        <v>1073</v>
      </c>
      <c r="K14" s="272" t="s">
        <v>1073</v>
      </c>
      <c r="L14" s="62" t="s">
        <v>51</v>
      </c>
      <c r="M14" s="62" t="s">
        <v>786</v>
      </c>
      <c r="N14" s="62" t="s">
        <v>777</v>
      </c>
      <c r="O14" s="62" t="s">
        <v>113</v>
      </c>
      <c r="P14" s="62" t="s">
        <v>114</v>
      </c>
      <c r="Q14" s="216" t="s">
        <v>177</v>
      </c>
      <c r="R14" s="62" t="s">
        <v>112</v>
      </c>
      <c r="S14" s="62" t="s">
        <v>46</v>
      </c>
      <c r="T14" s="62" t="s">
        <v>499</v>
      </c>
      <c r="U14" s="62" t="str">
        <f>LOWER(F14)</f>
        <v>ch1_tcxo_en</v>
      </c>
      <c r="V14" s="62" t="s">
        <v>52</v>
      </c>
      <c r="W14" s="62" t="s">
        <v>806</v>
      </c>
      <c r="X14" s="62" t="s">
        <v>719</v>
      </c>
      <c r="Y14" s="215" t="s">
        <v>807</v>
      </c>
      <c r="Z14" s="146" t="s">
        <v>489</v>
      </c>
      <c r="AA14" s="62" t="s">
        <v>51</v>
      </c>
      <c r="AB14" s="62" t="s">
        <v>649</v>
      </c>
      <c r="AC14" s="62" t="s">
        <v>720</v>
      </c>
      <c r="AD14" s="62"/>
      <c r="AE14" s="62"/>
      <c r="AF14" s="62"/>
      <c r="AG14" s="62"/>
      <c r="AH14" s="62"/>
      <c r="AI14" s="62"/>
      <c r="AJ14" s="146" t="s">
        <v>694</v>
      </c>
      <c r="AK14" s="146" t="s">
        <v>52</v>
      </c>
      <c r="AL14" s="62" t="s">
        <v>688</v>
      </c>
      <c r="AM14" s="62" t="s">
        <v>786</v>
      </c>
      <c r="AN14" s="62"/>
      <c r="AO14" s="62"/>
      <c r="AP14" s="326"/>
      <c r="AQ14" s="244" t="s">
        <v>770</v>
      </c>
      <c r="AR14" s="326"/>
      <c r="AS14" s="244" t="s">
        <v>770</v>
      </c>
      <c r="AT14" s="234"/>
    </row>
    <row r="15" spans="1:46" s="47" customFormat="1" ht="12.75">
      <c r="A15" s="146" t="s">
        <v>775</v>
      </c>
      <c r="B15" s="62" t="s">
        <v>56</v>
      </c>
      <c r="C15" s="62" t="s">
        <v>56</v>
      </c>
      <c r="D15" s="62" t="s">
        <v>56</v>
      </c>
      <c r="E15" s="62" t="s">
        <v>48</v>
      </c>
      <c r="F15" s="146" t="s">
        <v>808</v>
      </c>
      <c r="G15" s="146" t="s">
        <v>1071</v>
      </c>
      <c r="H15" s="47" t="s">
        <v>1072</v>
      </c>
      <c r="I15" s="47" t="s">
        <v>1072</v>
      </c>
      <c r="J15" s="272" t="s">
        <v>1073</v>
      </c>
      <c r="K15" s="272" t="s">
        <v>1073</v>
      </c>
      <c r="L15" s="62" t="s">
        <v>51</v>
      </c>
      <c r="M15" s="62" t="s">
        <v>786</v>
      </c>
      <c r="N15" s="62" t="s">
        <v>777</v>
      </c>
      <c r="O15" s="62" t="s">
        <v>113</v>
      </c>
      <c r="P15" s="62" t="s">
        <v>114</v>
      </c>
      <c r="Q15" s="216" t="s">
        <v>177</v>
      </c>
      <c r="R15" s="62" t="s">
        <v>103</v>
      </c>
      <c r="S15" s="62" t="s">
        <v>46</v>
      </c>
      <c r="T15" s="62" t="s">
        <v>499</v>
      </c>
      <c r="U15" s="62" t="str">
        <f>LOWER(F15)</f>
        <v>peri_en</v>
      </c>
      <c r="V15" s="62" t="s">
        <v>52</v>
      </c>
      <c r="W15" s="146" t="s">
        <v>809</v>
      </c>
      <c r="X15" s="62" t="s">
        <v>719</v>
      </c>
      <c r="Y15" s="218" t="s">
        <v>810</v>
      </c>
      <c r="Z15" s="146" t="s">
        <v>490</v>
      </c>
      <c r="AA15" s="146" t="s">
        <v>51</v>
      </c>
      <c r="AB15" s="62" t="s">
        <v>650</v>
      </c>
      <c r="AC15" s="62" t="s">
        <v>720</v>
      </c>
      <c r="AD15" s="62"/>
      <c r="AE15" s="62"/>
      <c r="AF15" s="62"/>
      <c r="AG15" s="62"/>
      <c r="AH15" s="62"/>
      <c r="AI15" s="62"/>
      <c r="AJ15" s="146" t="s">
        <v>693</v>
      </c>
      <c r="AK15" s="146" t="s">
        <v>52</v>
      </c>
      <c r="AL15" s="62" t="s">
        <v>688</v>
      </c>
      <c r="AM15" s="62" t="s">
        <v>786</v>
      </c>
      <c r="AN15" s="62"/>
      <c r="AO15" s="62"/>
      <c r="AP15" s="326"/>
      <c r="AQ15" s="244" t="s">
        <v>770</v>
      </c>
      <c r="AR15" s="326"/>
      <c r="AS15" s="244" t="s">
        <v>770</v>
      </c>
      <c r="AT15" s="234"/>
    </row>
    <row r="16" spans="1:46" s="47" customFormat="1" ht="25.5">
      <c r="A16" s="146" t="s">
        <v>775</v>
      </c>
      <c r="B16" s="62" t="s">
        <v>56</v>
      </c>
      <c r="C16" s="62" t="s">
        <v>56</v>
      </c>
      <c r="D16" s="62" t="s">
        <v>56</v>
      </c>
      <c r="E16" s="62" t="s">
        <v>48</v>
      </c>
      <c r="F16" s="62" t="s">
        <v>1086</v>
      </c>
      <c r="G16" s="146" t="s">
        <v>1071</v>
      </c>
      <c r="H16" s="47" t="s">
        <v>1072</v>
      </c>
      <c r="I16" s="47" t="s">
        <v>1072</v>
      </c>
      <c r="J16" s="272" t="s">
        <v>1073</v>
      </c>
      <c r="K16" s="272" t="s">
        <v>1073</v>
      </c>
      <c r="L16" s="62" t="s">
        <v>51</v>
      </c>
      <c r="M16" s="62" t="s">
        <v>786</v>
      </c>
      <c r="N16" s="62" t="s">
        <v>777</v>
      </c>
      <c r="O16" s="62" t="s">
        <v>113</v>
      </c>
      <c r="P16" s="62" t="s">
        <v>114</v>
      </c>
      <c r="Q16" s="216" t="s">
        <v>179</v>
      </c>
      <c r="R16" s="62" t="s">
        <v>503</v>
      </c>
      <c r="S16" s="62" t="s">
        <v>46</v>
      </c>
      <c r="T16" s="62" t="s">
        <v>499</v>
      </c>
      <c r="U16" s="62" t="str">
        <f>LOWER(F16)</f>
        <v>pmu_hold</v>
      </c>
      <c r="V16" s="62" t="s">
        <v>52</v>
      </c>
      <c r="W16" s="62" t="s">
        <v>811</v>
      </c>
      <c r="X16" s="62" t="s">
        <v>719</v>
      </c>
      <c r="Y16" s="215" t="s">
        <v>812</v>
      </c>
      <c r="Z16" s="146" t="s">
        <v>641</v>
      </c>
      <c r="AA16" s="62" t="s">
        <v>51</v>
      </c>
      <c r="AB16" s="62" t="s">
        <v>651</v>
      </c>
      <c r="AC16" s="62" t="s">
        <v>720</v>
      </c>
      <c r="AD16" s="62"/>
      <c r="AE16" s="62"/>
      <c r="AF16" s="62"/>
      <c r="AG16" s="62"/>
      <c r="AH16" s="62"/>
      <c r="AI16" s="62"/>
      <c r="AJ16" s="146" t="s">
        <v>692</v>
      </c>
      <c r="AK16" s="146" t="s">
        <v>52</v>
      </c>
      <c r="AL16" s="62" t="s">
        <v>688</v>
      </c>
      <c r="AM16" s="62" t="s">
        <v>786</v>
      </c>
      <c r="AN16" s="62"/>
      <c r="AO16" s="62"/>
      <c r="AP16" s="326"/>
      <c r="AQ16" s="244" t="s">
        <v>770</v>
      </c>
      <c r="AR16" s="326"/>
      <c r="AS16" s="244" t="s">
        <v>770</v>
      </c>
      <c r="AT16" s="234"/>
    </row>
    <row r="17" spans="1:46" s="213" customFormat="1">
      <c r="A17" s="240" t="s">
        <v>813</v>
      </c>
      <c r="B17" s="241"/>
      <c r="C17" s="241"/>
      <c r="D17" s="241"/>
      <c r="E17" s="241"/>
      <c r="F17" s="241"/>
      <c r="G17" s="253"/>
      <c r="H17" s="253"/>
      <c r="I17" s="253"/>
      <c r="J17" s="253"/>
      <c r="K17" s="253"/>
      <c r="L17" s="39"/>
      <c r="M17" s="39"/>
      <c r="N17" s="39"/>
      <c r="O17" s="39"/>
      <c r="P17" s="39"/>
      <c r="Q17" s="39"/>
      <c r="R17" s="39"/>
      <c r="S17" s="39"/>
      <c r="T17" s="37"/>
      <c r="U17" s="37"/>
      <c r="V17" s="37"/>
      <c r="W17" s="37"/>
      <c r="X17" s="37"/>
      <c r="Y17" s="141"/>
      <c r="Z17" s="37"/>
      <c r="AA17" s="37"/>
      <c r="AB17" s="37"/>
      <c r="AC17" s="39"/>
      <c r="AD17" s="37"/>
      <c r="AE17" s="37"/>
      <c r="AF17" s="37"/>
      <c r="AG17" s="37"/>
      <c r="AH17" s="37"/>
      <c r="AI17" s="37"/>
      <c r="AJ17" s="37"/>
      <c r="AK17" s="37"/>
      <c r="AL17" s="37"/>
      <c r="AM17" s="37"/>
      <c r="AN17" s="37"/>
      <c r="AO17" s="37"/>
      <c r="AP17" s="242"/>
      <c r="AQ17" s="242"/>
      <c r="AR17" s="242"/>
      <c r="AS17" s="242"/>
    </row>
    <row r="18" spans="1:46" s="166" customFormat="1" ht="12.75">
      <c r="A18" s="166" t="s">
        <v>762</v>
      </c>
      <c r="B18" s="166" t="s">
        <v>814</v>
      </c>
      <c r="C18" s="166" t="s">
        <v>814</v>
      </c>
      <c r="D18" s="166" t="s">
        <v>814</v>
      </c>
      <c r="E18" s="166" t="s">
        <v>815</v>
      </c>
      <c r="F18" s="166" t="s">
        <v>816</v>
      </c>
      <c r="G18" s="146" t="s">
        <v>1071</v>
      </c>
      <c r="H18" s="47" t="s">
        <v>1072</v>
      </c>
      <c r="I18" s="47" t="s">
        <v>1072</v>
      </c>
      <c r="J18" s="272" t="s">
        <v>1073</v>
      </c>
      <c r="K18" s="272" t="s">
        <v>1073</v>
      </c>
      <c r="L18" s="146" t="s">
        <v>51</v>
      </c>
      <c r="M18" s="62" t="s">
        <v>817</v>
      </c>
      <c r="N18" s="166" t="s">
        <v>764</v>
      </c>
      <c r="O18" s="146" t="s">
        <v>113</v>
      </c>
      <c r="P18" s="62" t="s">
        <v>114</v>
      </c>
      <c r="Q18" s="217" t="s">
        <v>179</v>
      </c>
      <c r="R18" s="146" t="s">
        <v>818</v>
      </c>
      <c r="S18" s="166" t="s">
        <v>819</v>
      </c>
      <c r="T18" s="166" t="s">
        <v>820</v>
      </c>
      <c r="U18" s="166" t="s">
        <v>821</v>
      </c>
      <c r="V18" s="166" t="s">
        <v>501</v>
      </c>
      <c r="W18" s="166" t="s">
        <v>822</v>
      </c>
      <c r="X18" s="166" t="s">
        <v>823</v>
      </c>
      <c r="Y18" s="167" t="s">
        <v>824</v>
      </c>
      <c r="Z18" s="62" t="s">
        <v>825</v>
      </c>
      <c r="AA18" s="166" t="s">
        <v>826</v>
      </c>
      <c r="AB18" s="166" t="s">
        <v>827</v>
      </c>
      <c r="AC18" s="166" t="s">
        <v>720</v>
      </c>
      <c r="AJ18" s="146" t="s">
        <v>701</v>
      </c>
      <c r="AK18" s="146" t="s">
        <v>52</v>
      </c>
      <c r="AL18" s="62" t="s">
        <v>688</v>
      </c>
      <c r="AM18" s="62" t="s">
        <v>817</v>
      </c>
      <c r="AP18" s="327" t="s">
        <v>828</v>
      </c>
      <c r="AQ18" s="244" t="s">
        <v>772</v>
      </c>
      <c r="AR18" s="327" t="s">
        <v>829</v>
      </c>
      <c r="AS18" s="244" t="s">
        <v>772</v>
      </c>
    </row>
    <row r="19" spans="1:46" s="166" customFormat="1" ht="12.75">
      <c r="A19" s="166" t="s">
        <v>762</v>
      </c>
      <c r="B19" s="166" t="s">
        <v>814</v>
      </c>
      <c r="C19" s="166" t="s">
        <v>814</v>
      </c>
      <c r="D19" s="166" t="s">
        <v>814</v>
      </c>
      <c r="E19" s="166" t="s">
        <v>830</v>
      </c>
      <c r="F19" s="166" t="s">
        <v>831</v>
      </c>
      <c r="G19" s="146" t="s">
        <v>1071</v>
      </c>
      <c r="H19" s="47" t="s">
        <v>1072</v>
      </c>
      <c r="I19" s="47" t="s">
        <v>1072</v>
      </c>
      <c r="J19" s="272" t="s">
        <v>1073</v>
      </c>
      <c r="K19" s="272" t="s">
        <v>1073</v>
      </c>
      <c r="L19" s="146" t="s">
        <v>51</v>
      </c>
      <c r="M19" s="62" t="s">
        <v>817</v>
      </c>
      <c r="N19" s="166" t="s">
        <v>764</v>
      </c>
      <c r="O19" s="146" t="s">
        <v>113</v>
      </c>
      <c r="P19" s="62" t="s">
        <v>114</v>
      </c>
      <c r="Q19" s="217" t="s">
        <v>179</v>
      </c>
      <c r="R19" s="146" t="s">
        <v>486</v>
      </c>
      <c r="S19" s="166" t="s">
        <v>819</v>
      </c>
      <c r="T19" s="166" t="s">
        <v>820</v>
      </c>
      <c r="U19" s="166" t="s">
        <v>832</v>
      </c>
      <c r="V19" s="166" t="s">
        <v>833</v>
      </c>
      <c r="W19" s="166" t="s">
        <v>530</v>
      </c>
      <c r="X19" s="166" t="s">
        <v>834</v>
      </c>
      <c r="Y19" s="167" t="s">
        <v>835</v>
      </c>
      <c r="Z19" s="62" t="s">
        <v>644</v>
      </c>
      <c r="AA19" s="166" t="s">
        <v>836</v>
      </c>
      <c r="AB19" s="166" t="s">
        <v>837</v>
      </c>
      <c r="AC19" s="166" t="s">
        <v>720</v>
      </c>
      <c r="AJ19" s="146" t="s">
        <v>700</v>
      </c>
      <c r="AK19" s="146" t="s">
        <v>52</v>
      </c>
      <c r="AL19" s="62" t="s">
        <v>688</v>
      </c>
      <c r="AM19" s="62" t="s">
        <v>786</v>
      </c>
      <c r="AP19" s="328"/>
      <c r="AQ19" s="244" t="s">
        <v>770</v>
      </c>
      <c r="AR19" s="328"/>
      <c r="AS19" s="244" t="s">
        <v>770</v>
      </c>
    </row>
    <row r="20" spans="1:46" s="166" customFormat="1" ht="12.75">
      <c r="A20" s="166" t="s">
        <v>775</v>
      </c>
      <c r="B20" s="166" t="s">
        <v>838</v>
      </c>
      <c r="C20" s="166" t="s">
        <v>838</v>
      </c>
      <c r="D20" s="166" t="s">
        <v>838</v>
      </c>
      <c r="E20" s="166" t="s">
        <v>839</v>
      </c>
      <c r="F20" s="166" t="s">
        <v>840</v>
      </c>
      <c r="G20" s="146" t="s">
        <v>1071</v>
      </c>
      <c r="H20" s="47" t="s">
        <v>1072</v>
      </c>
      <c r="I20" s="47" t="s">
        <v>1072</v>
      </c>
      <c r="J20" s="272" t="s">
        <v>1073</v>
      </c>
      <c r="K20" s="272" t="s">
        <v>1073</v>
      </c>
      <c r="L20" s="146" t="s">
        <v>51</v>
      </c>
      <c r="M20" s="62" t="s">
        <v>786</v>
      </c>
      <c r="N20" s="166" t="s">
        <v>777</v>
      </c>
      <c r="O20" s="146" t="s">
        <v>113</v>
      </c>
      <c r="P20" s="62" t="s">
        <v>114</v>
      </c>
      <c r="Q20" s="166" t="s">
        <v>174</v>
      </c>
      <c r="R20" s="146" t="s">
        <v>59</v>
      </c>
      <c r="S20" s="166" t="s">
        <v>819</v>
      </c>
      <c r="T20" s="166" t="s">
        <v>820</v>
      </c>
      <c r="U20" s="166" t="s">
        <v>841</v>
      </c>
      <c r="V20" s="166" t="s">
        <v>51</v>
      </c>
      <c r="W20" s="166" t="s">
        <v>530</v>
      </c>
      <c r="X20" s="166" t="s">
        <v>834</v>
      </c>
      <c r="Y20" s="167" t="s">
        <v>842</v>
      </c>
      <c r="Z20" s="62" t="s">
        <v>491</v>
      </c>
      <c r="AA20" s="166" t="s">
        <v>836</v>
      </c>
      <c r="AB20" s="166" t="s">
        <v>843</v>
      </c>
      <c r="AC20" s="166" t="s">
        <v>720</v>
      </c>
      <c r="AJ20" s="146" t="s">
        <v>699</v>
      </c>
      <c r="AK20" s="146" t="s">
        <v>52</v>
      </c>
      <c r="AL20" s="62" t="s">
        <v>688</v>
      </c>
      <c r="AM20" s="62" t="s">
        <v>786</v>
      </c>
      <c r="AP20" s="328"/>
      <c r="AQ20" s="244" t="s">
        <v>770</v>
      </c>
      <c r="AR20" s="328"/>
      <c r="AS20" s="244" t="s">
        <v>770</v>
      </c>
    </row>
    <row r="21" spans="1:46" s="213" customFormat="1">
      <c r="A21" s="240" t="s">
        <v>844</v>
      </c>
      <c r="B21" s="241"/>
      <c r="C21" s="241"/>
      <c r="D21" s="241"/>
      <c r="E21" s="241"/>
      <c r="F21" s="241"/>
      <c r="G21" s="253"/>
      <c r="H21" s="253"/>
      <c r="I21" s="253"/>
      <c r="J21" s="253"/>
      <c r="K21" s="253"/>
      <c r="L21" s="39"/>
      <c r="M21" s="39"/>
      <c r="N21" s="39"/>
      <c r="O21" s="39"/>
      <c r="P21" s="39"/>
      <c r="Q21" s="39"/>
      <c r="R21" s="39"/>
      <c r="S21" s="39"/>
      <c r="T21" s="37"/>
      <c r="U21" s="37"/>
      <c r="V21" s="37"/>
      <c r="W21" s="37"/>
      <c r="X21" s="37"/>
      <c r="Y21" s="37"/>
      <c r="Z21" s="242"/>
      <c r="AA21" s="37"/>
      <c r="AB21" s="37"/>
      <c r="AC21" s="37"/>
      <c r="AD21" s="37"/>
      <c r="AE21" s="37"/>
      <c r="AF21" s="37"/>
      <c r="AG21" s="37"/>
      <c r="AH21" s="37"/>
      <c r="AI21" s="37"/>
      <c r="AJ21" s="37"/>
      <c r="AK21" s="37"/>
      <c r="AL21" s="37"/>
      <c r="AM21" s="37"/>
      <c r="AN21" s="37"/>
      <c r="AO21" s="37"/>
      <c r="AP21" s="37"/>
      <c r="AQ21" s="37"/>
      <c r="AR21" s="37"/>
      <c r="AS21" s="37"/>
      <c r="AT21" s="37"/>
    </row>
    <row r="22" spans="1:46" s="143" customFormat="1" ht="12.75">
      <c r="A22" s="168" t="s">
        <v>484</v>
      </c>
      <c r="B22" s="168" t="s">
        <v>838</v>
      </c>
      <c r="C22" s="168" t="s">
        <v>838</v>
      </c>
      <c r="D22" s="62" t="s">
        <v>838</v>
      </c>
      <c r="E22" s="168" t="s">
        <v>49</v>
      </c>
      <c r="F22" s="146" t="s">
        <v>845</v>
      </c>
      <c r="G22" s="146" t="s">
        <v>1088</v>
      </c>
      <c r="H22" s="47" t="s">
        <v>1072</v>
      </c>
      <c r="I22" s="47" t="s">
        <v>1072</v>
      </c>
      <c r="J22" s="272" t="s">
        <v>1073</v>
      </c>
      <c r="K22" s="272" t="s">
        <v>1073</v>
      </c>
      <c r="L22" s="146" t="s">
        <v>51</v>
      </c>
      <c r="M22" s="62" t="s">
        <v>786</v>
      </c>
      <c r="N22" s="168" t="s">
        <v>777</v>
      </c>
      <c r="O22" s="146" t="s">
        <v>113</v>
      </c>
      <c r="P22" s="168" t="s">
        <v>114</v>
      </c>
      <c r="Q22" s="168" t="s">
        <v>846</v>
      </c>
      <c r="R22" s="146" t="s">
        <v>847</v>
      </c>
      <c r="S22" s="168" t="s">
        <v>819</v>
      </c>
      <c r="T22" s="166" t="s">
        <v>499</v>
      </c>
      <c r="U22" s="168" t="s">
        <v>848</v>
      </c>
      <c r="V22" s="168" t="s">
        <v>836</v>
      </c>
      <c r="W22" s="168" t="s">
        <v>849</v>
      </c>
      <c r="X22" s="168" t="s">
        <v>720</v>
      </c>
      <c r="Y22" s="246"/>
      <c r="Z22" s="168" t="s">
        <v>850</v>
      </c>
      <c r="AA22" s="166" t="s">
        <v>501</v>
      </c>
      <c r="AB22" s="168" t="s">
        <v>851</v>
      </c>
      <c r="AC22" s="168" t="s">
        <v>823</v>
      </c>
      <c r="AD22" s="168"/>
      <c r="AE22" s="247"/>
      <c r="AF22" s="247"/>
      <c r="AG22" s="247"/>
      <c r="AH22" s="247"/>
      <c r="AI22" s="247"/>
      <c r="AJ22" s="146" t="s">
        <v>704</v>
      </c>
      <c r="AK22" s="146" t="s">
        <v>52</v>
      </c>
      <c r="AL22" s="62" t="s">
        <v>688</v>
      </c>
      <c r="AM22" s="62" t="s">
        <v>817</v>
      </c>
      <c r="AN22" s="247"/>
      <c r="AO22" s="168"/>
      <c r="AP22" s="329" t="s">
        <v>828</v>
      </c>
      <c r="AQ22" s="244" t="s">
        <v>772</v>
      </c>
      <c r="AR22" s="329" t="s">
        <v>829</v>
      </c>
      <c r="AS22" s="244" t="s">
        <v>772</v>
      </c>
    </row>
    <row r="23" spans="1:46" s="143" customFormat="1" ht="12.75">
      <c r="A23" s="168" t="s">
        <v>484</v>
      </c>
      <c r="B23" s="168" t="s">
        <v>814</v>
      </c>
      <c r="C23" s="168" t="s">
        <v>814</v>
      </c>
      <c r="D23" s="62" t="s">
        <v>814</v>
      </c>
      <c r="E23" s="168" t="s">
        <v>830</v>
      </c>
      <c r="F23" s="146" t="s">
        <v>533</v>
      </c>
      <c r="G23" s="146" t="s">
        <v>1088</v>
      </c>
      <c r="H23" s="47" t="s">
        <v>1072</v>
      </c>
      <c r="I23" s="47" t="s">
        <v>1072</v>
      </c>
      <c r="J23" s="272" t="s">
        <v>1073</v>
      </c>
      <c r="K23" s="272" t="s">
        <v>1073</v>
      </c>
      <c r="L23" s="146" t="s">
        <v>51</v>
      </c>
      <c r="M23" s="62" t="s">
        <v>817</v>
      </c>
      <c r="N23" s="168" t="s">
        <v>764</v>
      </c>
      <c r="O23" s="146" t="s">
        <v>113</v>
      </c>
      <c r="P23" s="168" t="s">
        <v>114</v>
      </c>
      <c r="Q23" s="168" t="s">
        <v>846</v>
      </c>
      <c r="R23" s="146" t="s">
        <v>60</v>
      </c>
      <c r="S23" s="168" t="s">
        <v>819</v>
      </c>
      <c r="T23" s="166" t="s">
        <v>499</v>
      </c>
      <c r="U23" s="168" t="s">
        <v>852</v>
      </c>
      <c r="V23" s="168" t="s">
        <v>836</v>
      </c>
      <c r="W23" s="168" t="s">
        <v>853</v>
      </c>
      <c r="X23" s="168" t="s">
        <v>720</v>
      </c>
      <c r="Y23" s="246"/>
      <c r="Z23" s="146" t="s">
        <v>854</v>
      </c>
      <c r="AA23" s="166" t="s">
        <v>833</v>
      </c>
      <c r="AB23" s="168" t="s">
        <v>855</v>
      </c>
      <c r="AC23" s="168" t="s">
        <v>834</v>
      </c>
      <c r="AD23" s="248" t="s">
        <v>856</v>
      </c>
      <c r="AE23" s="247"/>
      <c r="AF23" s="247"/>
      <c r="AG23" s="247"/>
      <c r="AH23" s="247"/>
      <c r="AI23" s="247"/>
      <c r="AJ23" s="146" t="s">
        <v>703</v>
      </c>
      <c r="AK23" s="146" t="s">
        <v>52</v>
      </c>
      <c r="AL23" s="62" t="s">
        <v>688</v>
      </c>
      <c r="AM23" s="62" t="s">
        <v>786</v>
      </c>
      <c r="AN23" s="247"/>
      <c r="AO23" s="168"/>
      <c r="AP23" s="330"/>
      <c r="AQ23" s="244" t="s">
        <v>770</v>
      </c>
      <c r="AR23" s="330"/>
      <c r="AS23" s="244" t="s">
        <v>770</v>
      </c>
    </row>
    <row r="24" spans="1:46" s="143" customFormat="1" ht="12.75">
      <c r="A24" s="168" t="s">
        <v>484</v>
      </c>
      <c r="B24" s="168" t="s">
        <v>838</v>
      </c>
      <c r="C24" s="168" t="s">
        <v>838</v>
      </c>
      <c r="D24" s="62" t="s">
        <v>838</v>
      </c>
      <c r="E24" s="168" t="s">
        <v>48</v>
      </c>
      <c r="F24" s="146" t="s">
        <v>488</v>
      </c>
      <c r="G24" s="146" t="s">
        <v>1071</v>
      </c>
      <c r="H24" s="47" t="s">
        <v>1082</v>
      </c>
      <c r="I24" s="47" t="s">
        <v>1072</v>
      </c>
      <c r="J24" s="272" t="s">
        <v>1073</v>
      </c>
      <c r="K24" s="272" t="s">
        <v>1073</v>
      </c>
      <c r="L24" s="146" t="s">
        <v>51</v>
      </c>
      <c r="M24" s="62" t="s">
        <v>786</v>
      </c>
      <c r="N24" s="168" t="s">
        <v>777</v>
      </c>
      <c r="O24" s="146" t="s">
        <v>113</v>
      </c>
      <c r="P24" s="168" t="s">
        <v>114</v>
      </c>
      <c r="Q24" s="168" t="s">
        <v>846</v>
      </c>
      <c r="R24" s="146" t="s">
        <v>487</v>
      </c>
      <c r="S24" s="168" t="s">
        <v>819</v>
      </c>
      <c r="T24" s="166" t="s">
        <v>499</v>
      </c>
      <c r="U24" s="168" t="s">
        <v>857</v>
      </c>
      <c r="V24" s="168" t="s">
        <v>836</v>
      </c>
      <c r="W24" s="168" t="s">
        <v>858</v>
      </c>
      <c r="X24" s="168" t="s">
        <v>720</v>
      </c>
      <c r="Y24" s="246"/>
      <c r="Z24" s="168" t="s">
        <v>859</v>
      </c>
      <c r="AA24" s="166" t="s">
        <v>51</v>
      </c>
      <c r="AB24" s="168" t="s">
        <v>855</v>
      </c>
      <c r="AC24" s="168" t="s">
        <v>834</v>
      </c>
      <c r="AD24" s="168"/>
      <c r="AE24" s="247"/>
      <c r="AF24" s="247"/>
      <c r="AG24" s="247"/>
      <c r="AH24" s="247"/>
      <c r="AI24" s="247"/>
      <c r="AJ24" s="146" t="s">
        <v>702</v>
      </c>
      <c r="AK24" s="146" t="s">
        <v>52</v>
      </c>
      <c r="AL24" s="62" t="s">
        <v>688</v>
      </c>
      <c r="AM24" s="62" t="s">
        <v>786</v>
      </c>
      <c r="AN24" s="247"/>
      <c r="AO24" s="168"/>
      <c r="AP24" s="331"/>
      <c r="AQ24" s="244" t="s">
        <v>770</v>
      </c>
      <c r="AR24" s="331"/>
      <c r="AS24" s="244" t="s">
        <v>770</v>
      </c>
    </row>
    <row r="25" spans="1:46" s="34" customFormat="1">
      <c r="A25" s="315" t="s">
        <v>860</v>
      </c>
      <c r="B25" s="316"/>
      <c r="C25" s="316"/>
      <c r="D25" s="316"/>
      <c r="E25" s="316"/>
      <c r="F25" s="316"/>
      <c r="G25" s="253"/>
      <c r="H25" s="253"/>
      <c r="I25" s="253"/>
      <c r="J25" s="253"/>
      <c r="K25" s="253"/>
      <c r="L25" s="251"/>
      <c r="M25" s="251"/>
      <c r="N25" s="251"/>
      <c r="O25" s="251"/>
      <c r="P25" s="251"/>
      <c r="Q25" s="252"/>
      <c r="R25" s="39"/>
      <c r="S25" s="39"/>
      <c r="T25" s="38"/>
      <c r="U25" s="39"/>
      <c r="V25" s="38"/>
      <c r="W25" s="38"/>
      <c r="X25" s="39"/>
      <c r="Y25" s="249"/>
      <c r="Z25" s="159"/>
      <c r="AA25" s="37"/>
      <c r="AB25" s="37"/>
      <c r="AC25" s="37"/>
      <c r="AD25" s="37"/>
      <c r="AE25" s="37"/>
      <c r="AF25" s="37"/>
      <c r="AG25" s="37"/>
      <c r="AH25" s="37"/>
      <c r="AI25" s="37"/>
      <c r="AJ25" s="37"/>
      <c r="AK25" s="37"/>
      <c r="AL25" s="37"/>
      <c r="AM25" s="37"/>
      <c r="AN25" s="37"/>
      <c r="AO25" s="250"/>
      <c r="AP25" s="250"/>
      <c r="AQ25" s="250"/>
      <c r="AR25" s="250"/>
      <c r="AS25" s="250"/>
    </row>
    <row r="26" spans="1:46" s="47" customFormat="1" ht="12.75">
      <c r="A26" s="146" t="s">
        <v>775</v>
      </c>
      <c r="B26" s="62" t="s">
        <v>838</v>
      </c>
      <c r="C26" s="62" t="s">
        <v>838</v>
      </c>
      <c r="D26" s="62" t="s">
        <v>838</v>
      </c>
      <c r="E26" s="168" t="s">
        <v>48</v>
      </c>
      <c r="F26" s="146" t="s">
        <v>861</v>
      </c>
      <c r="G26" s="146" t="s">
        <v>1071</v>
      </c>
      <c r="H26" s="47" t="s">
        <v>1072</v>
      </c>
      <c r="I26" s="47" t="s">
        <v>1072</v>
      </c>
      <c r="J26" s="272" t="s">
        <v>1073</v>
      </c>
      <c r="K26" s="272" t="s">
        <v>1073</v>
      </c>
      <c r="L26" s="62" t="s">
        <v>51</v>
      </c>
      <c r="M26" s="62" t="s">
        <v>721</v>
      </c>
      <c r="N26" s="62" t="s">
        <v>777</v>
      </c>
      <c r="O26" s="62" t="s">
        <v>113</v>
      </c>
      <c r="P26" s="62" t="s">
        <v>114</v>
      </c>
      <c r="Q26" s="216" t="s">
        <v>177</v>
      </c>
      <c r="R26" s="146" t="s">
        <v>862</v>
      </c>
      <c r="S26" s="62" t="s">
        <v>46</v>
      </c>
      <c r="T26" s="166" t="s">
        <v>499</v>
      </c>
      <c r="U26" s="62" t="str">
        <f>LOWER(F26)</f>
        <v>uart0_txd</v>
      </c>
      <c r="V26" s="62" t="s">
        <v>52</v>
      </c>
      <c r="W26" s="62" t="s">
        <v>863</v>
      </c>
      <c r="X26" s="62" t="s">
        <v>864</v>
      </c>
      <c r="Y26" s="62" t="s">
        <v>865</v>
      </c>
      <c r="Z26" s="62" t="s">
        <v>866</v>
      </c>
      <c r="AA26" s="62" t="s">
        <v>51</v>
      </c>
      <c r="AB26" s="62" t="s">
        <v>867</v>
      </c>
      <c r="AC26" s="62" t="s">
        <v>720</v>
      </c>
      <c r="AD26" s="62"/>
      <c r="AE26" s="62"/>
      <c r="AF26" s="62"/>
      <c r="AG26" s="62"/>
      <c r="AH26" s="62"/>
      <c r="AI26" s="62"/>
      <c r="AJ26" s="146" t="s">
        <v>705</v>
      </c>
      <c r="AK26" s="146" t="s">
        <v>52</v>
      </c>
      <c r="AL26" s="62" t="s">
        <v>688</v>
      </c>
      <c r="AM26" s="62" t="s">
        <v>817</v>
      </c>
      <c r="AN26" s="62"/>
      <c r="AO26" s="62"/>
      <c r="AP26" s="335" t="s">
        <v>868</v>
      </c>
      <c r="AQ26" s="244" t="s">
        <v>772</v>
      </c>
      <c r="AR26" s="335" t="s">
        <v>829</v>
      </c>
      <c r="AS26" s="244" t="s">
        <v>772</v>
      </c>
    </row>
    <row r="27" spans="1:46" s="47" customFormat="1" ht="12.75">
      <c r="A27" s="146" t="s">
        <v>762</v>
      </c>
      <c r="B27" s="62" t="s">
        <v>814</v>
      </c>
      <c r="C27" s="62" t="s">
        <v>814</v>
      </c>
      <c r="D27" s="62" t="s">
        <v>814</v>
      </c>
      <c r="E27" s="168" t="s">
        <v>48</v>
      </c>
      <c r="F27" s="146" t="s">
        <v>869</v>
      </c>
      <c r="G27" s="146" t="s">
        <v>1071</v>
      </c>
      <c r="H27" s="47" t="s">
        <v>1072</v>
      </c>
      <c r="I27" s="47" t="s">
        <v>1072</v>
      </c>
      <c r="J27" s="272" t="s">
        <v>1073</v>
      </c>
      <c r="K27" s="272" t="s">
        <v>1073</v>
      </c>
      <c r="L27" s="62" t="s">
        <v>51</v>
      </c>
      <c r="M27" s="62" t="s">
        <v>721</v>
      </c>
      <c r="N27" s="62" t="s">
        <v>764</v>
      </c>
      <c r="O27" s="62" t="s">
        <v>113</v>
      </c>
      <c r="P27" s="62" t="s">
        <v>114</v>
      </c>
      <c r="Q27" s="62" t="s">
        <v>85</v>
      </c>
      <c r="R27" s="146" t="s">
        <v>61</v>
      </c>
      <c r="S27" s="62" t="s">
        <v>46</v>
      </c>
      <c r="T27" s="166" t="s">
        <v>499</v>
      </c>
      <c r="U27" s="62" t="str">
        <f>LOWER(F27)</f>
        <v>uart0_rxd</v>
      </c>
      <c r="V27" s="62" t="s">
        <v>53</v>
      </c>
      <c r="W27" s="62" t="s">
        <v>863</v>
      </c>
      <c r="X27" s="62" t="s">
        <v>864</v>
      </c>
      <c r="Y27" s="62" t="s">
        <v>870</v>
      </c>
      <c r="Z27" s="62" t="s">
        <v>871</v>
      </c>
      <c r="AA27" s="62" t="s">
        <v>51</v>
      </c>
      <c r="AB27" s="62" t="s">
        <v>872</v>
      </c>
      <c r="AC27" s="62" t="s">
        <v>720</v>
      </c>
      <c r="AD27" s="62"/>
      <c r="AE27" s="62"/>
      <c r="AF27" s="62"/>
      <c r="AG27" s="62"/>
      <c r="AH27" s="62"/>
      <c r="AI27" s="62"/>
      <c r="AJ27" s="62" t="s">
        <v>632</v>
      </c>
      <c r="AK27" s="62" t="s">
        <v>53</v>
      </c>
      <c r="AL27" s="62" t="s">
        <v>688</v>
      </c>
      <c r="AM27" s="62" t="s">
        <v>817</v>
      </c>
      <c r="AN27" s="62"/>
      <c r="AO27" s="62"/>
      <c r="AP27" s="336"/>
      <c r="AQ27" s="244" t="s">
        <v>772</v>
      </c>
      <c r="AR27" s="336"/>
      <c r="AS27" s="244" t="s">
        <v>772</v>
      </c>
    </row>
    <row r="28" spans="1:46" s="213" customFormat="1">
      <c r="A28" s="240" t="s">
        <v>873</v>
      </c>
      <c r="B28" s="241"/>
      <c r="C28" s="241"/>
      <c r="D28" s="241"/>
      <c r="E28" s="241"/>
      <c r="F28" s="241"/>
      <c r="G28" s="253"/>
      <c r="H28" s="253"/>
      <c r="I28" s="253"/>
      <c r="J28" s="253"/>
      <c r="K28" s="253"/>
      <c r="L28" s="39"/>
      <c r="M28" s="39"/>
      <c r="N28" s="39"/>
      <c r="O28" s="39"/>
      <c r="P28" s="39"/>
      <c r="Q28" s="39"/>
      <c r="R28" s="39"/>
      <c r="S28" s="39"/>
      <c r="T28" s="37"/>
      <c r="U28" s="37"/>
      <c r="V28" s="37"/>
      <c r="W28" s="37"/>
      <c r="X28" s="37"/>
      <c r="Y28" s="37"/>
      <c r="Z28" s="37"/>
      <c r="AA28" s="37"/>
      <c r="AB28" s="37"/>
      <c r="AC28" s="37"/>
      <c r="AD28" s="37"/>
      <c r="AE28" s="37"/>
      <c r="AF28" s="37"/>
      <c r="AG28" s="37"/>
      <c r="AH28" s="37"/>
      <c r="AI28" s="37"/>
      <c r="AJ28" s="37"/>
      <c r="AK28" s="37"/>
      <c r="AL28" s="37"/>
      <c r="AM28" s="37"/>
      <c r="AN28" s="37"/>
      <c r="AO28" s="37"/>
      <c r="AP28" s="37" t="s">
        <v>874</v>
      </c>
      <c r="AQ28" s="37"/>
      <c r="AR28" s="37"/>
      <c r="AS28" s="37"/>
      <c r="AT28" s="37"/>
    </row>
    <row r="29" spans="1:46" s="47" customFormat="1" ht="12.75">
      <c r="A29" s="146" t="s">
        <v>484</v>
      </c>
      <c r="B29" s="62" t="s">
        <v>56</v>
      </c>
      <c r="C29" s="62" t="s">
        <v>56</v>
      </c>
      <c r="D29" s="62" t="s">
        <v>56</v>
      </c>
      <c r="E29" s="62" t="s">
        <v>49</v>
      </c>
      <c r="F29" s="146" t="s">
        <v>875</v>
      </c>
      <c r="G29" s="146" t="s">
        <v>1071</v>
      </c>
      <c r="H29" s="47" t="s">
        <v>1072</v>
      </c>
      <c r="I29" s="47" t="s">
        <v>1072</v>
      </c>
      <c r="J29" s="272" t="s">
        <v>1073</v>
      </c>
      <c r="K29" s="272" t="s">
        <v>1073</v>
      </c>
      <c r="L29" s="144" t="s">
        <v>826</v>
      </c>
      <c r="M29" s="62" t="s">
        <v>721</v>
      </c>
      <c r="N29" s="62" t="s">
        <v>483</v>
      </c>
      <c r="O29" s="62" t="s">
        <v>113</v>
      </c>
      <c r="P29" s="62" t="s">
        <v>114</v>
      </c>
      <c r="Q29" s="62" t="s">
        <v>83</v>
      </c>
      <c r="R29" s="146" t="s">
        <v>62</v>
      </c>
      <c r="S29" s="62" t="s">
        <v>819</v>
      </c>
      <c r="T29" s="166" t="s">
        <v>499</v>
      </c>
      <c r="U29" s="62" t="s">
        <v>876</v>
      </c>
      <c r="V29" s="62" t="s">
        <v>836</v>
      </c>
      <c r="W29" s="62" t="s">
        <v>877</v>
      </c>
      <c r="X29" s="62" t="s">
        <v>720</v>
      </c>
      <c r="Y29" s="145"/>
      <c r="Z29" s="62" t="s">
        <v>878</v>
      </c>
      <c r="AA29" s="168" t="s">
        <v>52</v>
      </c>
      <c r="AB29" s="168" t="s">
        <v>879</v>
      </c>
      <c r="AC29" s="62" t="s">
        <v>723</v>
      </c>
      <c r="AD29" s="218"/>
      <c r="AE29" s="62"/>
      <c r="AF29" s="62"/>
      <c r="AG29" s="62"/>
      <c r="AH29" s="62"/>
      <c r="AI29" s="62"/>
      <c r="AJ29" s="62" t="s">
        <v>880</v>
      </c>
      <c r="AK29" s="62" t="s">
        <v>53</v>
      </c>
      <c r="AL29" s="62" t="s">
        <v>688</v>
      </c>
      <c r="AM29" s="62" t="s">
        <v>786</v>
      </c>
      <c r="AN29" s="62"/>
      <c r="AO29" s="62"/>
      <c r="AP29" s="335" t="s">
        <v>881</v>
      </c>
      <c r="AQ29" s="244" t="s">
        <v>770</v>
      </c>
      <c r="AR29" s="335" t="s">
        <v>771</v>
      </c>
      <c r="AS29" s="244" t="s">
        <v>770</v>
      </c>
    </row>
    <row r="30" spans="1:46" s="47" customFormat="1" ht="12.75">
      <c r="A30" s="146" t="s">
        <v>484</v>
      </c>
      <c r="B30" s="62" t="s">
        <v>56</v>
      </c>
      <c r="C30" s="62" t="s">
        <v>56</v>
      </c>
      <c r="D30" s="62" t="s">
        <v>56</v>
      </c>
      <c r="E30" s="62" t="s">
        <v>49</v>
      </c>
      <c r="F30" s="146" t="s">
        <v>516</v>
      </c>
      <c r="G30" s="146" t="s">
        <v>1071</v>
      </c>
      <c r="H30" s="47" t="s">
        <v>1081</v>
      </c>
      <c r="I30" s="47" t="s">
        <v>1072</v>
      </c>
      <c r="J30" s="272" t="s">
        <v>1073</v>
      </c>
      <c r="K30" s="272" t="s">
        <v>1073</v>
      </c>
      <c r="L30" s="144" t="s">
        <v>836</v>
      </c>
      <c r="M30" s="62" t="s">
        <v>721</v>
      </c>
      <c r="N30" s="62" t="s">
        <v>483</v>
      </c>
      <c r="O30" s="62" t="s">
        <v>113</v>
      </c>
      <c r="P30" s="62" t="s">
        <v>114</v>
      </c>
      <c r="Q30" s="62" t="s">
        <v>83</v>
      </c>
      <c r="R30" s="146" t="s">
        <v>104</v>
      </c>
      <c r="S30" s="62" t="s">
        <v>819</v>
      </c>
      <c r="T30" s="166" t="s">
        <v>499</v>
      </c>
      <c r="U30" s="62" t="s">
        <v>524</v>
      </c>
      <c r="V30" s="62" t="s">
        <v>836</v>
      </c>
      <c r="W30" s="62" t="s">
        <v>882</v>
      </c>
      <c r="X30" s="62" t="s">
        <v>720</v>
      </c>
      <c r="Y30" s="145"/>
      <c r="Z30" s="62" t="s">
        <v>883</v>
      </c>
      <c r="AA30" s="168" t="s">
        <v>51</v>
      </c>
      <c r="AB30" s="168" t="s">
        <v>879</v>
      </c>
      <c r="AC30" s="62" t="s">
        <v>723</v>
      </c>
      <c r="AD30" s="219"/>
      <c r="AE30" s="62"/>
      <c r="AF30" s="62"/>
      <c r="AG30" s="62"/>
      <c r="AH30" s="62"/>
      <c r="AI30" s="62"/>
      <c r="AJ30" s="62" t="s">
        <v>884</v>
      </c>
      <c r="AK30" s="62" t="s">
        <v>53</v>
      </c>
      <c r="AL30" s="62" t="s">
        <v>688</v>
      </c>
      <c r="AM30" s="62" t="s">
        <v>786</v>
      </c>
      <c r="AN30" s="62"/>
      <c r="AO30" s="62"/>
      <c r="AP30" s="337"/>
      <c r="AQ30" s="244" t="s">
        <v>770</v>
      </c>
      <c r="AR30" s="337"/>
      <c r="AS30" s="244" t="s">
        <v>770</v>
      </c>
    </row>
    <row r="31" spans="1:46" s="47" customFormat="1" ht="12.75">
      <c r="A31" s="146" t="s">
        <v>484</v>
      </c>
      <c r="B31" s="62" t="s">
        <v>56</v>
      </c>
      <c r="C31" s="62" t="s">
        <v>56</v>
      </c>
      <c r="D31" s="62" t="s">
        <v>56</v>
      </c>
      <c r="E31" s="62" t="s">
        <v>839</v>
      </c>
      <c r="F31" s="146" t="s">
        <v>517</v>
      </c>
      <c r="G31" s="146" t="s">
        <v>1071</v>
      </c>
      <c r="H31" s="47" t="s">
        <v>1082</v>
      </c>
      <c r="I31" s="47" t="s">
        <v>1072</v>
      </c>
      <c r="J31" s="272" t="s">
        <v>1073</v>
      </c>
      <c r="K31" s="272" t="s">
        <v>1073</v>
      </c>
      <c r="L31" s="144" t="s">
        <v>836</v>
      </c>
      <c r="M31" s="62" t="s">
        <v>720</v>
      </c>
      <c r="N31" s="62" t="s">
        <v>483</v>
      </c>
      <c r="O31" s="62" t="s">
        <v>113</v>
      </c>
      <c r="P31" s="62" t="s">
        <v>114</v>
      </c>
      <c r="Q31" s="62" t="s">
        <v>83</v>
      </c>
      <c r="R31" s="146" t="s">
        <v>63</v>
      </c>
      <c r="S31" s="62" t="s">
        <v>819</v>
      </c>
      <c r="T31" s="166" t="s">
        <v>499</v>
      </c>
      <c r="U31" s="62" t="s">
        <v>525</v>
      </c>
      <c r="V31" s="62" t="s">
        <v>836</v>
      </c>
      <c r="W31" s="62" t="s">
        <v>885</v>
      </c>
      <c r="X31" s="62" t="s">
        <v>720</v>
      </c>
      <c r="Y31" s="145"/>
      <c r="Z31" s="144"/>
      <c r="AA31" s="146"/>
      <c r="AB31" s="168"/>
      <c r="AC31" s="144"/>
      <c r="AD31" s="219"/>
      <c r="AE31" s="62"/>
      <c r="AF31" s="62"/>
      <c r="AG31" s="62"/>
      <c r="AH31" s="62"/>
      <c r="AI31" s="62"/>
      <c r="AJ31" s="62" t="s">
        <v>886</v>
      </c>
      <c r="AK31" s="146" t="s">
        <v>53</v>
      </c>
      <c r="AL31" s="62" t="s">
        <v>688</v>
      </c>
      <c r="AM31" s="62" t="s">
        <v>781</v>
      </c>
      <c r="AN31" s="62"/>
      <c r="AO31" s="62"/>
      <c r="AP31" s="337"/>
      <c r="AQ31" s="244" t="s">
        <v>770</v>
      </c>
      <c r="AR31" s="337"/>
      <c r="AS31" s="244" t="s">
        <v>770</v>
      </c>
    </row>
    <row r="32" spans="1:46" s="47" customFormat="1" ht="12.75">
      <c r="A32" s="146" t="s">
        <v>484</v>
      </c>
      <c r="B32" s="62" t="s">
        <v>56</v>
      </c>
      <c r="C32" s="62" t="s">
        <v>56</v>
      </c>
      <c r="D32" s="62" t="s">
        <v>56</v>
      </c>
      <c r="E32" s="62" t="s">
        <v>839</v>
      </c>
      <c r="F32" s="146" t="s">
        <v>518</v>
      </c>
      <c r="G32" s="146" t="s">
        <v>1071</v>
      </c>
      <c r="H32" s="47" t="s">
        <v>1081</v>
      </c>
      <c r="I32" s="47" t="s">
        <v>1072</v>
      </c>
      <c r="J32" s="272" t="s">
        <v>1073</v>
      </c>
      <c r="K32" s="272" t="s">
        <v>1073</v>
      </c>
      <c r="L32" s="144" t="s">
        <v>836</v>
      </c>
      <c r="M32" s="62" t="s">
        <v>720</v>
      </c>
      <c r="N32" s="62" t="s">
        <v>483</v>
      </c>
      <c r="O32" s="62" t="s">
        <v>113</v>
      </c>
      <c r="P32" s="62" t="s">
        <v>114</v>
      </c>
      <c r="Q32" s="62" t="s">
        <v>83</v>
      </c>
      <c r="R32" s="146" t="s">
        <v>64</v>
      </c>
      <c r="S32" s="62" t="s">
        <v>819</v>
      </c>
      <c r="T32" s="166" t="s">
        <v>499</v>
      </c>
      <c r="U32" s="62" t="s">
        <v>526</v>
      </c>
      <c r="V32" s="62" t="s">
        <v>836</v>
      </c>
      <c r="W32" s="62" t="s">
        <v>887</v>
      </c>
      <c r="X32" s="62" t="s">
        <v>720</v>
      </c>
      <c r="Y32" s="145"/>
      <c r="Z32" s="220"/>
      <c r="AA32" s="146"/>
      <c r="AB32" s="168"/>
      <c r="AC32" s="144"/>
      <c r="AD32" s="221"/>
      <c r="AE32" s="62"/>
      <c r="AF32" s="62"/>
      <c r="AG32" s="62"/>
      <c r="AH32" s="62"/>
      <c r="AI32" s="62"/>
      <c r="AJ32" s="62" t="s">
        <v>707</v>
      </c>
      <c r="AK32" s="146" t="s">
        <v>53</v>
      </c>
      <c r="AL32" s="62" t="s">
        <v>688</v>
      </c>
      <c r="AM32" s="62" t="s">
        <v>781</v>
      </c>
      <c r="AN32" s="62"/>
      <c r="AO32" s="62"/>
      <c r="AP32" s="337"/>
      <c r="AQ32" s="244" t="s">
        <v>770</v>
      </c>
      <c r="AR32" s="337"/>
      <c r="AS32" s="244" t="s">
        <v>770</v>
      </c>
    </row>
    <row r="33" spans="1:124" s="47" customFormat="1" ht="12.75">
      <c r="A33" s="146" t="s">
        <v>775</v>
      </c>
      <c r="B33" s="62" t="s">
        <v>56</v>
      </c>
      <c r="C33" s="62" t="s">
        <v>56</v>
      </c>
      <c r="D33" s="62" t="s">
        <v>56</v>
      </c>
      <c r="E33" s="62" t="s">
        <v>48</v>
      </c>
      <c r="F33" s="146" t="s">
        <v>519</v>
      </c>
      <c r="G33" s="146" t="s">
        <v>1071</v>
      </c>
      <c r="H33" s="47" t="s">
        <v>1081</v>
      </c>
      <c r="I33" s="47" t="s">
        <v>1072</v>
      </c>
      <c r="J33" s="272" t="s">
        <v>1073</v>
      </c>
      <c r="K33" s="272" t="s">
        <v>1073</v>
      </c>
      <c r="L33" s="144" t="s">
        <v>836</v>
      </c>
      <c r="M33" s="62" t="s">
        <v>720</v>
      </c>
      <c r="N33" s="62" t="s">
        <v>483</v>
      </c>
      <c r="O33" s="62" t="s">
        <v>113</v>
      </c>
      <c r="P33" s="62" t="s">
        <v>114</v>
      </c>
      <c r="Q33" s="62" t="s">
        <v>83</v>
      </c>
      <c r="R33" s="146" t="s">
        <v>105</v>
      </c>
      <c r="S33" s="62" t="s">
        <v>819</v>
      </c>
      <c r="T33" s="166" t="s">
        <v>499</v>
      </c>
      <c r="U33" s="62" t="s">
        <v>527</v>
      </c>
      <c r="V33" s="62" t="s">
        <v>836</v>
      </c>
      <c r="W33" s="62" t="s">
        <v>888</v>
      </c>
      <c r="X33" s="62" t="s">
        <v>720</v>
      </c>
      <c r="Y33" s="145"/>
      <c r="Z33" s="62"/>
      <c r="AA33" s="62"/>
      <c r="AB33" s="62"/>
      <c r="AC33" s="62"/>
      <c r="AD33" s="62"/>
      <c r="AE33" s="62"/>
      <c r="AF33" s="62"/>
      <c r="AG33" s="62"/>
      <c r="AH33" s="62"/>
      <c r="AI33" s="62"/>
      <c r="AJ33" s="62" t="s">
        <v>706</v>
      </c>
      <c r="AK33" s="146" t="s">
        <v>53</v>
      </c>
      <c r="AL33" s="62" t="s">
        <v>688</v>
      </c>
      <c r="AM33" s="62" t="s">
        <v>781</v>
      </c>
      <c r="AN33" s="62"/>
      <c r="AO33" s="62"/>
      <c r="AP33" s="336"/>
      <c r="AQ33" s="244" t="s">
        <v>770</v>
      </c>
      <c r="AR33" s="336"/>
      <c r="AS33" s="244" t="s">
        <v>770</v>
      </c>
    </row>
    <row r="34" spans="1:124" s="213" customFormat="1">
      <c r="A34" s="240" t="s">
        <v>889</v>
      </c>
      <c r="B34" s="241"/>
      <c r="C34" s="241"/>
      <c r="D34" s="241"/>
      <c r="E34" s="241"/>
      <c r="F34" s="241"/>
      <c r="G34" s="253"/>
      <c r="H34" s="253"/>
      <c r="I34" s="253"/>
      <c r="J34" s="253"/>
      <c r="K34" s="253"/>
      <c r="L34" s="39"/>
      <c r="M34" s="39"/>
      <c r="N34" s="39"/>
      <c r="O34" s="39"/>
      <c r="P34" s="39"/>
      <c r="Q34" s="39"/>
      <c r="R34" s="39"/>
      <c r="S34" s="39"/>
      <c r="T34" s="37"/>
      <c r="U34" s="37"/>
      <c r="V34" s="37"/>
      <c r="W34" s="37"/>
      <c r="X34" s="37"/>
      <c r="Y34" s="37"/>
      <c r="Z34" s="37"/>
      <c r="AA34" s="37"/>
      <c r="AB34" s="37"/>
      <c r="AC34" s="37"/>
      <c r="AD34" s="37"/>
      <c r="AE34" s="37"/>
      <c r="AF34" s="37"/>
      <c r="AG34" s="37"/>
      <c r="AH34" s="37"/>
      <c r="AI34" s="37"/>
      <c r="AJ34" s="37"/>
      <c r="AK34" s="37"/>
      <c r="AL34" s="37"/>
      <c r="AM34" s="37"/>
      <c r="AN34" s="37"/>
      <c r="AO34" s="37"/>
      <c r="AP34" s="37"/>
      <c r="AQ34" s="37"/>
      <c r="AR34" s="37"/>
      <c r="AS34" s="37"/>
      <c r="AT34" s="37"/>
    </row>
    <row r="35" spans="1:124" s="62" customFormat="1" ht="12.75">
      <c r="A35" s="146" t="s">
        <v>762</v>
      </c>
      <c r="B35" s="62" t="s">
        <v>56</v>
      </c>
      <c r="C35" s="62" t="s">
        <v>56</v>
      </c>
      <c r="D35" s="62" t="s">
        <v>56</v>
      </c>
      <c r="E35" s="62" t="s">
        <v>49</v>
      </c>
      <c r="F35" s="146" t="s">
        <v>890</v>
      </c>
      <c r="G35" s="146" t="s">
        <v>1089</v>
      </c>
      <c r="H35" s="47" t="s">
        <v>1081</v>
      </c>
      <c r="I35" s="47" t="s">
        <v>1072</v>
      </c>
      <c r="J35" s="272" t="s">
        <v>1073</v>
      </c>
      <c r="K35" s="272" t="s">
        <v>1073</v>
      </c>
      <c r="L35" s="144" t="s">
        <v>826</v>
      </c>
      <c r="M35" s="62" t="s">
        <v>722</v>
      </c>
      <c r="N35" s="62" t="s">
        <v>483</v>
      </c>
      <c r="O35" s="62" t="s">
        <v>113</v>
      </c>
      <c r="P35" s="62" t="s">
        <v>114</v>
      </c>
      <c r="Q35" s="62" t="s">
        <v>83</v>
      </c>
      <c r="R35" s="146" t="s">
        <v>891</v>
      </c>
      <c r="S35" s="62" t="s">
        <v>819</v>
      </c>
      <c r="T35" s="166" t="s">
        <v>499</v>
      </c>
      <c r="U35" s="62" t="s">
        <v>528</v>
      </c>
      <c r="V35" s="62" t="s">
        <v>836</v>
      </c>
      <c r="W35" s="62" t="s">
        <v>892</v>
      </c>
      <c r="X35" s="62" t="s">
        <v>720</v>
      </c>
      <c r="Y35" s="145"/>
      <c r="Z35" s="62" t="s">
        <v>893</v>
      </c>
      <c r="AA35" s="146" t="s">
        <v>52</v>
      </c>
      <c r="AB35" s="62" t="s">
        <v>652</v>
      </c>
      <c r="AC35" s="62" t="s">
        <v>722</v>
      </c>
      <c r="AE35" s="62" t="s">
        <v>894</v>
      </c>
      <c r="AF35" s="146" t="s">
        <v>53</v>
      </c>
      <c r="AG35" s="146" t="s">
        <v>654</v>
      </c>
      <c r="AH35" s="146" t="s">
        <v>722</v>
      </c>
      <c r="AI35" s="62" t="s">
        <v>895</v>
      </c>
      <c r="AJ35" s="62" t="s">
        <v>626</v>
      </c>
      <c r="AK35" s="62" t="s">
        <v>53</v>
      </c>
      <c r="AL35" s="62" t="s">
        <v>688</v>
      </c>
      <c r="AM35" s="62" t="s">
        <v>786</v>
      </c>
      <c r="AN35" s="248"/>
      <c r="AP35" s="335" t="s">
        <v>896</v>
      </c>
      <c r="AQ35" s="244" t="s">
        <v>770</v>
      </c>
      <c r="AR35" s="335" t="s">
        <v>771</v>
      </c>
      <c r="AS35" s="244" t="s">
        <v>770</v>
      </c>
    </row>
    <row r="36" spans="1:124" s="47" customFormat="1" ht="12.75">
      <c r="A36" s="146" t="s">
        <v>775</v>
      </c>
      <c r="B36" s="62" t="s">
        <v>56</v>
      </c>
      <c r="C36" s="62" t="s">
        <v>56</v>
      </c>
      <c r="D36" s="62" t="s">
        <v>56</v>
      </c>
      <c r="E36" s="62" t="s">
        <v>839</v>
      </c>
      <c r="F36" s="146" t="s">
        <v>520</v>
      </c>
      <c r="G36" s="146" t="s">
        <v>1090</v>
      </c>
      <c r="H36" s="47" t="s">
        <v>1082</v>
      </c>
      <c r="I36" s="47" t="s">
        <v>1072</v>
      </c>
      <c r="J36" s="272" t="s">
        <v>1073</v>
      </c>
      <c r="K36" s="272" t="s">
        <v>1073</v>
      </c>
      <c r="L36" s="144" t="s">
        <v>836</v>
      </c>
      <c r="M36" s="62" t="s">
        <v>722</v>
      </c>
      <c r="N36" s="62" t="s">
        <v>483</v>
      </c>
      <c r="O36" s="62" t="s">
        <v>113</v>
      </c>
      <c r="P36" s="62" t="s">
        <v>114</v>
      </c>
      <c r="Q36" s="62" t="s">
        <v>83</v>
      </c>
      <c r="R36" s="146" t="s">
        <v>106</v>
      </c>
      <c r="S36" s="62" t="s">
        <v>819</v>
      </c>
      <c r="T36" s="166" t="s">
        <v>499</v>
      </c>
      <c r="U36" s="62" t="s">
        <v>492</v>
      </c>
      <c r="V36" s="62" t="s">
        <v>836</v>
      </c>
      <c r="W36" s="62" t="s">
        <v>897</v>
      </c>
      <c r="X36" s="62" t="s">
        <v>720</v>
      </c>
      <c r="Y36" s="145"/>
      <c r="Z36" s="62" t="s">
        <v>898</v>
      </c>
      <c r="AA36" s="146" t="s">
        <v>51</v>
      </c>
      <c r="AB36" s="62" t="s">
        <v>653</v>
      </c>
      <c r="AC36" s="62" t="s">
        <v>722</v>
      </c>
      <c r="AD36" s="62"/>
      <c r="AE36" s="62" t="s">
        <v>899</v>
      </c>
      <c r="AF36" s="146" t="s">
        <v>51</v>
      </c>
      <c r="AG36" s="146" t="s">
        <v>655</v>
      </c>
      <c r="AH36" s="146" t="s">
        <v>722</v>
      </c>
      <c r="AI36" s="62" t="s">
        <v>900</v>
      </c>
      <c r="AJ36" s="62" t="s">
        <v>627</v>
      </c>
      <c r="AK36" s="62" t="s">
        <v>53</v>
      </c>
      <c r="AL36" s="62" t="s">
        <v>688</v>
      </c>
      <c r="AM36" s="62" t="s">
        <v>786</v>
      </c>
      <c r="AN36" s="248"/>
      <c r="AO36" s="62"/>
      <c r="AP36" s="337"/>
      <c r="AQ36" s="244" t="s">
        <v>770</v>
      </c>
      <c r="AR36" s="337"/>
      <c r="AS36" s="244" t="s">
        <v>770</v>
      </c>
    </row>
    <row r="37" spans="1:124" s="47" customFormat="1" ht="12.75">
      <c r="A37" s="146" t="s">
        <v>775</v>
      </c>
      <c r="B37" s="62" t="s">
        <v>56</v>
      </c>
      <c r="C37" s="62" t="s">
        <v>56</v>
      </c>
      <c r="D37" s="62" t="s">
        <v>56</v>
      </c>
      <c r="E37" s="62" t="s">
        <v>48</v>
      </c>
      <c r="F37" s="146" t="s">
        <v>521</v>
      </c>
      <c r="G37" s="146" t="s">
        <v>1091</v>
      </c>
      <c r="H37" s="47" t="s">
        <v>1082</v>
      </c>
      <c r="I37" s="47" t="s">
        <v>1072</v>
      </c>
      <c r="J37" s="272" t="s">
        <v>1073</v>
      </c>
      <c r="K37" s="272" t="s">
        <v>1073</v>
      </c>
      <c r="L37" s="144" t="s">
        <v>836</v>
      </c>
      <c r="M37" s="62" t="s">
        <v>722</v>
      </c>
      <c r="N37" s="62" t="s">
        <v>483</v>
      </c>
      <c r="O37" s="62" t="s">
        <v>113</v>
      </c>
      <c r="P37" s="62" t="s">
        <v>114</v>
      </c>
      <c r="Q37" s="62" t="s">
        <v>83</v>
      </c>
      <c r="R37" s="146" t="s">
        <v>65</v>
      </c>
      <c r="S37" s="62" t="s">
        <v>819</v>
      </c>
      <c r="T37" s="166" t="s">
        <v>499</v>
      </c>
      <c r="U37" s="62" t="s">
        <v>493</v>
      </c>
      <c r="V37" s="62" t="s">
        <v>836</v>
      </c>
      <c r="W37" s="62" t="s">
        <v>901</v>
      </c>
      <c r="X37" s="62" t="s">
        <v>720</v>
      </c>
      <c r="Y37" s="145"/>
      <c r="Z37" s="62" t="s">
        <v>902</v>
      </c>
      <c r="AA37" s="146" t="s">
        <v>51</v>
      </c>
      <c r="AB37" s="62" t="s">
        <v>653</v>
      </c>
      <c r="AC37" s="62" t="s">
        <v>722</v>
      </c>
      <c r="AD37" s="62"/>
      <c r="AE37" s="62" t="s">
        <v>903</v>
      </c>
      <c r="AF37" s="146" t="s">
        <v>51</v>
      </c>
      <c r="AG37" s="146" t="s">
        <v>655</v>
      </c>
      <c r="AH37" s="146" t="s">
        <v>722</v>
      </c>
      <c r="AI37" s="62" t="s">
        <v>904</v>
      </c>
      <c r="AJ37" s="62" t="s">
        <v>628</v>
      </c>
      <c r="AK37" s="62" t="s">
        <v>53</v>
      </c>
      <c r="AL37" s="62" t="s">
        <v>688</v>
      </c>
      <c r="AM37" s="62" t="s">
        <v>786</v>
      </c>
      <c r="AN37" s="248"/>
      <c r="AO37" s="62"/>
      <c r="AP37" s="337"/>
      <c r="AQ37" s="244" t="s">
        <v>770</v>
      </c>
      <c r="AR37" s="337"/>
      <c r="AS37" s="244" t="s">
        <v>770</v>
      </c>
    </row>
    <row r="38" spans="1:124" s="47" customFormat="1" ht="12.75">
      <c r="A38" s="146" t="s">
        <v>775</v>
      </c>
      <c r="B38" s="62" t="s">
        <v>56</v>
      </c>
      <c r="C38" s="62" t="s">
        <v>56</v>
      </c>
      <c r="D38" s="62" t="s">
        <v>56</v>
      </c>
      <c r="E38" s="62" t="s">
        <v>839</v>
      </c>
      <c r="F38" s="146" t="s">
        <v>522</v>
      </c>
      <c r="G38" s="146" t="s">
        <v>512</v>
      </c>
      <c r="H38" s="47" t="s">
        <v>1082</v>
      </c>
      <c r="I38" s="47" t="s">
        <v>1072</v>
      </c>
      <c r="J38" s="272" t="s">
        <v>1073</v>
      </c>
      <c r="K38" s="272" t="s">
        <v>1073</v>
      </c>
      <c r="L38" s="144" t="s">
        <v>836</v>
      </c>
      <c r="M38" s="62" t="s">
        <v>722</v>
      </c>
      <c r="N38" s="62" t="s">
        <v>483</v>
      </c>
      <c r="O38" s="62" t="s">
        <v>113</v>
      </c>
      <c r="P38" s="62" t="s">
        <v>114</v>
      </c>
      <c r="Q38" s="62" t="s">
        <v>83</v>
      </c>
      <c r="R38" s="146" t="s">
        <v>637</v>
      </c>
      <c r="S38" s="62" t="s">
        <v>819</v>
      </c>
      <c r="T38" s="166" t="s">
        <v>499</v>
      </c>
      <c r="U38" s="62" t="s">
        <v>494</v>
      </c>
      <c r="V38" s="62" t="s">
        <v>836</v>
      </c>
      <c r="W38" s="62" t="s">
        <v>905</v>
      </c>
      <c r="X38" s="62" t="s">
        <v>720</v>
      </c>
      <c r="Y38" s="145"/>
      <c r="Z38" s="62" t="s">
        <v>512</v>
      </c>
      <c r="AA38" s="146" t="s">
        <v>51</v>
      </c>
      <c r="AB38" s="62" t="s">
        <v>653</v>
      </c>
      <c r="AC38" s="62" t="s">
        <v>722</v>
      </c>
      <c r="AD38" s="62"/>
      <c r="AE38" s="62" t="s">
        <v>906</v>
      </c>
      <c r="AF38" s="146" t="s">
        <v>51</v>
      </c>
      <c r="AG38" s="146" t="s">
        <v>655</v>
      </c>
      <c r="AH38" s="146" t="s">
        <v>722</v>
      </c>
      <c r="AI38" s="62" t="s">
        <v>907</v>
      </c>
      <c r="AJ38" s="62" t="s">
        <v>629</v>
      </c>
      <c r="AK38" s="62" t="s">
        <v>53</v>
      </c>
      <c r="AL38" s="62" t="s">
        <v>688</v>
      </c>
      <c r="AM38" s="62" t="s">
        <v>817</v>
      </c>
      <c r="AN38" s="248"/>
      <c r="AO38" s="62"/>
      <c r="AP38" s="337"/>
      <c r="AQ38" s="244" t="s">
        <v>772</v>
      </c>
      <c r="AR38" s="337"/>
      <c r="AS38" s="244" t="s">
        <v>772</v>
      </c>
    </row>
    <row r="39" spans="1:124" s="47" customFormat="1" ht="12.75">
      <c r="A39" s="146" t="s">
        <v>762</v>
      </c>
      <c r="B39" s="62" t="s">
        <v>56</v>
      </c>
      <c r="C39" s="62" t="s">
        <v>56</v>
      </c>
      <c r="D39" s="62" t="s">
        <v>56</v>
      </c>
      <c r="E39" s="62" t="s">
        <v>830</v>
      </c>
      <c r="F39" s="146" t="s">
        <v>523</v>
      </c>
      <c r="G39" s="146" t="s">
        <v>513</v>
      </c>
      <c r="H39" s="47" t="s">
        <v>1082</v>
      </c>
      <c r="I39" s="47" t="s">
        <v>1072</v>
      </c>
      <c r="J39" s="272" t="s">
        <v>1073</v>
      </c>
      <c r="K39" s="272" t="s">
        <v>1073</v>
      </c>
      <c r="L39" s="144" t="s">
        <v>826</v>
      </c>
      <c r="M39" s="62" t="s">
        <v>722</v>
      </c>
      <c r="N39" s="62" t="s">
        <v>483</v>
      </c>
      <c r="O39" s="62" t="s">
        <v>113</v>
      </c>
      <c r="P39" s="62" t="s">
        <v>114</v>
      </c>
      <c r="Q39" s="62" t="s">
        <v>83</v>
      </c>
      <c r="R39" s="146" t="s">
        <v>638</v>
      </c>
      <c r="S39" s="62" t="s">
        <v>819</v>
      </c>
      <c r="T39" s="166" t="s">
        <v>499</v>
      </c>
      <c r="U39" s="62" t="s">
        <v>495</v>
      </c>
      <c r="V39" s="62" t="s">
        <v>836</v>
      </c>
      <c r="W39" s="62" t="s">
        <v>908</v>
      </c>
      <c r="X39" s="62" t="s">
        <v>720</v>
      </c>
      <c r="Y39" s="145"/>
      <c r="Z39" s="62" t="s">
        <v>513</v>
      </c>
      <c r="AA39" s="146" t="s">
        <v>51</v>
      </c>
      <c r="AB39" s="62" t="s">
        <v>653</v>
      </c>
      <c r="AC39" s="62" t="s">
        <v>722</v>
      </c>
      <c r="AD39" s="62"/>
      <c r="AE39" s="62" t="s">
        <v>909</v>
      </c>
      <c r="AF39" s="146" t="s">
        <v>51</v>
      </c>
      <c r="AG39" s="146" t="s">
        <v>655</v>
      </c>
      <c r="AH39" s="146" t="s">
        <v>722</v>
      </c>
      <c r="AI39" s="62" t="s">
        <v>910</v>
      </c>
      <c r="AJ39" s="62" t="s">
        <v>630</v>
      </c>
      <c r="AK39" s="62" t="s">
        <v>53</v>
      </c>
      <c r="AL39" s="62" t="s">
        <v>688</v>
      </c>
      <c r="AM39" s="62" t="s">
        <v>786</v>
      </c>
      <c r="AN39" s="248"/>
      <c r="AO39" s="62"/>
      <c r="AP39" s="337"/>
      <c r="AQ39" s="244" t="s">
        <v>770</v>
      </c>
      <c r="AR39" s="337"/>
      <c r="AS39" s="244" t="s">
        <v>770</v>
      </c>
    </row>
    <row r="40" spans="1:124" s="47" customFormat="1" ht="12.75">
      <c r="A40" s="146" t="s">
        <v>775</v>
      </c>
      <c r="B40" s="62" t="s">
        <v>56</v>
      </c>
      <c r="C40" s="62" t="s">
        <v>56</v>
      </c>
      <c r="D40" s="62" t="s">
        <v>56</v>
      </c>
      <c r="E40" s="62" t="s">
        <v>839</v>
      </c>
      <c r="F40" s="146" t="s">
        <v>646</v>
      </c>
      <c r="G40" s="146" t="s">
        <v>514</v>
      </c>
      <c r="H40" s="47" t="s">
        <v>1082</v>
      </c>
      <c r="I40" s="47" t="s">
        <v>1072</v>
      </c>
      <c r="J40" s="272" t="s">
        <v>1073</v>
      </c>
      <c r="K40" s="272" t="s">
        <v>1073</v>
      </c>
      <c r="L40" s="144" t="s">
        <v>836</v>
      </c>
      <c r="M40" s="62" t="s">
        <v>722</v>
      </c>
      <c r="N40" s="62" t="s">
        <v>483</v>
      </c>
      <c r="O40" s="62" t="s">
        <v>113</v>
      </c>
      <c r="P40" s="62" t="s">
        <v>114</v>
      </c>
      <c r="Q40" s="62" t="s">
        <v>83</v>
      </c>
      <c r="R40" s="146" t="s">
        <v>639</v>
      </c>
      <c r="S40" s="62" t="s">
        <v>819</v>
      </c>
      <c r="T40" s="166" t="s">
        <v>499</v>
      </c>
      <c r="U40" s="62" t="s">
        <v>645</v>
      </c>
      <c r="V40" s="62" t="s">
        <v>836</v>
      </c>
      <c r="W40" s="62" t="s">
        <v>911</v>
      </c>
      <c r="X40" s="62" t="s">
        <v>720</v>
      </c>
      <c r="Y40" s="145"/>
      <c r="Z40" s="62" t="s">
        <v>514</v>
      </c>
      <c r="AA40" s="146" t="s">
        <v>51</v>
      </c>
      <c r="AB40" s="62" t="s">
        <v>653</v>
      </c>
      <c r="AC40" s="62" t="s">
        <v>722</v>
      </c>
      <c r="AD40" s="62"/>
      <c r="AE40" s="62" t="s">
        <v>912</v>
      </c>
      <c r="AF40" s="146" t="s">
        <v>51</v>
      </c>
      <c r="AG40" s="146" t="s">
        <v>655</v>
      </c>
      <c r="AH40" s="146" t="s">
        <v>722</v>
      </c>
      <c r="AI40" s="62" t="s">
        <v>913</v>
      </c>
      <c r="AJ40" s="62" t="s">
        <v>631</v>
      </c>
      <c r="AK40" s="62" t="s">
        <v>53</v>
      </c>
      <c r="AL40" s="62" t="s">
        <v>688</v>
      </c>
      <c r="AM40" s="62" t="s">
        <v>786</v>
      </c>
      <c r="AN40" s="248"/>
      <c r="AO40" s="62"/>
      <c r="AP40" s="337"/>
      <c r="AQ40" s="244" t="s">
        <v>770</v>
      </c>
      <c r="AR40" s="337"/>
      <c r="AS40" s="244" t="s">
        <v>770</v>
      </c>
    </row>
    <row r="41" spans="1:124" s="47" customFormat="1">
      <c r="A41" s="146" t="s">
        <v>775</v>
      </c>
      <c r="B41" s="62" t="s">
        <v>537</v>
      </c>
      <c r="C41" s="62" t="s">
        <v>537</v>
      </c>
      <c r="D41" s="62" t="s">
        <v>56</v>
      </c>
      <c r="E41" s="62" t="s">
        <v>48</v>
      </c>
      <c r="F41" s="62" t="s">
        <v>914</v>
      </c>
      <c r="G41" s="271" t="s">
        <v>1071</v>
      </c>
      <c r="H41" s="271" t="s">
        <v>1071</v>
      </c>
      <c r="I41" s="271" t="s">
        <v>1071</v>
      </c>
      <c r="J41" s="271" t="s">
        <v>1071</v>
      </c>
      <c r="K41" s="271" t="s">
        <v>1071</v>
      </c>
      <c r="L41" s="62" t="s">
        <v>833</v>
      </c>
      <c r="M41" s="62" t="s">
        <v>722</v>
      </c>
      <c r="N41" s="62" t="s">
        <v>483</v>
      </c>
      <c r="O41" s="146" t="s">
        <v>113</v>
      </c>
      <c r="P41" s="62" t="s">
        <v>114</v>
      </c>
      <c r="Q41" s="62" t="s">
        <v>179</v>
      </c>
      <c r="R41" s="146" t="s">
        <v>730</v>
      </c>
      <c r="S41" s="62" t="s">
        <v>12</v>
      </c>
      <c r="T41" s="62" t="s">
        <v>499</v>
      </c>
      <c r="U41" s="62" t="str">
        <f>LOWER(F41)</f>
        <v>mmc1_clk_fb_out</v>
      </c>
      <c r="V41" s="62" t="s">
        <v>52</v>
      </c>
      <c r="W41" s="62" t="s">
        <v>766</v>
      </c>
      <c r="X41" s="62" t="s">
        <v>722</v>
      </c>
      <c r="Y41" s="145" t="s">
        <v>915</v>
      </c>
      <c r="Z41" s="158"/>
      <c r="AA41" s="62"/>
      <c r="AB41" s="62"/>
      <c r="AC41" s="62"/>
      <c r="AD41" s="62"/>
      <c r="AE41" s="62"/>
      <c r="AF41" s="62"/>
      <c r="AG41" s="62"/>
      <c r="AH41" s="62"/>
      <c r="AI41" s="62"/>
      <c r="AJ41" s="62"/>
      <c r="AK41" s="62"/>
      <c r="AL41" s="62"/>
      <c r="AM41" s="62"/>
      <c r="AN41" s="62"/>
      <c r="AO41" s="62"/>
      <c r="AP41" s="337"/>
      <c r="AQ41" s="244" t="s">
        <v>770</v>
      </c>
      <c r="AR41" s="337"/>
      <c r="AS41" s="244" t="s">
        <v>770</v>
      </c>
    </row>
    <row r="42" spans="1:124" s="47" customFormat="1">
      <c r="A42" s="146" t="s">
        <v>775</v>
      </c>
      <c r="B42" s="62" t="s">
        <v>537</v>
      </c>
      <c r="C42" s="62" t="s">
        <v>537</v>
      </c>
      <c r="D42" s="62" t="s">
        <v>56</v>
      </c>
      <c r="E42" s="62" t="s">
        <v>50</v>
      </c>
      <c r="F42" s="62" t="s">
        <v>916</v>
      </c>
      <c r="G42" s="271" t="s">
        <v>1071</v>
      </c>
      <c r="H42" s="271" t="s">
        <v>1071</v>
      </c>
      <c r="I42" s="271" t="s">
        <v>1071</v>
      </c>
      <c r="J42" s="271" t="s">
        <v>1071</v>
      </c>
      <c r="K42" s="271" t="s">
        <v>1071</v>
      </c>
      <c r="L42" s="62" t="s">
        <v>917</v>
      </c>
      <c r="M42" s="62" t="s">
        <v>722</v>
      </c>
      <c r="N42" s="62" t="s">
        <v>483</v>
      </c>
      <c r="O42" s="146" t="s">
        <v>113</v>
      </c>
      <c r="P42" s="62" t="s">
        <v>116</v>
      </c>
      <c r="Q42" s="62" t="s">
        <v>174</v>
      </c>
      <c r="R42" s="62" t="s">
        <v>765</v>
      </c>
      <c r="S42" s="62" t="s">
        <v>12</v>
      </c>
      <c r="T42" s="62" t="s">
        <v>499</v>
      </c>
      <c r="U42" s="62" t="str">
        <f>LOWER(F42)</f>
        <v>mmc1_clk_fb_in</v>
      </c>
      <c r="V42" s="62" t="s">
        <v>53</v>
      </c>
      <c r="W42" s="62" t="s">
        <v>766</v>
      </c>
      <c r="X42" s="62" t="s">
        <v>722</v>
      </c>
      <c r="Y42" s="145" t="s">
        <v>918</v>
      </c>
      <c r="Z42" s="158"/>
      <c r="AA42" s="62"/>
      <c r="AB42" s="62"/>
      <c r="AC42" s="62"/>
      <c r="AD42" s="62"/>
      <c r="AE42" s="62"/>
      <c r="AF42" s="62"/>
      <c r="AG42" s="62"/>
      <c r="AH42" s="62"/>
      <c r="AI42" s="62"/>
      <c r="AJ42" s="62"/>
      <c r="AK42" s="62"/>
      <c r="AL42" s="62"/>
      <c r="AM42" s="62"/>
      <c r="AN42" s="62"/>
      <c r="AO42" s="62"/>
      <c r="AP42" s="336"/>
      <c r="AQ42" s="244" t="s">
        <v>770</v>
      </c>
      <c r="AR42" s="336"/>
      <c r="AS42" s="244" t="s">
        <v>770</v>
      </c>
    </row>
    <row r="43" spans="1:124" s="231" customFormat="1">
      <c r="A43" s="240" t="s">
        <v>919</v>
      </c>
      <c r="B43" s="241"/>
      <c r="C43" s="241"/>
      <c r="D43" s="241"/>
      <c r="E43" s="241"/>
      <c r="F43" s="241"/>
      <c r="G43" s="253"/>
      <c r="H43" s="253"/>
      <c r="I43" s="253"/>
      <c r="J43" s="253"/>
      <c r="K43" s="253"/>
      <c r="L43" s="39"/>
      <c r="M43" s="39"/>
      <c r="N43" s="39"/>
      <c r="O43" s="39"/>
      <c r="P43" s="39"/>
      <c r="Q43" s="39"/>
      <c r="R43" s="39"/>
      <c r="S43" s="39"/>
      <c r="T43" s="37"/>
      <c r="U43" s="37"/>
      <c r="V43" s="37"/>
      <c r="W43" s="37"/>
      <c r="X43" s="37"/>
      <c r="Y43" s="37"/>
      <c r="Z43" s="37"/>
      <c r="AA43" s="37"/>
      <c r="AB43" s="37"/>
      <c r="AC43" s="37"/>
      <c r="AD43" s="37"/>
      <c r="AE43" s="37"/>
      <c r="AF43" s="37"/>
      <c r="AG43" s="37"/>
      <c r="AH43" s="37"/>
      <c r="AI43" s="37"/>
      <c r="AJ43" s="37"/>
      <c r="AK43" s="37"/>
      <c r="AL43" s="37"/>
      <c r="AM43" s="37"/>
      <c r="AN43" s="37"/>
      <c r="AO43" s="37"/>
      <c r="AP43" s="37"/>
      <c r="AQ43" s="37"/>
      <c r="AR43" s="37"/>
      <c r="AS43" s="37"/>
      <c r="AT43" s="37"/>
    </row>
    <row r="44" spans="1:124" s="47" customFormat="1" ht="12.75">
      <c r="A44" s="146" t="s">
        <v>775</v>
      </c>
      <c r="B44" s="62" t="s">
        <v>56</v>
      </c>
      <c r="C44" s="62" t="s">
        <v>56</v>
      </c>
      <c r="D44" s="62" t="s">
        <v>56</v>
      </c>
      <c r="E44" s="62" t="s">
        <v>48</v>
      </c>
      <c r="F44" s="62" t="s">
        <v>920</v>
      </c>
      <c r="G44" s="271" t="s">
        <v>1071</v>
      </c>
      <c r="H44" s="271" t="s">
        <v>1071</v>
      </c>
      <c r="I44" s="271" t="s">
        <v>1071</v>
      </c>
      <c r="J44" s="272" t="s">
        <v>1074</v>
      </c>
      <c r="K44" s="272" t="s">
        <v>1073</v>
      </c>
      <c r="L44" s="62" t="s">
        <v>53</v>
      </c>
      <c r="M44" s="62" t="s">
        <v>864</v>
      </c>
      <c r="N44" s="62" t="s">
        <v>777</v>
      </c>
      <c r="O44" s="62" t="s">
        <v>113</v>
      </c>
      <c r="P44" s="62" t="s">
        <v>921</v>
      </c>
      <c r="Q44" s="62" t="s">
        <v>83</v>
      </c>
      <c r="R44" s="62" t="s">
        <v>765</v>
      </c>
      <c r="S44" s="62" t="s">
        <v>12</v>
      </c>
      <c r="T44" s="62" t="s">
        <v>499</v>
      </c>
      <c r="U44" s="62" t="str">
        <f>LOWER(F44)</f>
        <v>jtag_dft_mode</v>
      </c>
      <c r="V44" s="62" t="s">
        <v>53</v>
      </c>
      <c r="W44" s="62" t="s">
        <v>766</v>
      </c>
      <c r="X44" s="62" t="s">
        <v>864</v>
      </c>
      <c r="Y44" s="145" t="s">
        <v>922</v>
      </c>
      <c r="Z44" s="62"/>
      <c r="AA44" s="62"/>
      <c r="AB44" s="62"/>
      <c r="AC44" s="62"/>
      <c r="AD44" s="62"/>
      <c r="AE44" s="62"/>
      <c r="AF44" s="62"/>
      <c r="AG44" s="62"/>
      <c r="AH44" s="62"/>
      <c r="AI44" s="62"/>
      <c r="AJ44" s="62"/>
      <c r="AK44" s="62"/>
      <c r="AL44" s="62"/>
      <c r="AM44" s="62"/>
      <c r="AN44" s="62"/>
      <c r="AO44" s="62"/>
      <c r="AP44" s="62"/>
      <c r="AQ44" s="62"/>
      <c r="AR44" s="62"/>
      <c r="AS44" s="62"/>
      <c r="DR44" s="237" t="s">
        <v>716</v>
      </c>
      <c r="DT44" s="237" t="s">
        <v>715</v>
      </c>
    </row>
    <row r="45" spans="1:124" s="227" customFormat="1">
      <c r="A45" s="240" t="s">
        <v>923</v>
      </c>
      <c r="B45" s="241"/>
      <c r="C45" s="241"/>
      <c r="D45" s="241"/>
      <c r="E45" s="241"/>
      <c r="F45" s="241"/>
      <c r="G45" s="253"/>
      <c r="H45" s="253"/>
      <c r="I45" s="253"/>
      <c r="J45" s="253"/>
      <c r="K45" s="253"/>
      <c r="L45" s="241"/>
      <c r="M45" s="223"/>
      <c r="N45" s="223"/>
      <c r="O45" s="223"/>
      <c r="P45" s="223"/>
      <c r="Q45" s="223"/>
      <c r="R45" s="223"/>
      <c r="S45" s="223"/>
      <c r="T45" s="223"/>
      <c r="U45" s="224"/>
      <c r="V45" s="224"/>
      <c r="W45" s="225"/>
      <c r="X45" s="225"/>
      <c r="Y45" s="225"/>
      <c r="Z45" s="226"/>
      <c r="AA45" s="225"/>
      <c r="AB45" s="225"/>
      <c r="AC45" s="225"/>
      <c r="AD45" s="225"/>
      <c r="AE45" s="225"/>
      <c r="AF45" s="225"/>
      <c r="AG45" s="225"/>
      <c r="AH45" s="225"/>
      <c r="AI45" s="225"/>
      <c r="AJ45" s="225"/>
      <c r="AK45" s="225"/>
      <c r="AL45" s="225"/>
      <c r="AM45" s="225"/>
      <c r="AN45" s="225"/>
      <c r="AO45" s="225"/>
      <c r="AP45" s="225"/>
      <c r="AQ45" s="225"/>
      <c r="AR45" s="225"/>
      <c r="AS45" s="225"/>
      <c r="AT45" s="225"/>
      <c r="AU45" s="225"/>
      <c r="AV45" s="225"/>
      <c r="AW45" s="225"/>
      <c r="AX45" s="225"/>
      <c r="AY45" s="225"/>
      <c r="AZ45" s="225"/>
      <c r="BA45" s="225"/>
      <c r="BB45" s="225"/>
      <c r="BC45" s="225"/>
      <c r="BD45" s="225"/>
      <c r="BE45" s="225"/>
      <c r="BF45" s="225"/>
      <c r="BG45" s="225"/>
      <c r="BH45" s="225"/>
      <c r="BI45" s="225"/>
      <c r="BJ45" s="225"/>
      <c r="BK45" s="225"/>
      <c r="BL45" s="225"/>
      <c r="BM45" s="225"/>
      <c r="BN45" s="225"/>
      <c r="BO45" s="225"/>
      <c r="BP45" s="225"/>
      <c r="BQ45" s="225"/>
      <c r="BR45" s="225"/>
      <c r="BS45" s="225"/>
      <c r="BT45" s="225"/>
      <c r="BU45" s="225"/>
      <c r="BV45" s="225"/>
      <c r="BW45" s="225"/>
      <c r="BX45" s="225"/>
      <c r="BY45" s="225"/>
      <c r="BZ45" s="225"/>
      <c r="CA45" s="225"/>
      <c r="CB45" s="225"/>
      <c r="CC45" s="225"/>
      <c r="CD45" s="225"/>
      <c r="CE45" s="225"/>
      <c r="CF45" s="225"/>
      <c r="CG45" s="225"/>
      <c r="CH45" s="225"/>
      <c r="CI45" s="225"/>
      <c r="CJ45" s="225"/>
      <c r="CK45" s="225"/>
      <c r="CL45" s="225"/>
      <c r="CM45" s="225"/>
      <c r="CN45" s="225"/>
      <c r="CO45" s="225"/>
      <c r="CP45" s="225"/>
      <c r="CQ45" s="225"/>
      <c r="CR45" s="225"/>
      <c r="CS45" s="225"/>
      <c r="CT45" s="225"/>
      <c r="CU45" s="225"/>
      <c r="CV45" s="225"/>
      <c r="CW45" s="225"/>
      <c r="CX45" s="225"/>
      <c r="CY45" s="225"/>
      <c r="CZ45" s="225"/>
      <c r="DA45" s="225"/>
      <c r="DB45" s="225"/>
      <c r="DC45" s="225"/>
      <c r="DD45" s="225"/>
      <c r="DE45" s="225"/>
      <c r="DF45" s="225"/>
      <c r="DG45" s="225"/>
      <c r="DH45" s="225"/>
      <c r="DI45" s="225"/>
      <c r="DJ45" s="225"/>
      <c r="DK45" s="225"/>
      <c r="DL45" s="225"/>
      <c r="DM45" s="225"/>
      <c r="DN45" s="225"/>
      <c r="DO45" s="225"/>
      <c r="DP45" s="225"/>
      <c r="DQ45" s="225"/>
      <c r="DR45" s="225"/>
    </row>
    <row r="46" spans="1:124" s="228" customFormat="1" ht="12.75">
      <c r="A46" s="228" t="s">
        <v>924</v>
      </c>
      <c r="B46" s="228" t="s">
        <v>838</v>
      </c>
      <c r="C46" s="228" t="s">
        <v>838</v>
      </c>
      <c r="D46" s="228" t="s">
        <v>838</v>
      </c>
      <c r="E46" s="228" t="s">
        <v>50</v>
      </c>
      <c r="F46" s="228" t="s">
        <v>925</v>
      </c>
      <c r="G46" s="273" t="s">
        <v>1071</v>
      </c>
      <c r="H46" s="273" t="s">
        <v>1071</v>
      </c>
      <c r="I46" s="273" t="s">
        <v>1071</v>
      </c>
      <c r="J46" s="273" t="s">
        <v>1071</v>
      </c>
      <c r="K46" s="273" t="s">
        <v>1071</v>
      </c>
      <c r="L46" s="228" t="s">
        <v>926</v>
      </c>
      <c r="M46" s="228" t="s">
        <v>927</v>
      </c>
      <c r="N46" s="228" t="s">
        <v>928</v>
      </c>
      <c r="Q46" s="228" t="s">
        <v>929</v>
      </c>
      <c r="R46" s="228" t="s">
        <v>689</v>
      </c>
      <c r="T46" s="228" t="s">
        <v>930</v>
      </c>
      <c r="U46" s="228" t="s">
        <v>931</v>
      </c>
      <c r="V46" s="228" t="s">
        <v>110</v>
      </c>
      <c r="W46" s="228" t="s">
        <v>690</v>
      </c>
      <c r="X46" s="228" t="s">
        <v>932</v>
      </c>
      <c r="Y46" s="229" t="s">
        <v>933</v>
      </c>
      <c r="DR46" s="332" t="s">
        <v>708</v>
      </c>
      <c r="DT46" s="332" t="s">
        <v>709</v>
      </c>
    </row>
    <row r="47" spans="1:124" s="228" customFormat="1" ht="12.75">
      <c r="A47" s="228" t="s">
        <v>934</v>
      </c>
      <c r="B47" s="228" t="s">
        <v>935</v>
      </c>
      <c r="C47" s="228" t="s">
        <v>935</v>
      </c>
      <c r="D47" s="228" t="s">
        <v>935</v>
      </c>
      <c r="E47" s="228" t="s">
        <v>50</v>
      </c>
      <c r="F47" s="228" t="s">
        <v>936</v>
      </c>
      <c r="G47" s="273" t="s">
        <v>1071</v>
      </c>
      <c r="H47" s="273" t="s">
        <v>1071</v>
      </c>
      <c r="I47" s="273" t="s">
        <v>1071</v>
      </c>
      <c r="J47" s="273" t="s">
        <v>1071</v>
      </c>
      <c r="K47" s="273" t="s">
        <v>1071</v>
      </c>
      <c r="L47" s="228" t="s">
        <v>937</v>
      </c>
      <c r="M47" s="228" t="s">
        <v>932</v>
      </c>
      <c r="N47" s="228" t="s">
        <v>938</v>
      </c>
      <c r="Q47" s="228" t="s">
        <v>939</v>
      </c>
      <c r="R47" s="228" t="s">
        <v>689</v>
      </c>
      <c r="T47" s="228" t="s">
        <v>940</v>
      </c>
      <c r="U47" s="228" t="s">
        <v>936</v>
      </c>
      <c r="V47" s="228" t="s">
        <v>110</v>
      </c>
      <c r="W47" s="228" t="s">
        <v>690</v>
      </c>
      <c r="X47" s="228" t="s">
        <v>932</v>
      </c>
      <c r="Y47" s="229" t="s">
        <v>941</v>
      </c>
      <c r="DR47" s="333"/>
      <c r="DT47" s="333"/>
    </row>
    <row r="51" spans="1:25" s="213" customFormat="1">
      <c r="C51" s="231"/>
      <c r="G51" s="254"/>
      <c r="H51" s="254"/>
      <c r="I51" s="254"/>
      <c r="J51" s="254"/>
      <c r="K51" s="254"/>
      <c r="Y51" s="211"/>
    </row>
    <row r="52" spans="1:25" s="213" customFormat="1">
      <c r="B52" s="212"/>
      <c r="C52" s="230"/>
      <c r="D52" s="212"/>
      <c r="G52" s="254"/>
      <c r="H52" s="254"/>
      <c r="I52" s="254"/>
      <c r="J52" s="254"/>
      <c r="K52" s="254"/>
      <c r="Y52" s="211"/>
    </row>
    <row r="53" spans="1:25" s="213" customFormat="1">
      <c r="B53" s="230" t="s">
        <v>717</v>
      </c>
      <c r="C53" s="230" t="s">
        <v>718</v>
      </c>
      <c r="G53" s="254"/>
      <c r="H53" s="254"/>
      <c r="I53" s="254"/>
      <c r="J53" s="254"/>
      <c r="K53" s="254"/>
      <c r="Y53" s="211"/>
    </row>
    <row r="54" spans="1:25" s="213" customFormat="1">
      <c r="A54" s="214" t="s">
        <v>616</v>
      </c>
      <c r="B54" s="210">
        <f>COUNTIF(B1:B52,"Y")</f>
        <v>35</v>
      </c>
      <c r="C54" s="210">
        <f>COUNTIF(C1:C52,"Y")</f>
        <v>35</v>
      </c>
      <c r="D54" s="210">
        <f>COUNTIF(D1:D52,"Y")</f>
        <v>37</v>
      </c>
      <c r="E54" s="210">
        <f>COUNTIF(E1:E52,"MUX_C")+COUNTIF(E1:E52,"MUX_D")</f>
        <v>31</v>
      </c>
      <c r="G54" s="254"/>
      <c r="H54" s="254"/>
      <c r="I54" s="254"/>
      <c r="J54" s="254"/>
      <c r="K54" s="254"/>
      <c r="M54" s="187" t="s">
        <v>617</v>
      </c>
      <c r="N54" s="187" t="s">
        <v>618</v>
      </c>
      <c r="O54" s="188" t="s">
        <v>619</v>
      </c>
      <c r="P54" s="188" t="s">
        <v>620</v>
      </c>
      <c r="Q54" s="341" t="s">
        <v>621</v>
      </c>
      <c r="R54" s="342"/>
      <c r="S54" s="343"/>
      <c r="Y54" s="211"/>
    </row>
    <row r="55" spans="1:25" s="213" customFormat="1">
      <c r="C55" s="231"/>
      <c r="G55" s="254"/>
      <c r="H55" s="254"/>
      <c r="I55" s="254"/>
      <c r="J55" s="254"/>
      <c r="K55" s="254"/>
      <c r="M55" s="189" t="s">
        <v>622</v>
      </c>
      <c r="N55" s="142" t="s">
        <v>623</v>
      </c>
      <c r="O55" s="191" t="s">
        <v>624</v>
      </c>
      <c r="P55" s="190" t="s">
        <v>942</v>
      </c>
      <c r="Q55" s="338" t="s">
        <v>625</v>
      </c>
      <c r="R55" s="339"/>
      <c r="S55" s="340"/>
      <c r="Y55" s="211"/>
    </row>
    <row r="56" spans="1:25" s="213" customFormat="1">
      <c r="C56" s="231"/>
      <c r="G56" s="254"/>
      <c r="H56" s="254"/>
      <c r="I56" s="254"/>
      <c r="J56" s="254"/>
      <c r="K56" s="254"/>
      <c r="M56" s="189" t="s">
        <v>710</v>
      </c>
      <c r="N56" s="236" t="s">
        <v>711</v>
      </c>
      <c r="O56" s="191" t="s">
        <v>712</v>
      </c>
      <c r="P56" s="190" t="s">
        <v>713</v>
      </c>
      <c r="Q56" s="334"/>
      <c r="R56" s="334"/>
      <c r="S56" s="334"/>
      <c r="Y56" s="211"/>
    </row>
    <row r="57" spans="1:25">
      <c r="B57" s="161"/>
      <c r="E57" s="207"/>
      <c r="F57" s="207"/>
      <c r="L57" s="207"/>
      <c r="M57" s="207"/>
      <c r="N57" s="207"/>
      <c r="O57" s="207"/>
      <c r="P57" s="207"/>
      <c r="Q57" s="161"/>
      <c r="R57" s="161"/>
    </row>
    <row r="58" spans="1:25">
      <c r="E58" s="207"/>
      <c r="F58" s="207"/>
      <c r="L58" s="207"/>
    </row>
    <row r="59" spans="1:25">
      <c r="E59" s="207"/>
      <c r="F59" s="207"/>
      <c r="L59" s="207"/>
    </row>
    <row r="60" spans="1:25">
      <c r="E60" s="207"/>
      <c r="F60" s="207"/>
      <c r="L60" s="207"/>
    </row>
    <row r="61" spans="1:25">
      <c r="E61" s="207"/>
      <c r="F61" s="207"/>
      <c r="L61" s="207"/>
      <c r="M61" s="207"/>
      <c r="N61" s="207"/>
      <c r="O61" s="207"/>
      <c r="P61" s="207"/>
    </row>
    <row r="62" spans="1:25">
      <c r="E62" s="207"/>
      <c r="F62" s="207"/>
      <c r="L62" s="207"/>
      <c r="M62" s="207"/>
      <c r="N62" s="207"/>
      <c r="O62" s="207"/>
      <c r="P62" s="207"/>
    </row>
    <row r="63" spans="1:25">
      <c r="E63" s="207"/>
      <c r="F63" s="207"/>
      <c r="L63" s="207"/>
      <c r="M63" s="207"/>
      <c r="N63" s="207"/>
      <c r="O63" s="207"/>
      <c r="P63" s="207"/>
    </row>
    <row r="64" spans="1:25">
      <c r="E64" s="207"/>
      <c r="F64" s="207"/>
      <c r="L64" s="207"/>
      <c r="M64" s="207"/>
      <c r="N64" s="207"/>
      <c r="O64" s="207"/>
      <c r="P64" s="207"/>
    </row>
  </sheetData>
  <autoFilter ref="A1:AO56">
    <filterColumn colId="2"/>
    <filterColumn colId="3"/>
    <filterColumn colId="6"/>
    <filterColumn colId="7"/>
    <filterColumn colId="8"/>
    <filterColumn colId="9"/>
    <filterColumn colId="10"/>
    <filterColumn colId="17"/>
  </autoFilter>
  <mergeCells count="35">
    <mergeCell ref="DT46:DT47"/>
    <mergeCell ref="DR46:DR47"/>
    <mergeCell ref="Q56:S56"/>
    <mergeCell ref="AP26:AP27"/>
    <mergeCell ref="AR26:AR27"/>
    <mergeCell ref="AP29:AP33"/>
    <mergeCell ref="AR29:AR33"/>
    <mergeCell ref="AP35:AP42"/>
    <mergeCell ref="AR35:AR42"/>
    <mergeCell ref="Q55:S55"/>
    <mergeCell ref="Q54:S54"/>
    <mergeCell ref="AP4:AP16"/>
    <mergeCell ref="AR4:AR16"/>
    <mergeCell ref="AP18:AP20"/>
    <mergeCell ref="AR18:AR20"/>
    <mergeCell ref="AP22:AP24"/>
    <mergeCell ref="AR22:AR24"/>
    <mergeCell ref="AO1:AO2"/>
    <mergeCell ref="T1:T2"/>
    <mergeCell ref="Q1:Q2"/>
    <mergeCell ref="S1:S2"/>
    <mergeCell ref="R1:R2"/>
    <mergeCell ref="F1:F2"/>
    <mergeCell ref="D1:D2"/>
    <mergeCell ref="A25:F25"/>
    <mergeCell ref="A1:A2"/>
    <mergeCell ref="P1:P2"/>
    <mergeCell ref="O1:O2"/>
    <mergeCell ref="N1:N2"/>
    <mergeCell ref="M1:M2"/>
    <mergeCell ref="L1:L2"/>
    <mergeCell ref="E1:E2"/>
    <mergeCell ref="B1:B2"/>
    <mergeCell ref="C1:C2"/>
    <mergeCell ref="G2:K2"/>
  </mergeCells>
  <phoneticPr fontId="3" type="noConversion"/>
  <dataValidations count="46">
    <dataValidation type="list" allowBlank="1" showInputMessage="1" showErrorMessage="1" sqref="BY44 BE44 CD44 BJ44 AP44 L44 BO44 AK44 BT44 CI44 DM44 DH44 DC44 CS44 CX44 CN44 AZ44 AF44 AU22:AU24 AK29:AK33 AK35:AK40 AK26:AK27 AK22:AK24 AK18:AK20 AA29:AA32 AK60:AK1048576 V66:V1048576 AK54:AK57 V54:V63 AF54:AF1048576 AA54:AA1048576 AA44 L35:L40 L26:L27 L29:L33 V29:V33 V22:V24 L22:L24 AA23:AA24 V19:V20 AF18:AF20 V26:V27 L18:L20 AA26:AA27 AA18:AA20 V44 AA4:AA16 V4:V16 L4:L16 AF8:AF12 BJ46:BJ47 CN46:CN47 DM46:DM47 DH46:DH47 DC46:DC47 CX46:CX47 CI46:CI47 CS46:CS47 BT46:BT47 CD46:CD47 AF46:AF47 BY46:BY47 BE46:BE47 AZ46:AZ47 AU46:AU47 V46:V47 AP46:AP47 BO46:BO47 AA46:AA47 AK46:AK47 AA35:AA42 AF35:AF42 V35:V42 AK7:AK16">
      <formula1>"AI,AO,AIO,SI,DI,DO,OD,OZ,B,BOD"</formula1>
    </dataValidation>
    <dataValidation showDropDown="1" showInputMessage="1" showErrorMessage="1" sqref="AG44 CT44 CO44 AB44 AB54:AB1048576 W54:W63 W66:W1048576 AB29:AB32 AG35:AG40 AG8:AG12 W29:W33 AB22:AB24 W22:W24 W18:W20 AB18:AB20 W4:W12 AB8:AB9 AB11:AB12 W44 CJ46:CJ47 W46:W47 AB46:AB47 AB35:AB42 W35:W42"/>
    <dataValidation type="list" allowBlank="1" showInputMessage="1" showErrorMessage="1" sqref="E46:E47 E4:E16 E29:E33 E26:E27 E18:E20 E22:E24 E59:E1048576 E35:E42 E44">
      <formula1>"MUX_NA,MUX_D,MUX_C"</formula1>
    </dataValidation>
    <dataValidation type="list" allowBlank="1" showInputMessage="1" showErrorMessage="1" sqref="P61:P1048576 Q25">
      <formula1>"0mA,2mA,3mA,4mA,6mA,8mA,9mA,10mA,12mA,15mA,18mA"</formula1>
    </dataValidation>
    <dataValidation type="list" allowBlank="1" showInputMessage="1" showErrorMessage="1" sqref="S46:S47 S22:S24 S26:S27 S18:S20 R25:S25 S4:S16 S29:S33 S35:S42 S44">
      <formula1>"pull-up,pull-down,pull-up control,pull-down control,pull-up/down control,NA"</formula1>
    </dataValidation>
    <dataValidation type="list" allowBlank="1" showInputMessage="1" showErrorMessage="1" sqref="O26:O27 O18:O20 O22:O24 O4:O16 O41:O42 O44">
      <formula1>"Analog,Analog Power,Analog gnd,Digital power,Digital gnd,LVCMOS,LVTTL,SSTL2,USB2,LVDS,CML,ECL"</formula1>
    </dataValidation>
    <dataValidation type="list" allowBlank="1" showInputMessage="1" showErrorMessage="1" sqref="AH44 CU44 AH10:AH11">
      <formula1>"output-normal,output-clk,output-od,output-3state,input-normal,input-clk,Bi-normal,Bi-clk,input-shmit,input-shclk,Bi-shmit,Bi-shclk"</formula1>
    </dataValidation>
    <dataValidation type="list" allowBlank="1" showInputMessage="1" showErrorMessage="1" sqref="O46:O47">
      <formula1>"SSTL,Analog,Analog Power,Analog gnd,Digital power,Digital gnd,LVCMOS,LVTTL,SSTL2,USB2,LVDS,CML,ECL"</formula1>
    </dataValidation>
    <dataValidation type="list" allowBlank="1" showInputMessage="1" showErrorMessage="1" sqref="L25 B44:D44 B35:D42 B4:D16 B22:D24 B18:D20 B26:D27 B29:D33 B55:D55 B46:D47 B58:D1048576">
      <formula1>"Y,N"</formula1>
    </dataValidation>
    <dataValidation type="list" allowBlank="1" showInputMessage="1" showErrorMessage="1" sqref="Q3:Q24 Q61:Q1048576 Q46:Q47 R45 Q26:Q44">
      <formula1>"PU,PD,IX,OZ,OH,OL,NA"</formula1>
    </dataValidation>
    <dataValidation type="list" allowBlank="1" showInputMessage="1" showErrorMessage="1" sqref="AA22 V18">
      <formula1>"AI,AO,AIO,SI,DI,DO,OD,OT,B,BOD"</formula1>
    </dataValidation>
    <dataValidation type="list" allowBlank="1" showInputMessage="1" showErrorMessage="1" sqref="W25 AI25 AA25 AG16 AN4:AN5 Z4 AG4:AH4 AC4:AD5 AI13:AI15 AE14:AE15 AG5:AG7 AH5 AC7">
      <formula1>"output,input,Bi,output-3state"</formula1>
    </dataValidation>
    <dataValidation type="list" allowBlank="1" showInputMessage="1" showErrorMessage="1" sqref="T25">
      <formula1>"H,L,Z,?"</formula1>
    </dataValidation>
    <dataValidation type="list" allowBlank="1" showInputMessage="1" showErrorMessage="1" sqref="P4:P16 P18:P20 P22:P24 P26:P27 P29:P33 P35:P42 P44 P46:P47">
      <formula1>"0mA,4mA,8mA,12mA,16mA"</formula1>
    </dataValidation>
    <dataValidation type="list" allowBlank="1" showInputMessage="1" showErrorMessage="1" sqref="G40">
      <formula1>_40</formula1>
    </dataValidation>
    <dataValidation type="list" allowBlank="1" showInputMessage="1" showErrorMessage="1" sqref="G39">
      <formula1>_39</formula1>
    </dataValidation>
    <dataValidation type="list" allowBlank="1" showInputMessage="1" showErrorMessage="1" sqref="G38">
      <formula1>_38</formula1>
    </dataValidation>
    <dataValidation type="list" allowBlank="1" showInputMessage="1" showErrorMessage="1" sqref="G37">
      <formula1>_37</formula1>
    </dataValidation>
    <dataValidation type="list" allowBlank="1" showInputMessage="1" showErrorMessage="1" sqref="G36">
      <formula1>_36</formula1>
    </dataValidation>
    <dataValidation type="list" allowBlank="1" showInputMessage="1" showErrorMessage="1" sqref="G35">
      <formula1>_35</formula1>
    </dataValidation>
    <dataValidation type="list" allowBlank="1" showInputMessage="1" showErrorMessage="1" sqref="G33">
      <formula1>_33</formula1>
    </dataValidation>
    <dataValidation type="list" allowBlank="1" showInputMessage="1" showErrorMessage="1" sqref="G32">
      <formula1>_32</formula1>
    </dataValidation>
    <dataValidation type="list" allowBlank="1" showInputMessage="1" showErrorMessage="1" sqref="G31">
      <formula1>_31</formula1>
    </dataValidation>
    <dataValidation type="list" allowBlank="1" showInputMessage="1" showErrorMessage="1" sqref="G30">
      <formula1>_30</formula1>
    </dataValidation>
    <dataValidation type="list" allowBlank="1" showInputMessage="1" showErrorMessage="1" sqref="G29">
      <formula1>_29</formula1>
    </dataValidation>
    <dataValidation type="list" allowBlank="1" showInputMessage="1" showErrorMessage="1" sqref="G27">
      <formula1>_27</formula1>
    </dataValidation>
    <dataValidation type="list" allowBlank="1" showInputMessage="1" showErrorMessage="1" sqref="G26">
      <formula1>_26</formula1>
    </dataValidation>
    <dataValidation type="list" allowBlank="1" showInputMessage="1" showErrorMessage="1" sqref="G24">
      <formula1>_24</formula1>
    </dataValidation>
    <dataValidation type="list" allowBlank="1" showInputMessage="1" showErrorMessage="1" sqref="G23">
      <formula1>_23</formula1>
    </dataValidation>
    <dataValidation type="list" allowBlank="1" showInputMessage="1" showErrorMessage="1" sqref="G22">
      <formula1>_22</formula1>
    </dataValidation>
    <dataValidation type="list" allowBlank="1" showInputMessage="1" showErrorMessage="1" sqref="G20">
      <formula1>_20</formula1>
    </dataValidation>
    <dataValidation type="list" allowBlank="1" showInputMessage="1" showErrorMessage="1" sqref="G19">
      <formula1>_19</formula1>
    </dataValidation>
    <dataValidation type="list" allowBlank="1" showInputMessage="1" showErrorMessage="1" sqref="G18">
      <formula1>_18</formula1>
    </dataValidation>
    <dataValidation type="list" allowBlank="1" showInputMessage="1" showErrorMessage="1" sqref="G16">
      <formula1>_16</formula1>
    </dataValidation>
    <dataValidation type="list" allowBlank="1" showInputMessage="1" showErrorMessage="1" sqref="G15">
      <formula1>_15</formula1>
    </dataValidation>
    <dataValidation type="list" allowBlank="1" showInputMessage="1" showErrorMessage="1" sqref="G14">
      <formula1>_14</formula1>
    </dataValidation>
    <dataValidation type="list" allowBlank="1" showInputMessage="1" showErrorMessage="1" sqref="G13">
      <formula1>_13</formula1>
    </dataValidation>
    <dataValidation type="list" allowBlank="1" showInputMessage="1" showErrorMessage="1" sqref="G12">
      <formula1>_12</formula1>
    </dataValidation>
    <dataValidation type="list" allowBlank="1" showInputMessage="1" showErrorMessage="1" sqref="G11">
      <formula1>_11</formula1>
    </dataValidation>
    <dataValidation type="list" allowBlank="1" showInputMessage="1" showErrorMessage="1" sqref="G10">
      <formula1>_10</formula1>
    </dataValidation>
    <dataValidation type="list" allowBlank="1" showInputMessage="1" showErrorMessage="1" sqref="I4:I16 I18:I20 I22:I24 I26:I27 I29:I33 I35:I40">
      <formula1>"default,0mA,4mA,8mA,12mA,16mA"</formula1>
    </dataValidation>
    <dataValidation type="list" allowBlank="1" showInputMessage="1" showErrorMessage="1" sqref="G9">
      <formula1>_9</formula1>
    </dataValidation>
    <dataValidation type="list" allowBlank="1" showInputMessage="1" showErrorMessage="1" sqref="G8">
      <formula1>_8</formula1>
    </dataValidation>
    <dataValidation type="list" allowBlank="1" showInputMessage="1" showErrorMessage="1" sqref="G7">
      <formula1>_7</formula1>
    </dataValidation>
    <dataValidation type="list" allowBlank="1" showInputMessage="1" showErrorMessage="1" sqref="J44:K44 J18:K20 J22:K24 J26:K27 J29:K33 J4:K16 J35:K40">
      <formula1>"Yes,No"</formula1>
    </dataValidation>
    <dataValidation type="list" allowBlank="1" showInputMessage="1" showErrorMessage="1" sqref="H6:H16 H18:H20 H22:H24 H26:H27 H29:H33 H35:H40">
      <formula1>"default,pull-up,pull-down,no-pull"</formula1>
    </dataValidation>
  </dataValidations>
  <pageMargins left="0.74803149606299213" right="0.74803149606299213" top="0.98425196850393704" bottom="0.98425196850393704" header="0.51181102362204722" footer="0.51181102362204722"/>
  <pageSetup paperSize="9" orientation="landscape" horizontalDpi="1200" verticalDpi="1200" r:id="rId1"/>
  <headerFooter alignWithMargins="0">
    <oddHeader>&amp;LHi6910 V100R001 SI&amp;PKG_REQ&amp;R机密</oddHeader>
  </headerFooter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12"/>
  <dimension ref="A1:J90"/>
  <sheetViews>
    <sheetView workbookViewId="0">
      <selection sqref="A1:XFD1048576"/>
    </sheetView>
  </sheetViews>
  <sheetFormatPr defaultRowHeight="14.25"/>
  <cols>
    <col min="1" max="1" width="18.375" style="239" customWidth="1"/>
    <col min="2" max="2" width="11.5" style="239" customWidth="1"/>
    <col min="3" max="3" width="24.75" style="239" customWidth="1"/>
    <col min="4" max="4" width="15.625" style="239" customWidth="1"/>
    <col min="5" max="5" width="29.75" style="239" customWidth="1"/>
    <col min="6" max="6" width="21.25" style="239" hidden="1" customWidth="1"/>
    <col min="7" max="7" width="22.5" style="239" customWidth="1"/>
    <col min="8" max="16384" width="9" style="239"/>
  </cols>
  <sheetData>
    <row r="1" spans="1:9" ht="15.75">
      <c r="A1" s="255" t="s">
        <v>944</v>
      </c>
      <c r="B1" s="255" t="s">
        <v>945</v>
      </c>
      <c r="C1" s="255" t="s">
        <v>946</v>
      </c>
      <c r="D1" s="255" t="s">
        <v>947</v>
      </c>
      <c r="E1" s="255" t="s">
        <v>948</v>
      </c>
      <c r="F1" s="255" t="s">
        <v>949</v>
      </c>
      <c r="G1" s="255" t="s">
        <v>950</v>
      </c>
      <c r="H1" s="238"/>
      <c r="I1" s="239" t="s">
        <v>951</v>
      </c>
    </row>
    <row r="2" spans="1:9" ht="15">
      <c r="A2" s="256" t="s">
        <v>952</v>
      </c>
      <c r="B2" s="256">
        <v>0.9</v>
      </c>
      <c r="C2" s="256" t="s">
        <v>953</v>
      </c>
      <c r="D2" s="256"/>
      <c r="E2" s="256" t="s">
        <v>953</v>
      </c>
      <c r="F2" s="256"/>
      <c r="G2" s="256"/>
    </row>
    <row r="3" spans="1:9" ht="15">
      <c r="A3" s="256" t="s">
        <v>954</v>
      </c>
      <c r="B3" s="256">
        <v>0.9</v>
      </c>
      <c r="C3" s="256" t="s">
        <v>955</v>
      </c>
      <c r="D3" s="256"/>
      <c r="E3" s="256" t="s">
        <v>955</v>
      </c>
      <c r="F3" s="256"/>
      <c r="G3" s="256"/>
    </row>
    <row r="4" spans="1:9" ht="15">
      <c r="A4" s="256" t="s">
        <v>956</v>
      </c>
      <c r="B4" s="256">
        <v>0</v>
      </c>
      <c r="C4" s="256" t="s">
        <v>957</v>
      </c>
      <c r="D4" s="256"/>
      <c r="E4" s="256" t="s">
        <v>957</v>
      </c>
      <c r="F4" s="256"/>
      <c r="G4" s="256"/>
    </row>
    <row r="5" spans="1:9" ht="15">
      <c r="A5" s="344" t="s">
        <v>958</v>
      </c>
      <c r="B5" s="257">
        <v>1.8</v>
      </c>
      <c r="C5" s="257" t="s">
        <v>959</v>
      </c>
      <c r="D5" s="257"/>
      <c r="E5" s="257" t="s">
        <v>960</v>
      </c>
      <c r="F5" s="256"/>
      <c r="G5" s="346"/>
    </row>
    <row r="6" spans="1:9" ht="15">
      <c r="A6" s="348"/>
      <c r="B6" s="257">
        <v>1.8</v>
      </c>
      <c r="C6" s="257" t="s">
        <v>1063</v>
      </c>
      <c r="D6" s="257"/>
      <c r="E6" s="257" t="s">
        <v>966</v>
      </c>
      <c r="F6" s="256"/>
      <c r="G6" s="349"/>
    </row>
    <row r="7" spans="1:9" ht="15">
      <c r="A7" s="348"/>
      <c r="B7" s="257">
        <v>1.8</v>
      </c>
      <c r="C7" s="257" t="s">
        <v>724</v>
      </c>
      <c r="D7" s="257"/>
      <c r="E7" s="257" t="s">
        <v>960</v>
      </c>
      <c r="F7" s="256"/>
      <c r="G7" s="349"/>
    </row>
    <row r="8" spans="1:9" ht="15">
      <c r="A8" s="348"/>
      <c r="B8" s="257">
        <v>1.8</v>
      </c>
      <c r="C8" s="257" t="s">
        <v>725</v>
      </c>
      <c r="D8" s="257"/>
      <c r="E8" s="257" t="s">
        <v>960</v>
      </c>
      <c r="F8" s="256"/>
      <c r="G8" s="349"/>
    </row>
    <row r="9" spans="1:9" ht="15">
      <c r="A9" s="348"/>
      <c r="B9" s="257">
        <v>1.8</v>
      </c>
      <c r="C9" s="257" t="s">
        <v>726</v>
      </c>
      <c r="D9" s="257"/>
      <c r="E9" s="257" t="s">
        <v>960</v>
      </c>
      <c r="F9" s="256"/>
      <c r="G9" s="349"/>
    </row>
    <row r="10" spans="1:9" ht="15">
      <c r="A10" s="348"/>
      <c r="B10" s="257">
        <v>1.8</v>
      </c>
      <c r="C10" s="257" t="s">
        <v>1064</v>
      </c>
      <c r="D10" s="257"/>
      <c r="E10" s="257" t="s">
        <v>960</v>
      </c>
      <c r="F10" s="256"/>
      <c r="G10" s="349"/>
    </row>
    <row r="11" spans="1:9" ht="15">
      <c r="A11" s="345"/>
      <c r="B11" s="257">
        <v>1.8</v>
      </c>
      <c r="C11" s="257" t="s">
        <v>961</v>
      </c>
      <c r="D11" s="257"/>
      <c r="E11" s="257" t="s">
        <v>960</v>
      </c>
      <c r="F11" s="256"/>
      <c r="G11" s="347"/>
    </row>
    <row r="12" spans="1:9" ht="15">
      <c r="A12" s="348" t="s">
        <v>962</v>
      </c>
      <c r="B12" s="256" t="s">
        <v>963</v>
      </c>
      <c r="C12" s="256" t="s">
        <v>964</v>
      </c>
      <c r="D12" s="256"/>
      <c r="E12" s="256" t="s">
        <v>964</v>
      </c>
      <c r="F12" s="256"/>
      <c r="G12" s="350" t="s">
        <v>965</v>
      </c>
    </row>
    <row r="13" spans="1:9" ht="15">
      <c r="A13" s="348"/>
      <c r="B13" s="256">
        <v>1.8</v>
      </c>
      <c r="C13" s="256" t="s">
        <v>966</v>
      </c>
      <c r="D13" s="256"/>
      <c r="E13" s="256" t="s">
        <v>966</v>
      </c>
      <c r="F13" s="256"/>
      <c r="G13" s="351"/>
    </row>
    <row r="14" spans="1:9" ht="15">
      <c r="A14" s="345"/>
      <c r="B14" s="256" t="s">
        <v>967</v>
      </c>
      <c r="C14" s="256" t="s">
        <v>968</v>
      </c>
      <c r="D14" s="256"/>
      <c r="E14" s="256" t="s">
        <v>968</v>
      </c>
      <c r="F14" s="256"/>
      <c r="G14" s="352"/>
    </row>
    <row r="15" spans="1:9" ht="15">
      <c r="A15" s="344" t="s">
        <v>969</v>
      </c>
      <c r="B15" s="257">
        <v>1.2</v>
      </c>
      <c r="C15" s="257" t="s">
        <v>970</v>
      </c>
      <c r="D15" s="257"/>
      <c r="E15" s="257" t="s">
        <v>970</v>
      </c>
      <c r="F15" s="256"/>
      <c r="G15" s="346" t="s">
        <v>971</v>
      </c>
    </row>
    <row r="16" spans="1:9" ht="15">
      <c r="A16" s="348"/>
      <c r="B16" s="257">
        <v>0</v>
      </c>
      <c r="C16" s="257" t="s">
        <v>972</v>
      </c>
      <c r="D16" s="257"/>
      <c r="E16" s="257" t="s">
        <v>957</v>
      </c>
      <c r="F16" s="256"/>
      <c r="G16" s="349"/>
    </row>
    <row r="17" spans="1:7" ht="15">
      <c r="A17" s="348"/>
      <c r="B17" s="257">
        <v>1.2</v>
      </c>
      <c r="C17" s="257" t="s">
        <v>973</v>
      </c>
      <c r="D17" s="257"/>
      <c r="E17" s="257" t="s">
        <v>973</v>
      </c>
      <c r="F17" s="256"/>
      <c r="G17" s="349"/>
    </row>
    <row r="18" spans="1:7" ht="15">
      <c r="A18" s="348"/>
      <c r="B18" s="257">
        <v>0</v>
      </c>
      <c r="C18" s="257" t="s">
        <v>974</v>
      </c>
      <c r="D18" s="257"/>
      <c r="E18" s="257" t="s">
        <v>957</v>
      </c>
      <c r="F18" s="256"/>
      <c r="G18" s="349"/>
    </row>
    <row r="19" spans="1:7" ht="15">
      <c r="A19" s="348"/>
      <c r="B19" s="257">
        <v>1.8</v>
      </c>
      <c r="C19" s="257" t="s">
        <v>975</v>
      </c>
      <c r="D19" s="257"/>
      <c r="E19" s="257" t="s">
        <v>975</v>
      </c>
      <c r="F19" s="256"/>
      <c r="G19" s="349"/>
    </row>
    <row r="20" spans="1:7" ht="15">
      <c r="A20" s="348"/>
      <c r="B20" s="257">
        <v>1.8</v>
      </c>
      <c r="C20" s="257" t="s">
        <v>976</v>
      </c>
      <c r="D20" s="257"/>
      <c r="E20" s="257" t="s">
        <v>977</v>
      </c>
      <c r="F20" s="256"/>
      <c r="G20" s="349"/>
    </row>
    <row r="21" spans="1:7" ht="15">
      <c r="A21" s="348"/>
      <c r="B21" s="257">
        <v>0.6</v>
      </c>
      <c r="C21" s="257" t="s">
        <v>978</v>
      </c>
      <c r="D21" s="257"/>
      <c r="E21" s="257" t="s">
        <v>978</v>
      </c>
      <c r="F21" s="256"/>
      <c r="G21" s="349"/>
    </row>
    <row r="22" spans="1:7" ht="15">
      <c r="A22" s="348"/>
      <c r="B22" s="257">
        <v>0.6</v>
      </c>
      <c r="C22" s="257" t="s">
        <v>979</v>
      </c>
      <c r="D22" s="257"/>
      <c r="E22" s="257" t="s">
        <v>978</v>
      </c>
      <c r="F22" s="256"/>
      <c r="G22" s="349"/>
    </row>
    <row r="23" spans="1:7" ht="15">
      <c r="A23" s="348"/>
      <c r="B23" s="257">
        <v>0.6</v>
      </c>
      <c r="C23" s="257" t="s">
        <v>980</v>
      </c>
      <c r="D23" s="257"/>
      <c r="E23" s="257" t="s">
        <v>981</v>
      </c>
      <c r="F23" s="256"/>
      <c r="G23" s="349"/>
    </row>
    <row r="24" spans="1:7" ht="15">
      <c r="A24" s="344" t="s">
        <v>982</v>
      </c>
      <c r="B24" s="257">
        <v>1.8</v>
      </c>
      <c r="C24" s="258" t="s">
        <v>983</v>
      </c>
      <c r="D24" s="257"/>
      <c r="E24" s="259" t="s">
        <v>984</v>
      </c>
      <c r="F24" s="256"/>
      <c r="G24" s="346" t="s">
        <v>965</v>
      </c>
    </row>
    <row r="25" spans="1:7" ht="15">
      <c r="A25" s="353"/>
      <c r="B25" s="257">
        <v>0</v>
      </c>
      <c r="C25" s="258" t="s">
        <v>985</v>
      </c>
      <c r="D25" s="257"/>
      <c r="E25" s="259" t="s">
        <v>957</v>
      </c>
      <c r="F25" s="256"/>
      <c r="G25" s="355"/>
    </row>
    <row r="26" spans="1:7" ht="15">
      <c r="A26" s="353"/>
      <c r="B26" s="257">
        <v>0</v>
      </c>
      <c r="C26" s="258" t="s">
        <v>986</v>
      </c>
      <c r="D26" s="257"/>
      <c r="E26" s="259" t="s">
        <v>987</v>
      </c>
      <c r="F26" s="256"/>
      <c r="G26" s="355"/>
    </row>
    <row r="27" spans="1:7" ht="15">
      <c r="A27" s="353"/>
      <c r="B27" s="257">
        <v>0</v>
      </c>
      <c r="C27" s="258" t="s">
        <v>988</v>
      </c>
      <c r="D27" s="257"/>
      <c r="E27" s="259" t="s">
        <v>987</v>
      </c>
      <c r="F27" s="256"/>
      <c r="G27" s="355"/>
    </row>
    <row r="28" spans="1:7" ht="15">
      <c r="A28" s="353"/>
      <c r="B28" s="257">
        <v>0</v>
      </c>
      <c r="C28" s="258" t="s">
        <v>989</v>
      </c>
      <c r="D28" s="257"/>
      <c r="E28" s="259" t="s">
        <v>987</v>
      </c>
      <c r="F28" s="256"/>
      <c r="G28" s="355"/>
    </row>
    <row r="29" spans="1:7" ht="15">
      <c r="A29" s="353"/>
      <c r="B29" s="257">
        <v>0</v>
      </c>
      <c r="C29" s="258" t="s">
        <v>990</v>
      </c>
      <c r="D29" s="257"/>
      <c r="E29" s="259" t="s">
        <v>987</v>
      </c>
      <c r="F29" s="256"/>
      <c r="G29" s="355"/>
    </row>
    <row r="30" spans="1:7" ht="15">
      <c r="A30" s="353"/>
      <c r="B30" s="257">
        <v>0</v>
      </c>
      <c r="C30" s="258" t="s">
        <v>991</v>
      </c>
      <c r="D30" s="257"/>
      <c r="E30" s="259" t="s">
        <v>987</v>
      </c>
      <c r="F30" s="256"/>
      <c r="G30" s="355"/>
    </row>
    <row r="31" spans="1:7" ht="15">
      <c r="A31" s="353"/>
      <c r="B31" s="257">
        <v>0</v>
      </c>
      <c r="C31" s="258" t="s">
        <v>992</v>
      </c>
      <c r="D31" s="257"/>
      <c r="E31" s="259" t="s">
        <v>987</v>
      </c>
      <c r="F31" s="256"/>
      <c r="G31" s="355"/>
    </row>
    <row r="32" spans="1:7" ht="15">
      <c r="A32" s="353"/>
      <c r="B32" s="257">
        <v>0.9</v>
      </c>
      <c r="C32" s="258" t="s">
        <v>993</v>
      </c>
      <c r="D32" s="257"/>
      <c r="E32" s="259" t="s">
        <v>994</v>
      </c>
      <c r="F32" s="256"/>
      <c r="G32" s="355"/>
    </row>
    <row r="33" spans="1:7" ht="15">
      <c r="A33" s="353"/>
      <c r="B33" s="257">
        <v>1.3</v>
      </c>
      <c r="C33" s="258" t="s">
        <v>995</v>
      </c>
      <c r="D33" s="257"/>
      <c r="E33" s="259" t="s">
        <v>996</v>
      </c>
      <c r="F33" s="256"/>
      <c r="G33" s="355"/>
    </row>
    <row r="34" spans="1:7" ht="15">
      <c r="A34" s="353"/>
      <c r="B34" s="257">
        <v>1.8</v>
      </c>
      <c r="C34" s="258" t="s">
        <v>997</v>
      </c>
      <c r="D34" s="257"/>
      <c r="E34" s="259" t="s">
        <v>984</v>
      </c>
      <c r="F34" s="256"/>
      <c r="G34" s="355"/>
    </row>
    <row r="35" spans="1:7" ht="15">
      <c r="A35" s="353"/>
      <c r="B35" s="257">
        <v>1.8</v>
      </c>
      <c r="C35" s="258" t="s">
        <v>998</v>
      </c>
      <c r="D35" s="257"/>
      <c r="E35" s="259" t="s">
        <v>984</v>
      </c>
      <c r="F35" s="256"/>
      <c r="G35" s="355"/>
    </row>
    <row r="36" spans="1:7" ht="15">
      <c r="A36" s="353"/>
      <c r="B36" s="257">
        <v>1.8</v>
      </c>
      <c r="C36" s="258" t="s">
        <v>999</v>
      </c>
      <c r="D36" s="257"/>
      <c r="E36" s="259" t="s">
        <v>984</v>
      </c>
      <c r="F36" s="256"/>
      <c r="G36" s="355"/>
    </row>
    <row r="37" spans="1:7" ht="15">
      <c r="A37" s="353"/>
      <c r="B37" s="257">
        <v>1.8</v>
      </c>
      <c r="C37" s="258" t="s">
        <v>1000</v>
      </c>
      <c r="D37" s="257"/>
      <c r="E37" s="259" t="s">
        <v>984</v>
      </c>
      <c r="F37" s="256"/>
      <c r="G37" s="355"/>
    </row>
    <row r="38" spans="1:7" ht="15">
      <c r="A38" s="353"/>
      <c r="B38" s="257">
        <v>0</v>
      </c>
      <c r="C38" s="258" t="s">
        <v>1001</v>
      </c>
      <c r="D38" s="257"/>
      <c r="E38" s="259" t="s">
        <v>987</v>
      </c>
      <c r="F38" s="256"/>
      <c r="G38" s="355"/>
    </row>
    <row r="39" spans="1:7" ht="15">
      <c r="A39" s="353"/>
      <c r="B39" s="257">
        <v>0</v>
      </c>
      <c r="C39" s="258" t="s">
        <v>1002</v>
      </c>
      <c r="D39" s="257"/>
      <c r="E39" s="259" t="s">
        <v>987</v>
      </c>
      <c r="F39" s="256"/>
      <c r="G39" s="355"/>
    </row>
    <row r="40" spans="1:7" ht="15">
      <c r="A40" s="353"/>
      <c r="B40" s="257">
        <v>0.9</v>
      </c>
      <c r="C40" s="258" t="s">
        <v>1003</v>
      </c>
      <c r="D40" s="257"/>
      <c r="E40" s="259" t="s">
        <v>994</v>
      </c>
      <c r="F40" s="256"/>
      <c r="G40" s="355"/>
    </row>
    <row r="41" spans="1:7" ht="15">
      <c r="A41" s="353"/>
      <c r="B41" s="257">
        <v>0.9</v>
      </c>
      <c r="C41" s="258" t="s">
        <v>1004</v>
      </c>
      <c r="D41" s="257"/>
      <c r="E41" s="259" t="s">
        <v>994</v>
      </c>
      <c r="F41" s="256"/>
      <c r="G41" s="355"/>
    </row>
    <row r="42" spans="1:7" ht="15">
      <c r="A42" s="353"/>
      <c r="B42" s="257">
        <v>0</v>
      </c>
      <c r="C42" s="258" t="s">
        <v>1005</v>
      </c>
      <c r="D42" s="257"/>
      <c r="E42" s="259" t="s">
        <v>987</v>
      </c>
      <c r="F42" s="256"/>
      <c r="G42" s="355"/>
    </row>
    <row r="43" spans="1:7" ht="15">
      <c r="A43" s="353"/>
      <c r="B43" s="257">
        <v>0</v>
      </c>
      <c r="C43" s="258" t="s">
        <v>1006</v>
      </c>
      <c r="D43" s="257"/>
      <c r="E43" s="259" t="s">
        <v>987</v>
      </c>
      <c r="F43" s="256"/>
      <c r="G43" s="355"/>
    </row>
    <row r="44" spans="1:7" ht="15">
      <c r="A44" s="353"/>
      <c r="B44" s="257">
        <v>0</v>
      </c>
      <c r="C44" s="258" t="s">
        <v>1007</v>
      </c>
      <c r="D44" s="257"/>
      <c r="E44" s="259" t="s">
        <v>987</v>
      </c>
      <c r="F44" s="256"/>
      <c r="G44" s="355"/>
    </row>
    <row r="45" spans="1:7" ht="15">
      <c r="A45" s="353"/>
      <c r="B45" s="257">
        <v>0</v>
      </c>
      <c r="C45" s="258" t="s">
        <v>1008</v>
      </c>
      <c r="D45" s="257"/>
      <c r="E45" s="259" t="s">
        <v>987</v>
      </c>
      <c r="F45" s="256"/>
      <c r="G45" s="355"/>
    </row>
    <row r="46" spans="1:7" ht="15">
      <c r="A46" s="353"/>
      <c r="B46" s="257">
        <v>0</v>
      </c>
      <c r="C46" s="258" t="s">
        <v>1009</v>
      </c>
      <c r="D46" s="257"/>
      <c r="E46" s="259" t="s">
        <v>987</v>
      </c>
      <c r="F46" s="256"/>
      <c r="G46" s="355"/>
    </row>
    <row r="47" spans="1:7" ht="15">
      <c r="A47" s="353"/>
      <c r="B47" s="257">
        <v>0</v>
      </c>
      <c r="C47" s="258" t="s">
        <v>1010</v>
      </c>
      <c r="D47" s="257"/>
      <c r="E47" s="259" t="s">
        <v>987</v>
      </c>
      <c r="F47" s="256"/>
      <c r="G47" s="355"/>
    </row>
    <row r="48" spans="1:7" ht="15">
      <c r="A48" s="353"/>
      <c r="B48" s="257">
        <v>0.9</v>
      </c>
      <c r="C48" s="258" t="s">
        <v>1011</v>
      </c>
      <c r="D48" s="257"/>
      <c r="E48" s="259" t="s">
        <v>1012</v>
      </c>
      <c r="F48" s="256"/>
      <c r="G48" s="355"/>
    </row>
    <row r="49" spans="1:10" ht="15">
      <c r="A49" s="353"/>
      <c r="B49" s="257">
        <v>1.3</v>
      </c>
      <c r="C49" s="258" t="s">
        <v>1013</v>
      </c>
      <c r="D49" s="257"/>
      <c r="E49" s="259" t="s">
        <v>996</v>
      </c>
      <c r="F49" s="256"/>
      <c r="G49" s="355"/>
    </row>
    <row r="50" spans="1:10" ht="15">
      <c r="A50" s="353"/>
      <c r="B50" s="257">
        <v>1.8</v>
      </c>
      <c r="C50" s="258" t="s">
        <v>1014</v>
      </c>
      <c r="D50" s="257"/>
      <c r="E50" s="259" t="s">
        <v>984</v>
      </c>
      <c r="F50" s="256"/>
      <c r="G50" s="355"/>
    </row>
    <row r="51" spans="1:10" ht="15">
      <c r="A51" s="353"/>
      <c r="B51" s="257">
        <v>1.8</v>
      </c>
      <c r="C51" s="258" t="s">
        <v>1015</v>
      </c>
      <c r="D51" s="257"/>
      <c r="E51" s="259" t="s">
        <v>984</v>
      </c>
      <c r="F51" s="256"/>
      <c r="G51" s="355"/>
    </row>
    <row r="52" spans="1:10" ht="15">
      <c r="A52" s="353"/>
      <c r="B52" s="257">
        <v>1.8</v>
      </c>
      <c r="C52" s="258" t="s">
        <v>1016</v>
      </c>
      <c r="D52" s="257"/>
      <c r="E52" s="259" t="s">
        <v>984</v>
      </c>
      <c r="F52" s="256"/>
      <c r="G52" s="355"/>
    </row>
    <row r="53" spans="1:10" ht="15">
      <c r="A53" s="353"/>
      <c r="B53" s="257">
        <v>1.8</v>
      </c>
      <c r="C53" s="258" t="s">
        <v>1017</v>
      </c>
      <c r="D53" s="257"/>
      <c r="E53" s="259" t="s">
        <v>984</v>
      </c>
      <c r="F53" s="256"/>
      <c r="G53" s="355"/>
    </row>
    <row r="54" spans="1:10" ht="15">
      <c r="A54" s="353"/>
      <c r="B54" s="257">
        <v>0</v>
      </c>
      <c r="C54" s="258" t="s">
        <v>1018</v>
      </c>
      <c r="D54" s="257"/>
      <c r="E54" s="259" t="s">
        <v>987</v>
      </c>
      <c r="F54" s="256"/>
      <c r="G54" s="355"/>
    </row>
    <row r="55" spans="1:10" ht="15">
      <c r="A55" s="353"/>
      <c r="B55" s="257">
        <v>0</v>
      </c>
      <c r="C55" s="258" t="s">
        <v>1019</v>
      </c>
      <c r="D55" s="257"/>
      <c r="E55" s="259" t="s">
        <v>987</v>
      </c>
      <c r="F55" s="256"/>
      <c r="G55" s="355"/>
    </row>
    <row r="56" spans="1:10" ht="15">
      <c r="A56" s="353"/>
      <c r="B56" s="257">
        <v>0.9</v>
      </c>
      <c r="C56" s="258" t="s">
        <v>1020</v>
      </c>
      <c r="D56" s="257"/>
      <c r="E56" s="259" t="s">
        <v>1012</v>
      </c>
      <c r="F56" s="256"/>
      <c r="G56" s="355"/>
    </row>
    <row r="57" spans="1:10" ht="15">
      <c r="A57" s="354"/>
      <c r="B57" s="257">
        <v>0.9</v>
      </c>
      <c r="C57" s="258" t="s">
        <v>1021</v>
      </c>
      <c r="D57" s="257"/>
      <c r="E57" s="259" t="s">
        <v>1012</v>
      </c>
      <c r="F57" s="256"/>
      <c r="G57" s="356"/>
    </row>
    <row r="58" spans="1:10" ht="15">
      <c r="A58" s="344" t="s">
        <v>1022</v>
      </c>
      <c r="B58" s="256">
        <v>0.9</v>
      </c>
      <c r="C58" s="256" t="s">
        <v>1023</v>
      </c>
      <c r="D58" s="256"/>
      <c r="E58" s="256" t="s">
        <v>1023</v>
      </c>
      <c r="F58" s="256"/>
      <c r="G58" s="346" t="s">
        <v>1024</v>
      </c>
    </row>
    <row r="59" spans="1:10" ht="18">
      <c r="A59" s="348"/>
      <c r="B59" s="256">
        <v>0.9</v>
      </c>
      <c r="C59" s="260" t="s">
        <v>1025</v>
      </c>
      <c r="D59" s="256"/>
      <c r="E59" s="260" t="s">
        <v>1025</v>
      </c>
      <c r="F59" s="256"/>
      <c r="G59" s="349"/>
      <c r="I59" s="261"/>
      <c r="J59" s="262"/>
    </row>
    <row r="60" spans="1:10" ht="18">
      <c r="A60" s="348"/>
      <c r="B60" s="256">
        <v>0.9</v>
      </c>
      <c r="C60" s="260" t="s">
        <v>1026</v>
      </c>
      <c r="D60" s="256"/>
      <c r="E60" s="260" t="s">
        <v>1026</v>
      </c>
      <c r="F60" s="256"/>
      <c r="G60" s="349"/>
      <c r="I60" s="261"/>
      <c r="J60" s="263"/>
    </row>
    <row r="61" spans="1:10" ht="18">
      <c r="A61" s="348"/>
      <c r="B61" s="257">
        <v>3.3</v>
      </c>
      <c r="C61" s="264" t="s">
        <v>1027</v>
      </c>
      <c r="D61" s="257"/>
      <c r="E61" s="264" t="s">
        <v>1028</v>
      </c>
      <c r="F61" s="256"/>
      <c r="G61" s="349"/>
      <c r="I61" s="261"/>
      <c r="J61" s="265"/>
    </row>
    <row r="62" spans="1:10" ht="18">
      <c r="A62" s="348"/>
      <c r="B62" s="257">
        <v>3.3</v>
      </c>
      <c r="C62" s="264" t="s">
        <v>1029</v>
      </c>
      <c r="D62" s="257"/>
      <c r="E62" s="264" t="s">
        <v>1028</v>
      </c>
      <c r="F62" s="256"/>
      <c r="G62" s="349"/>
      <c r="I62" s="261"/>
      <c r="J62" s="265"/>
    </row>
    <row r="63" spans="1:10" ht="18">
      <c r="A63" s="348"/>
      <c r="B63" s="257">
        <v>0</v>
      </c>
      <c r="C63" s="264" t="s">
        <v>1030</v>
      </c>
      <c r="D63" s="257"/>
      <c r="E63" s="257" t="s">
        <v>957</v>
      </c>
      <c r="F63" s="256"/>
      <c r="G63" s="349"/>
      <c r="I63" s="261"/>
      <c r="J63" s="265"/>
    </row>
    <row r="64" spans="1:10" ht="18">
      <c r="A64" s="348"/>
      <c r="B64" s="257">
        <v>0</v>
      </c>
      <c r="C64" s="257" t="s">
        <v>1031</v>
      </c>
      <c r="D64" s="257"/>
      <c r="E64" s="257" t="s">
        <v>957</v>
      </c>
      <c r="F64" s="256"/>
      <c r="G64" s="349"/>
      <c r="I64" s="261"/>
      <c r="J64" s="265"/>
    </row>
    <row r="65" spans="1:10" ht="18">
      <c r="A65" s="345"/>
      <c r="B65" s="256">
        <v>0</v>
      </c>
      <c r="C65" s="256" t="s">
        <v>957</v>
      </c>
      <c r="D65" s="256"/>
      <c r="E65" s="256" t="s">
        <v>957</v>
      </c>
      <c r="F65" s="256"/>
      <c r="G65" s="347"/>
      <c r="I65" s="261"/>
      <c r="J65" s="265"/>
    </row>
    <row r="66" spans="1:10" ht="14.25" customHeight="1">
      <c r="A66" s="344" t="s">
        <v>1032</v>
      </c>
      <c r="B66" s="266">
        <v>0.9</v>
      </c>
      <c r="C66" s="266" t="s">
        <v>1033</v>
      </c>
      <c r="D66" s="266"/>
      <c r="E66" s="266" t="s">
        <v>1034</v>
      </c>
      <c r="F66" s="256"/>
      <c r="G66" s="350"/>
      <c r="I66" s="261"/>
      <c r="J66" s="265"/>
    </row>
    <row r="67" spans="1:10" ht="18">
      <c r="A67" s="348"/>
      <c r="B67" s="266">
        <v>0.9</v>
      </c>
      <c r="C67" s="266" t="s">
        <v>1035</v>
      </c>
      <c r="D67" s="266"/>
      <c r="E67" s="266" t="s">
        <v>1036</v>
      </c>
      <c r="F67" s="256"/>
      <c r="G67" s="351"/>
      <c r="I67" s="261"/>
      <c r="J67" s="262"/>
    </row>
    <row r="68" spans="1:10" ht="18">
      <c r="A68" s="348"/>
      <c r="B68" s="266">
        <v>1.8</v>
      </c>
      <c r="C68" s="266" t="s">
        <v>1037</v>
      </c>
      <c r="D68" s="266"/>
      <c r="E68" s="266" t="s">
        <v>1038</v>
      </c>
      <c r="F68" s="256"/>
      <c r="G68" s="351"/>
      <c r="I68" s="261"/>
      <c r="J68" s="262"/>
    </row>
    <row r="69" spans="1:10" ht="18">
      <c r="A69" s="345"/>
      <c r="B69" s="257">
        <v>0</v>
      </c>
      <c r="C69" s="257" t="s">
        <v>1039</v>
      </c>
      <c r="D69" s="257"/>
      <c r="E69" s="257" t="s">
        <v>957</v>
      </c>
      <c r="F69" s="256"/>
      <c r="G69" s="352"/>
      <c r="I69" s="261"/>
      <c r="J69" s="262"/>
    </row>
    <row r="70" spans="1:10" ht="18">
      <c r="A70" s="344" t="s">
        <v>1040</v>
      </c>
      <c r="B70" s="256">
        <v>1.2</v>
      </c>
      <c r="C70" s="256" t="s">
        <v>1041</v>
      </c>
      <c r="D70" s="256">
        <v>1</v>
      </c>
      <c r="E70" s="256" t="s">
        <v>1041</v>
      </c>
      <c r="F70" s="256"/>
      <c r="G70" s="346" t="s">
        <v>971</v>
      </c>
      <c r="I70" s="261"/>
      <c r="J70" s="262"/>
    </row>
    <row r="71" spans="1:10" ht="18">
      <c r="A71" s="345"/>
      <c r="B71" s="256">
        <v>0</v>
      </c>
      <c r="C71" s="256" t="s">
        <v>1042</v>
      </c>
      <c r="D71" s="256">
        <v>1</v>
      </c>
      <c r="E71" s="256" t="s">
        <v>1042</v>
      </c>
      <c r="F71" s="256"/>
      <c r="G71" s="347"/>
      <c r="I71" s="261"/>
      <c r="J71" s="262"/>
    </row>
    <row r="72" spans="1:10" ht="18">
      <c r="A72" s="344" t="s">
        <v>1043</v>
      </c>
      <c r="B72" s="256">
        <v>1.8</v>
      </c>
      <c r="C72" s="256" t="s">
        <v>1044</v>
      </c>
      <c r="D72" s="256">
        <v>3</v>
      </c>
      <c r="E72" s="256" t="s">
        <v>1044</v>
      </c>
      <c r="F72" s="256"/>
      <c r="G72" s="346"/>
      <c r="I72" s="261"/>
      <c r="J72" s="262"/>
    </row>
    <row r="73" spans="1:10" ht="18">
      <c r="A73" s="348"/>
      <c r="B73" s="256">
        <v>0.9</v>
      </c>
      <c r="C73" s="256" t="s">
        <v>1045</v>
      </c>
      <c r="D73" s="256">
        <v>3</v>
      </c>
      <c r="E73" s="256" t="s">
        <v>1045</v>
      </c>
      <c r="F73" s="256"/>
      <c r="G73" s="349"/>
      <c r="I73" s="261"/>
      <c r="J73" s="265"/>
    </row>
    <row r="74" spans="1:10" ht="18">
      <c r="A74" s="345"/>
      <c r="B74" s="256">
        <v>0</v>
      </c>
      <c r="C74" s="256" t="s">
        <v>1046</v>
      </c>
      <c r="D74" s="256">
        <v>3</v>
      </c>
      <c r="E74" s="256" t="s">
        <v>1046</v>
      </c>
      <c r="F74" s="256"/>
      <c r="G74" s="347"/>
      <c r="I74" s="261"/>
      <c r="J74" s="265"/>
    </row>
    <row r="75" spans="1:10" ht="18">
      <c r="A75" s="344" t="s">
        <v>1047</v>
      </c>
      <c r="B75" s="256">
        <v>1.8</v>
      </c>
      <c r="C75" s="256" t="s">
        <v>1048</v>
      </c>
      <c r="D75" s="256">
        <v>1</v>
      </c>
      <c r="E75" s="256" t="s">
        <v>1049</v>
      </c>
      <c r="F75" s="256"/>
      <c r="G75" s="346"/>
      <c r="I75" s="261"/>
      <c r="J75" s="262"/>
    </row>
    <row r="76" spans="1:10" ht="18">
      <c r="A76" s="348"/>
      <c r="B76" s="256">
        <v>0.9</v>
      </c>
      <c r="C76" s="256" t="s">
        <v>1050</v>
      </c>
      <c r="D76" s="256">
        <v>1</v>
      </c>
      <c r="E76" s="256" t="s">
        <v>1051</v>
      </c>
      <c r="F76" s="256"/>
      <c r="G76" s="349"/>
      <c r="I76" s="261"/>
      <c r="J76" s="262"/>
    </row>
    <row r="77" spans="1:10" ht="18">
      <c r="A77" s="345"/>
      <c r="B77" s="256">
        <v>0</v>
      </c>
      <c r="C77" s="256" t="s">
        <v>1052</v>
      </c>
      <c r="D77" s="256">
        <v>1</v>
      </c>
      <c r="E77" s="256" t="s">
        <v>1053</v>
      </c>
      <c r="F77" s="256"/>
      <c r="G77" s="347"/>
      <c r="I77" s="261"/>
      <c r="J77" s="265"/>
    </row>
    <row r="78" spans="1:10" ht="18">
      <c r="A78" s="344" t="s">
        <v>1054</v>
      </c>
      <c r="B78" s="256">
        <v>1.8</v>
      </c>
      <c r="C78" s="256" t="s">
        <v>1055</v>
      </c>
      <c r="D78" s="256">
        <v>1</v>
      </c>
      <c r="E78" s="256" t="s">
        <v>1055</v>
      </c>
      <c r="F78" s="256"/>
      <c r="G78" s="346"/>
      <c r="I78" s="261"/>
      <c r="J78" s="265"/>
    </row>
    <row r="79" spans="1:10" ht="18">
      <c r="A79" s="345"/>
      <c r="B79" s="257">
        <v>0</v>
      </c>
      <c r="C79" s="257" t="s">
        <v>1056</v>
      </c>
      <c r="D79" s="257">
        <v>1</v>
      </c>
      <c r="E79" s="257" t="s">
        <v>957</v>
      </c>
      <c r="F79" s="256"/>
      <c r="G79" s="347"/>
      <c r="I79" s="261"/>
      <c r="J79" s="265"/>
    </row>
    <row r="80" spans="1:10" ht="18">
      <c r="A80" s="266" t="s">
        <v>1057</v>
      </c>
      <c r="B80" s="256">
        <v>1.8</v>
      </c>
      <c r="C80" s="256" t="s">
        <v>1058</v>
      </c>
      <c r="D80" s="256">
        <v>1</v>
      </c>
      <c r="E80" s="256" t="s">
        <v>1058</v>
      </c>
      <c r="F80" s="256"/>
      <c r="G80" s="256" t="s">
        <v>971</v>
      </c>
      <c r="I80" s="261"/>
      <c r="J80" s="265"/>
    </row>
    <row r="81" spans="1:10" ht="18">
      <c r="A81" s="344" t="s">
        <v>1059</v>
      </c>
      <c r="B81" s="256">
        <v>1.8</v>
      </c>
      <c r="C81" s="256" t="s">
        <v>1060</v>
      </c>
      <c r="D81" s="256"/>
      <c r="E81" s="256" t="s">
        <v>1060</v>
      </c>
      <c r="F81" s="256"/>
      <c r="G81" s="346" t="s">
        <v>971</v>
      </c>
      <c r="I81" s="261"/>
      <c r="J81" s="265"/>
    </row>
    <row r="82" spans="1:10" ht="18">
      <c r="A82" s="345"/>
      <c r="B82" s="256">
        <v>0</v>
      </c>
      <c r="C82" s="256" t="s">
        <v>1061</v>
      </c>
      <c r="D82" s="256"/>
      <c r="E82" s="256" t="s">
        <v>1061</v>
      </c>
      <c r="F82" s="256"/>
      <c r="G82" s="347"/>
      <c r="I82" s="261"/>
      <c r="J82" s="265"/>
    </row>
    <row r="83" spans="1:10" ht="18">
      <c r="I83" s="261"/>
      <c r="J83" s="262"/>
    </row>
    <row r="84" spans="1:10" ht="18">
      <c r="I84" s="261"/>
      <c r="J84" s="262"/>
    </row>
    <row r="85" spans="1:10" ht="18">
      <c r="I85" s="261"/>
      <c r="J85" s="262"/>
    </row>
    <row r="86" spans="1:10" ht="18">
      <c r="I86" s="261"/>
      <c r="J86" s="262"/>
    </row>
    <row r="87" spans="1:10" ht="18">
      <c r="I87" s="261"/>
      <c r="J87" s="265"/>
    </row>
    <row r="88" spans="1:10" ht="18">
      <c r="I88" s="261"/>
      <c r="J88" s="265"/>
    </row>
    <row r="89" spans="1:10" ht="18">
      <c r="I89" s="261"/>
      <c r="J89" s="262"/>
    </row>
    <row r="90" spans="1:10" ht="18">
      <c r="I90" s="261"/>
      <c r="J90" s="262"/>
    </row>
  </sheetData>
  <mergeCells count="22">
    <mergeCell ref="A70:A71"/>
    <mergeCell ref="G70:G71"/>
    <mergeCell ref="A72:A74"/>
    <mergeCell ref="G72:G74"/>
    <mergeCell ref="A75:A77"/>
    <mergeCell ref="G75:G77"/>
    <mergeCell ref="A78:A79"/>
    <mergeCell ref="G78:G79"/>
    <mergeCell ref="A81:A82"/>
    <mergeCell ref="G81:G82"/>
    <mergeCell ref="A5:A11"/>
    <mergeCell ref="G5:G11"/>
    <mergeCell ref="A12:A14"/>
    <mergeCell ref="G12:G14"/>
    <mergeCell ref="A15:A23"/>
    <mergeCell ref="G15:G23"/>
    <mergeCell ref="A24:A57"/>
    <mergeCell ref="G24:G57"/>
    <mergeCell ref="A58:A65"/>
    <mergeCell ref="G58:G65"/>
    <mergeCell ref="A66:A69"/>
    <mergeCell ref="G66:G69"/>
  </mergeCells>
  <phoneticPr fontId="52" type="noConversion"/>
  <pageMargins left="0.74803149606299213" right="0.74803149606299213" top="0.98425196850393704" bottom="0.98425196850393704" header="0.51181102362204722" footer="0.51181102362204722"/>
  <pageSetup paperSize="9" orientation="portrait" r:id="rId1"/>
  <headerFooter alignWithMargins="0">
    <oddHeader>&amp;L&amp;G&amp;C&amp;F&amp;R文档密级</oddHeader>
    <oddFooter>&amp;L&amp;D&amp;C华为保密信息,未经授权禁止扩散&amp;R第&amp;P页，共&amp;N页</oddFooter>
  </headerFooter>
  <legacyDrawingHF r:id="rId2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1"/>
  <dimension ref="A4:B43"/>
  <sheetViews>
    <sheetView workbookViewId="0">
      <selection activeCell="B39" sqref="B39"/>
    </sheetView>
  </sheetViews>
  <sheetFormatPr defaultRowHeight="14.25"/>
  <cols>
    <col min="1" max="1" width="22.125" customWidth="1"/>
    <col min="2" max="2" width="61" customWidth="1"/>
  </cols>
  <sheetData>
    <row r="4" spans="1:2">
      <c r="A4" s="78" t="s">
        <v>117</v>
      </c>
    </row>
    <row r="6" spans="1:2">
      <c r="A6" s="76" t="s">
        <v>119</v>
      </c>
    </row>
    <row r="7" spans="1:2">
      <c r="A7" t="s">
        <v>118</v>
      </c>
      <c r="B7" t="s">
        <v>125</v>
      </c>
    </row>
    <row r="9" spans="1:2">
      <c r="A9" s="75" t="s">
        <v>107</v>
      </c>
    </row>
    <row r="10" spans="1:2">
      <c r="A10" t="s">
        <v>120</v>
      </c>
      <c r="B10" t="s">
        <v>124</v>
      </c>
    </row>
    <row r="11" spans="1:2">
      <c r="A11" t="s">
        <v>121</v>
      </c>
      <c r="B11" t="s">
        <v>123</v>
      </c>
    </row>
    <row r="12" spans="1:2">
      <c r="A12" t="s">
        <v>122</v>
      </c>
      <c r="B12" s="79">
        <v>43239</v>
      </c>
    </row>
    <row r="15" spans="1:2" ht="13.5" customHeight="1">
      <c r="A15" s="75" t="s">
        <v>108</v>
      </c>
    </row>
    <row r="16" spans="1:2">
      <c r="A16" t="s">
        <v>126</v>
      </c>
      <c r="B16" t="s">
        <v>127</v>
      </c>
    </row>
    <row r="17" spans="1:2">
      <c r="A17" t="s">
        <v>128</v>
      </c>
      <c r="B17" t="s">
        <v>129</v>
      </c>
    </row>
    <row r="18" spans="1:2">
      <c r="B18" s="79"/>
    </row>
    <row r="19" spans="1:2" ht="13.5" customHeight="1">
      <c r="A19" s="75" t="s">
        <v>130</v>
      </c>
    </row>
    <row r="20" spans="1:2">
      <c r="A20" t="s">
        <v>131</v>
      </c>
      <c r="B20" t="s">
        <v>135</v>
      </c>
    </row>
    <row r="21" spans="1:2">
      <c r="A21" t="s">
        <v>132</v>
      </c>
      <c r="B21" t="s">
        <v>136</v>
      </c>
    </row>
    <row r="22" spans="1:2">
      <c r="A22" t="s">
        <v>133</v>
      </c>
      <c r="B22" t="s">
        <v>137</v>
      </c>
    </row>
    <row r="23" spans="1:2">
      <c r="A23" t="s">
        <v>134</v>
      </c>
      <c r="B23" t="s">
        <v>137</v>
      </c>
    </row>
    <row r="25" spans="1:2" ht="13.5" customHeight="1">
      <c r="A25" s="75" t="s">
        <v>138</v>
      </c>
    </row>
    <row r="26" spans="1:2">
      <c r="A26" t="s">
        <v>139</v>
      </c>
    </row>
    <row r="27" spans="1:2">
      <c r="A27" t="s">
        <v>140</v>
      </c>
    </row>
    <row r="29" spans="1:2" ht="13.5" customHeight="1">
      <c r="A29" s="75" t="s">
        <v>141</v>
      </c>
    </row>
    <row r="30" spans="1:2">
      <c r="A30" t="s">
        <v>142</v>
      </c>
    </row>
    <row r="31" spans="1:2">
      <c r="A31" t="s">
        <v>143</v>
      </c>
    </row>
    <row r="32" spans="1:2">
      <c r="A32" t="s">
        <v>144</v>
      </c>
    </row>
    <row r="34" spans="1:1">
      <c r="A34" s="75" t="s">
        <v>145</v>
      </c>
    </row>
    <row r="35" spans="1:1">
      <c r="A35" t="s">
        <v>146</v>
      </c>
    </row>
    <row r="36" spans="1:1">
      <c r="A36" t="s">
        <v>147</v>
      </c>
    </row>
    <row r="37" spans="1:1">
      <c r="A37" t="s">
        <v>148</v>
      </c>
    </row>
    <row r="39" spans="1:1">
      <c r="A39" s="75" t="s">
        <v>149</v>
      </c>
    </row>
    <row r="40" spans="1:1">
      <c r="A40" t="s">
        <v>150</v>
      </c>
    </row>
    <row r="41" spans="1:1">
      <c r="A41" t="s">
        <v>151</v>
      </c>
    </row>
    <row r="43" spans="1:1">
      <c r="A43" t="s">
        <v>152</v>
      </c>
    </row>
  </sheetData>
  <phoneticPr fontId="3" type="noConversion"/>
  <pageMargins left="0.74803149606299213" right="0.74803149606299213" top="0.98425196850393704" bottom="0.98425196850393704" header="0.51181102362204722" footer="0.51181102362204722"/>
  <pageSetup paperSize="9" orientation="portrait" r:id="rId1"/>
  <headerFooter alignWithMargins="0">
    <oddHeader>&amp;L&amp;G&amp;C&amp;F&amp;R文档密级</oddHeader>
    <oddFooter>&amp;L&amp;D&amp;C海思机密，未经许可不得扩散&amp;R第&amp;P页，共&amp;N页</oddFooter>
  </headerFooter>
  <legacyDrawingHF r:id="rId2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8"/>
  <dimension ref="F11:AJ119"/>
  <sheetViews>
    <sheetView topLeftCell="F13" zoomScale="70" zoomScaleNormal="70" workbookViewId="0">
      <selection activeCell="V71" sqref="V71"/>
    </sheetView>
  </sheetViews>
  <sheetFormatPr defaultRowHeight="14.25"/>
  <cols>
    <col min="1" max="6" width="9" style="186"/>
    <col min="7" max="7" width="4.25" style="186" bestFit="1" customWidth="1"/>
    <col min="8" max="8" width="6.375" style="186" bestFit="1" customWidth="1"/>
    <col min="9" max="9" width="4.75" style="186" bestFit="1" customWidth="1"/>
    <col min="10" max="10" width="8.25" style="186" customWidth="1"/>
    <col min="11" max="11" width="12" style="186" customWidth="1"/>
    <col min="12" max="12" width="17.5" style="186" customWidth="1"/>
    <col min="13" max="13" width="16.75" style="186" customWidth="1"/>
    <col min="14" max="14" width="9" style="186"/>
    <col min="15" max="15" width="7.625" style="186" customWidth="1"/>
    <col min="16" max="16" width="7.75" style="186" customWidth="1"/>
    <col min="17" max="17" width="11" style="186" customWidth="1"/>
    <col min="18" max="18" width="8.5" style="186" customWidth="1"/>
    <col min="19" max="19" width="8.375" style="186" customWidth="1"/>
    <col min="20" max="20" width="15.875" style="186" customWidth="1"/>
    <col min="21" max="21" width="11.375" style="186" customWidth="1"/>
    <col min="22" max="22" width="8.5" style="186" customWidth="1"/>
    <col min="23" max="23" width="8.625" style="186" customWidth="1"/>
    <col min="24" max="24" width="9.75" style="186" customWidth="1"/>
    <col min="25" max="25" width="11.125" style="186" customWidth="1"/>
    <col min="26" max="26" width="4" style="186" customWidth="1"/>
    <col min="27" max="27" width="9" style="186"/>
    <col min="28" max="28" width="17.125" style="186" customWidth="1"/>
    <col min="29" max="29" width="15.375" style="186" customWidth="1"/>
    <col min="30" max="30" width="12" style="186" customWidth="1"/>
    <col min="31" max="32" width="11.875" style="186" customWidth="1"/>
    <col min="33" max="16384" width="9" style="186"/>
  </cols>
  <sheetData>
    <row r="11" spans="6:36">
      <c r="F11" s="51"/>
      <c r="G11" s="52"/>
      <c r="H11" s="52"/>
      <c r="I11" s="52"/>
      <c r="J11" s="52"/>
      <c r="K11" s="52"/>
      <c r="L11" s="52"/>
      <c r="M11" s="52"/>
      <c r="N11" s="52"/>
      <c r="O11" s="52"/>
      <c r="P11" s="52"/>
      <c r="Q11" s="52"/>
      <c r="R11" s="52"/>
      <c r="S11" s="52"/>
      <c r="T11" s="52"/>
      <c r="U11" s="52"/>
      <c r="V11" s="52"/>
      <c r="W11" s="52"/>
      <c r="X11" s="52"/>
      <c r="Y11" s="52"/>
      <c r="Z11" s="52"/>
      <c r="AA11" s="52"/>
      <c r="AB11" s="52"/>
      <c r="AC11" s="52"/>
      <c r="AD11" s="52"/>
      <c r="AE11" s="52"/>
      <c r="AF11" s="52"/>
      <c r="AG11" s="52"/>
      <c r="AH11" s="52"/>
      <c r="AI11" s="52"/>
      <c r="AJ11" s="53"/>
    </row>
    <row r="12" spans="6:36" ht="14.25" customHeight="1">
      <c r="F12" s="54"/>
      <c r="I12" s="184"/>
      <c r="J12" s="184"/>
      <c r="K12" s="184"/>
      <c r="L12" s="184"/>
      <c r="M12" s="184"/>
      <c r="N12" s="184"/>
      <c r="O12" s="184"/>
      <c r="R12" s="184"/>
      <c r="S12" s="184"/>
      <c r="T12" s="184"/>
      <c r="U12" s="184"/>
      <c r="V12" s="184"/>
      <c r="W12" s="184"/>
      <c r="X12" s="184"/>
      <c r="Y12" s="184"/>
      <c r="Z12" s="184"/>
      <c r="AA12" s="184"/>
      <c r="AB12" s="184"/>
      <c r="AC12" s="184"/>
      <c r="AD12" s="184"/>
      <c r="AE12" s="184"/>
      <c r="AF12" s="184"/>
      <c r="AG12" s="184"/>
      <c r="AH12" s="184"/>
      <c r="AI12" s="184"/>
      <c r="AJ12" s="55"/>
    </row>
    <row r="13" spans="6:36">
      <c r="F13" s="54"/>
      <c r="G13" s="184"/>
      <c r="H13" s="184"/>
      <c r="I13" s="184"/>
      <c r="J13" s="184"/>
      <c r="K13" s="184"/>
      <c r="L13" s="184"/>
      <c r="M13" s="184"/>
      <c r="N13" s="184"/>
      <c r="O13" s="184"/>
      <c r="R13" s="184"/>
      <c r="S13" s="184"/>
      <c r="T13" s="184"/>
      <c r="U13" s="184"/>
      <c r="V13" s="199"/>
      <c r="W13" s="184"/>
      <c r="X13" s="184"/>
      <c r="Y13" s="184"/>
      <c r="Z13" s="184"/>
      <c r="AA13" s="184"/>
      <c r="AB13" s="184"/>
      <c r="AC13" s="184"/>
      <c r="AD13" s="184"/>
      <c r="AE13" s="184"/>
      <c r="AF13" s="184"/>
      <c r="AG13" s="184"/>
      <c r="AH13" s="184"/>
      <c r="AI13" s="184"/>
      <c r="AJ13" s="55"/>
    </row>
    <row r="14" spans="6:36" ht="14.25" customHeight="1">
      <c r="F14" s="54"/>
      <c r="G14" s="184"/>
      <c r="H14" s="184"/>
      <c r="I14" s="184"/>
      <c r="J14" s="184"/>
      <c r="K14" s="184"/>
      <c r="L14" s="184"/>
      <c r="M14" s="184"/>
      <c r="N14" s="184"/>
      <c r="O14" s="184"/>
      <c r="R14" s="184"/>
      <c r="S14" s="184"/>
      <c r="T14" s="184"/>
      <c r="U14" s="184"/>
      <c r="V14" s="184"/>
      <c r="W14" s="184"/>
      <c r="X14" s="184"/>
      <c r="Y14" s="184"/>
      <c r="Z14" s="184"/>
      <c r="AA14" s="184"/>
      <c r="AB14" s="184"/>
      <c r="AC14" s="184"/>
      <c r="AD14" s="184"/>
      <c r="AE14" s="184"/>
      <c r="AF14" s="184"/>
      <c r="AG14" s="184"/>
      <c r="AH14" s="184"/>
      <c r="AI14" s="184"/>
      <c r="AJ14" s="55"/>
    </row>
    <row r="15" spans="6:36">
      <c r="F15" s="54"/>
      <c r="G15" s="184"/>
      <c r="H15" s="184"/>
      <c r="I15" s="184"/>
      <c r="J15" s="184"/>
      <c r="K15" s="184"/>
      <c r="L15" s="184"/>
      <c r="M15" s="184"/>
      <c r="N15" s="184"/>
      <c r="O15" s="184"/>
      <c r="R15" s="184"/>
      <c r="S15" s="184"/>
      <c r="T15" s="184"/>
      <c r="U15" s="184"/>
      <c r="V15" s="184"/>
      <c r="W15" s="184"/>
      <c r="X15" s="184"/>
      <c r="Y15" s="184"/>
      <c r="Z15" s="184"/>
      <c r="AA15" s="184"/>
      <c r="AB15" s="184"/>
      <c r="AC15" s="184"/>
      <c r="AD15" s="184"/>
      <c r="AE15" s="184"/>
      <c r="AF15" s="184"/>
      <c r="AG15" s="184"/>
      <c r="AH15" s="184"/>
      <c r="AI15" s="184"/>
      <c r="AJ15" s="55"/>
    </row>
    <row r="16" spans="6:36">
      <c r="F16" s="54"/>
      <c r="G16" s="184"/>
      <c r="H16" s="184"/>
      <c r="I16" s="184"/>
      <c r="J16" s="184"/>
      <c r="K16" s="184"/>
      <c r="L16" s="184"/>
      <c r="M16" s="184"/>
      <c r="N16" s="184"/>
      <c r="O16" s="184"/>
      <c r="R16" s="184"/>
      <c r="S16" s="184"/>
      <c r="T16" s="184"/>
      <c r="U16" s="184"/>
      <c r="V16" s="184"/>
      <c r="W16" s="184"/>
      <c r="X16" s="184"/>
      <c r="Y16" s="184"/>
      <c r="Z16" s="184"/>
      <c r="AA16" s="184"/>
      <c r="AB16" s="184"/>
      <c r="AC16" s="184"/>
      <c r="AD16" s="184"/>
      <c r="AE16" s="184"/>
      <c r="AF16" s="184"/>
      <c r="AG16" s="184"/>
      <c r="AH16" s="184"/>
      <c r="AI16" s="184"/>
      <c r="AJ16" s="55"/>
    </row>
    <row r="17" spans="6:36">
      <c r="F17" s="54"/>
      <c r="G17" s="184"/>
      <c r="H17" s="184"/>
      <c r="I17" s="184"/>
      <c r="J17" s="184"/>
      <c r="N17" s="184"/>
      <c r="O17" s="372" t="s">
        <v>542</v>
      </c>
      <c r="P17" s="373"/>
      <c r="Q17" s="383" t="s">
        <v>542</v>
      </c>
      <c r="R17" s="384"/>
      <c r="S17" s="384"/>
      <c r="T17" s="385"/>
      <c r="U17" s="375" t="s">
        <v>543</v>
      </c>
      <c r="V17" s="376"/>
      <c r="W17" s="377"/>
      <c r="X17" s="377"/>
      <c r="Y17" s="377"/>
      <c r="Z17" s="378"/>
      <c r="AA17" s="184"/>
      <c r="AC17" s="192"/>
      <c r="AD17" s="193"/>
      <c r="AE17" s="193"/>
      <c r="AF17" s="184"/>
      <c r="AG17" s="184"/>
      <c r="AH17" s="184"/>
      <c r="AI17" s="184"/>
      <c r="AJ17" s="55"/>
    </row>
    <row r="18" spans="6:36">
      <c r="F18" s="54"/>
      <c r="G18" s="184"/>
      <c r="H18" s="184"/>
      <c r="I18" s="184"/>
      <c r="J18" s="184"/>
      <c r="N18" s="184"/>
      <c r="O18" s="372" t="s">
        <v>544</v>
      </c>
      <c r="P18" s="373"/>
      <c r="Q18" s="383" t="s">
        <v>545</v>
      </c>
      <c r="R18" s="384"/>
      <c r="S18" s="384"/>
      <c r="T18" s="385"/>
      <c r="U18" s="379" t="s">
        <v>546</v>
      </c>
      <c r="V18" s="380"/>
      <c r="W18" s="380" t="s">
        <v>545</v>
      </c>
      <c r="X18" s="380"/>
      <c r="Y18" s="380"/>
      <c r="Z18" s="381"/>
      <c r="AA18" s="184"/>
      <c r="AC18" s="192"/>
      <c r="AD18" s="193"/>
      <c r="AE18" s="193"/>
      <c r="AF18" s="184"/>
      <c r="AG18" s="184"/>
      <c r="AH18" s="184"/>
      <c r="AI18" s="184"/>
      <c r="AJ18" s="55"/>
    </row>
    <row r="19" spans="6:36">
      <c r="F19" s="54"/>
      <c r="G19" s="184"/>
      <c r="H19" s="184"/>
      <c r="I19" s="184"/>
      <c r="J19" s="184"/>
      <c r="N19" s="184"/>
      <c r="O19" s="372">
        <v>22</v>
      </c>
      <c r="P19" s="373"/>
      <c r="Q19" s="383">
        <v>6</v>
      </c>
      <c r="R19" s="384"/>
      <c r="S19" s="384"/>
      <c r="T19" s="385"/>
      <c r="U19" s="375">
        <v>32</v>
      </c>
      <c r="V19" s="376"/>
      <c r="W19" s="376"/>
      <c r="X19" s="376"/>
      <c r="Y19" s="376"/>
      <c r="Z19" s="382"/>
      <c r="AA19" s="184"/>
      <c r="AC19" s="192"/>
      <c r="AD19" s="193"/>
      <c r="AE19" s="193"/>
      <c r="AF19" s="184"/>
      <c r="AG19" s="184"/>
      <c r="AH19" s="184"/>
      <c r="AI19" s="184"/>
      <c r="AJ19" s="55"/>
    </row>
    <row r="20" spans="6:36">
      <c r="F20" s="54"/>
      <c r="G20" s="184"/>
      <c r="H20" s="184"/>
      <c r="I20" s="184"/>
      <c r="J20" s="184"/>
      <c r="N20" s="184"/>
      <c r="O20" s="372"/>
      <c r="P20" s="373"/>
      <c r="Q20" s="383" t="s">
        <v>547</v>
      </c>
      <c r="R20" s="384"/>
      <c r="S20" s="384"/>
      <c r="T20" s="385"/>
      <c r="U20" s="375"/>
      <c r="V20" s="376"/>
      <c r="W20" s="376"/>
      <c r="X20" s="376"/>
      <c r="Y20" s="376"/>
      <c r="Z20" s="382"/>
      <c r="AA20" s="184"/>
      <c r="AC20" s="192"/>
      <c r="AD20" s="193"/>
      <c r="AE20" s="193"/>
      <c r="AF20" s="184"/>
      <c r="AG20" s="184"/>
      <c r="AH20" s="184"/>
      <c r="AI20" s="184"/>
      <c r="AJ20" s="55"/>
    </row>
    <row r="21" spans="6:36" ht="14.25" customHeight="1">
      <c r="F21" s="54"/>
      <c r="G21" s="184"/>
      <c r="H21" s="184"/>
      <c r="I21" s="184"/>
      <c r="J21" s="184"/>
      <c r="N21" s="184"/>
      <c r="O21" s="372"/>
      <c r="P21" s="373"/>
      <c r="Q21" s="383" t="s">
        <v>548</v>
      </c>
      <c r="R21" s="384"/>
      <c r="S21" s="384"/>
      <c r="T21" s="385"/>
      <c r="U21" s="375"/>
      <c r="V21" s="376"/>
      <c r="W21" s="377"/>
      <c r="X21" s="377"/>
      <c r="Y21" s="377"/>
      <c r="Z21" s="378"/>
      <c r="AA21" s="184"/>
      <c r="AC21" s="192"/>
      <c r="AD21" s="193"/>
      <c r="AE21" s="193"/>
      <c r="AF21" s="184"/>
      <c r="AG21" s="184"/>
      <c r="AH21" s="184"/>
      <c r="AI21" s="184"/>
      <c r="AJ21" s="55"/>
    </row>
    <row r="22" spans="6:36">
      <c r="F22" s="54"/>
      <c r="G22" s="184"/>
      <c r="H22" s="184"/>
      <c r="I22" s="184"/>
      <c r="J22" s="184"/>
      <c r="N22" s="184"/>
      <c r="O22" s="372"/>
      <c r="P22" s="373"/>
      <c r="Q22" s="383" t="s">
        <v>549</v>
      </c>
      <c r="R22" s="384"/>
      <c r="S22" s="384"/>
      <c r="T22" s="385"/>
      <c r="U22" s="375"/>
      <c r="V22" s="376"/>
      <c r="W22" s="377"/>
      <c r="X22" s="377"/>
      <c r="Y22" s="377"/>
      <c r="Z22" s="378"/>
      <c r="AA22" s="184"/>
      <c r="AC22" s="192"/>
      <c r="AD22" s="193"/>
      <c r="AE22" s="193"/>
      <c r="AF22" s="184"/>
      <c r="AG22" s="184"/>
      <c r="AH22" s="184"/>
      <c r="AI22" s="184"/>
      <c r="AJ22" s="55"/>
    </row>
    <row r="23" spans="6:36">
      <c r="F23" s="54"/>
      <c r="G23" s="184"/>
      <c r="H23" s="184"/>
      <c r="I23" s="184"/>
      <c r="J23" s="184"/>
      <c r="N23" s="184"/>
      <c r="O23" s="372" t="s">
        <v>550</v>
      </c>
      <c r="P23" s="373"/>
      <c r="Q23" s="383" t="s">
        <v>551</v>
      </c>
      <c r="R23" s="384"/>
      <c r="S23" s="384"/>
      <c r="T23" s="385"/>
      <c r="U23" s="375"/>
      <c r="V23" s="376"/>
      <c r="W23" s="377"/>
      <c r="X23" s="377"/>
      <c r="Y23" s="377"/>
      <c r="Z23" s="378" t="s">
        <v>552</v>
      </c>
      <c r="AA23" s="184"/>
      <c r="AC23" s="192"/>
      <c r="AD23" s="193"/>
      <c r="AE23" s="193"/>
      <c r="AF23" s="184"/>
      <c r="AG23" s="184"/>
      <c r="AH23" s="184"/>
      <c r="AI23" s="184"/>
      <c r="AJ23" s="55"/>
    </row>
    <row r="24" spans="6:36">
      <c r="F24" s="54"/>
      <c r="G24" s="184"/>
      <c r="H24" s="184"/>
      <c r="I24" s="184"/>
      <c r="J24" s="184"/>
      <c r="N24" s="184"/>
      <c r="O24" s="372" t="s">
        <v>553</v>
      </c>
      <c r="P24" s="373"/>
      <c r="Q24" s="383" t="s">
        <v>554</v>
      </c>
      <c r="R24" s="384"/>
      <c r="S24" s="384"/>
      <c r="T24" s="385"/>
      <c r="U24" s="375" t="s">
        <v>543</v>
      </c>
      <c r="V24" s="376"/>
      <c r="W24" s="377" t="s">
        <v>555</v>
      </c>
      <c r="X24" s="377"/>
      <c r="Y24" s="377"/>
      <c r="Z24" s="378" t="s">
        <v>556</v>
      </c>
      <c r="AA24" s="184"/>
      <c r="AC24" s="192"/>
      <c r="AD24" s="193"/>
      <c r="AE24" s="193"/>
      <c r="AF24" s="184"/>
      <c r="AG24" s="184"/>
      <c r="AH24" s="184"/>
      <c r="AI24" s="184"/>
      <c r="AJ24" s="55"/>
    </row>
    <row r="25" spans="6:36">
      <c r="F25" s="54"/>
      <c r="G25" s="49" t="s">
        <v>557</v>
      </c>
      <c r="H25" s="49" t="s">
        <v>558</v>
      </c>
      <c r="I25" s="50" t="s">
        <v>559</v>
      </c>
      <c r="J25" s="50" t="s">
        <v>560</v>
      </c>
      <c r="K25" s="50" t="s">
        <v>561</v>
      </c>
      <c r="L25" s="50" t="s">
        <v>562</v>
      </c>
      <c r="M25" s="50" t="s">
        <v>563</v>
      </c>
      <c r="N25" s="184"/>
      <c r="O25" s="374" t="s">
        <v>47</v>
      </c>
      <c r="P25" s="374"/>
      <c r="Q25" s="374"/>
      <c r="R25" s="374"/>
      <c r="S25" s="374"/>
      <c r="T25" s="374"/>
      <c r="U25" s="374"/>
      <c r="V25" s="374"/>
      <c r="W25" s="374"/>
      <c r="X25" s="374"/>
      <c r="Y25" s="374"/>
      <c r="Z25" s="374"/>
      <c r="AA25" s="184"/>
      <c r="AB25" s="184"/>
      <c r="AC25" s="184"/>
      <c r="AD25" s="184"/>
      <c r="AE25" s="184"/>
      <c r="AF25" s="184"/>
      <c r="AG25" s="184"/>
      <c r="AH25" s="184"/>
      <c r="AI25" s="184"/>
      <c r="AJ25" s="55"/>
    </row>
    <row r="26" spans="6:36" ht="14.25" customHeight="1">
      <c r="F26" s="54"/>
      <c r="G26" s="365" t="s">
        <v>564</v>
      </c>
      <c r="H26" s="362" t="s">
        <v>565</v>
      </c>
      <c r="I26" s="362">
        <v>62</v>
      </c>
      <c r="J26" s="169"/>
      <c r="K26" s="169"/>
      <c r="L26" s="169"/>
      <c r="M26" s="368" t="s">
        <v>566</v>
      </c>
      <c r="N26" s="371" t="s">
        <v>567</v>
      </c>
      <c r="O26" s="184"/>
      <c r="P26" s="184"/>
      <c r="Q26" s="184"/>
      <c r="R26" s="184"/>
      <c r="S26" s="184"/>
      <c r="T26" s="199">
        <f>SUM(O19:Z19)</f>
        <v>60</v>
      </c>
      <c r="U26" s="184"/>
      <c r="V26" s="184"/>
      <c r="W26" s="184"/>
      <c r="X26" s="184"/>
      <c r="Y26" s="184"/>
      <c r="Z26" s="184"/>
      <c r="AA26" s="371" t="s">
        <v>568</v>
      </c>
      <c r="AB26" s="360" t="s">
        <v>554</v>
      </c>
      <c r="AC26" s="360" t="s">
        <v>569</v>
      </c>
      <c r="AD26" s="360" t="s">
        <v>549</v>
      </c>
      <c r="AE26" s="360" t="s">
        <v>570</v>
      </c>
      <c r="AF26" s="360"/>
      <c r="AG26" s="360">
        <v>6</v>
      </c>
      <c r="AH26" s="360" t="s">
        <v>544</v>
      </c>
      <c r="AI26" s="360" t="s">
        <v>542</v>
      </c>
      <c r="AJ26" s="200"/>
    </row>
    <row r="27" spans="6:36">
      <c r="F27" s="54"/>
      <c r="G27" s="366"/>
      <c r="H27" s="363"/>
      <c r="I27" s="363"/>
      <c r="J27" s="169"/>
      <c r="K27" s="169"/>
      <c r="L27" s="169"/>
      <c r="M27" s="369"/>
      <c r="N27" s="371"/>
      <c r="O27" s="184"/>
      <c r="P27" s="184"/>
      <c r="Q27" s="184"/>
      <c r="R27" s="184"/>
      <c r="S27" s="184"/>
      <c r="T27" s="184"/>
      <c r="U27" s="184"/>
      <c r="V27" s="184"/>
      <c r="W27" s="184"/>
      <c r="X27" s="184"/>
      <c r="Y27" s="184"/>
      <c r="Z27" s="184"/>
      <c r="AA27" s="371"/>
      <c r="AB27" s="360"/>
      <c r="AC27" s="360"/>
      <c r="AD27" s="360"/>
      <c r="AE27" s="360"/>
      <c r="AF27" s="360"/>
      <c r="AG27" s="360"/>
      <c r="AH27" s="360" t="s">
        <v>544</v>
      </c>
      <c r="AI27" s="360" t="s">
        <v>571</v>
      </c>
      <c r="AJ27" s="200"/>
    </row>
    <row r="28" spans="6:36">
      <c r="F28" s="54"/>
      <c r="G28" s="366"/>
      <c r="H28" s="363"/>
      <c r="I28" s="363"/>
      <c r="J28" s="169"/>
      <c r="K28" s="169"/>
      <c r="L28" s="169"/>
      <c r="M28" s="369"/>
      <c r="N28" s="371"/>
      <c r="O28" s="184"/>
      <c r="P28" s="184"/>
      <c r="Q28" s="184"/>
      <c r="R28" s="184"/>
      <c r="S28" s="184"/>
      <c r="T28" s="184"/>
      <c r="U28" s="184"/>
      <c r="V28" s="184"/>
      <c r="W28" s="184"/>
      <c r="X28" s="184"/>
      <c r="Y28" s="184"/>
      <c r="Z28" s="184"/>
      <c r="AA28" s="371"/>
      <c r="AB28" s="360"/>
      <c r="AC28" s="360"/>
      <c r="AD28" s="360"/>
      <c r="AE28" s="360"/>
      <c r="AF28" s="360"/>
      <c r="AG28" s="360"/>
      <c r="AH28" s="360"/>
      <c r="AI28" s="360"/>
      <c r="AJ28" s="200"/>
    </row>
    <row r="29" spans="6:36">
      <c r="F29" s="54"/>
      <c r="G29" s="366"/>
      <c r="H29" s="363"/>
      <c r="I29" s="363"/>
      <c r="J29" s="169"/>
      <c r="K29" s="169"/>
      <c r="L29" s="169"/>
      <c r="M29" s="369"/>
      <c r="N29" s="371"/>
      <c r="O29" s="184"/>
      <c r="P29" s="184"/>
      <c r="Q29" s="184"/>
      <c r="R29" s="184"/>
      <c r="S29" s="184"/>
      <c r="T29" s="171"/>
      <c r="U29" s="171"/>
      <c r="V29" s="184"/>
      <c r="W29" s="184"/>
      <c r="X29" s="184"/>
      <c r="Y29" s="184"/>
      <c r="Z29" s="184"/>
      <c r="AA29" s="371"/>
      <c r="AB29" s="360"/>
      <c r="AC29" s="360"/>
      <c r="AD29" s="360"/>
      <c r="AE29" s="360"/>
      <c r="AF29" s="360"/>
      <c r="AG29" s="360"/>
      <c r="AH29" s="360"/>
      <c r="AI29" s="360"/>
      <c r="AJ29" s="200"/>
    </row>
    <row r="30" spans="6:36" ht="14.25" customHeight="1">
      <c r="F30" s="54"/>
      <c r="G30" s="366"/>
      <c r="H30" s="363"/>
      <c r="I30" s="363"/>
      <c r="J30" s="169"/>
      <c r="K30" s="169"/>
      <c r="L30" s="169"/>
      <c r="M30" s="369"/>
      <c r="N30" s="371"/>
      <c r="O30" s="184"/>
      <c r="P30" s="184"/>
      <c r="Q30" s="184"/>
      <c r="R30" s="184"/>
      <c r="S30" s="184"/>
      <c r="T30" s="171"/>
      <c r="U30" s="171"/>
      <c r="V30" s="184"/>
      <c r="W30" s="184"/>
      <c r="X30" s="184"/>
      <c r="Y30" s="184"/>
      <c r="Z30" s="184"/>
      <c r="AA30" s="371"/>
      <c r="AB30" s="360"/>
      <c r="AC30" s="360"/>
      <c r="AD30" s="360"/>
      <c r="AE30" s="360"/>
      <c r="AF30" s="360"/>
      <c r="AG30" s="360"/>
      <c r="AH30" s="360"/>
      <c r="AI30" s="360"/>
      <c r="AJ30" s="55"/>
    </row>
    <row r="31" spans="6:36">
      <c r="F31" s="54"/>
      <c r="G31" s="366"/>
      <c r="H31" s="363"/>
      <c r="I31" s="363"/>
      <c r="J31" s="169"/>
      <c r="K31" s="169"/>
      <c r="L31" s="169"/>
      <c r="M31" s="369"/>
      <c r="N31" s="371"/>
      <c r="O31" s="184"/>
      <c r="P31" s="184"/>
      <c r="Q31" s="184"/>
      <c r="R31" s="184"/>
      <c r="S31" s="184"/>
      <c r="T31" s="174"/>
      <c r="U31" s="184"/>
      <c r="V31" s="184"/>
      <c r="W31" s="184"/>
      <c r="X31" s="184"/>
      <c r="Y31" s="184"/>
      <c r="Z31" s="184"/>
      <c r="AA31" s="371"/>
      <c r="AB31" s="360"/>
      <c r="AC31" s="360"/>
      <c r="AD31" s="360"/>
      <c r="AE31" s="360"/>
      <c r="AF31" s="360"/>
      <c r="AG31" s="360"/>
      <c r="AH31" s="360"/>
      <c r="AI31" s="360"/>
      <c r="AJ31" s="55"/>
    </row>
    <row r="32" spans="6:36" ht="14.25" customHeight="1">
      <c r="F32" s="54"/>
      <c r="G32" s="366"/>
      <c r="H32" s="363"/>
      <c r="I32" s="363"/>
      <c r="J32" s="169"/>
      <c r="K32" s="169"/>
      <c r="L32" s="169"/>
      <c r="M32" s="369"/>
      <c r="N32" s="371"/>
      <c r="O32" s="184"/>
      <c r="P32" s="184"/>
      <c r="Q32" s="184"/>
      <c r="R32" s="184"/>
      <c r="S32" s="184"/>
      <c r="T32" s="184"/>
      <c r="U32" s="184"/>
      <c r="V32" s="184"/>
      <c r="W32" s="184"/>
      <c r="X32" s="184"/>
      <c r="Y32" s="184"/>
      <c r="Z32" s="184"/>
      <c r="AA32" s="371"/>
      <c r="AB32" s="357" t="s">
        <v>572</v>
      </c>
      <c r="AC32" s="357" t="s">
        <v>573</v>
      </c>
      <c r="AD32" s="357"/>
      <c r="AE32" s="357"/>
      <c r="AF32" s="357"/>
      <c r="AG32" s="357">
        <v>28</v>
      </c>
      <c r="AH32" s="357" t="s">
        <v>544</v>
      </c>
      <c r="AI32" s="357" t="s">
        <v>542</v>
      </c>
      <c r="AJ32" s="55"/>
    </row>
    <row r="33" spans="6:36">
      <c r="F33" s="54"/>
      <c r="G33" s="366"/>
      <c r="H33" s="363"/>
      <c r="I33" s="363"/>
      <c r="J33" s="169"/>
      <c r="K33" s="169"/>
      <c r="L33" s="169"/>
      <c r="M33" s="369"/>
      <c r="N33" s="371"/>
      <c r="O33" s="184"/>
      <c r="P33" s="184"/>
      <c r="Q33" s="184"/>
      <c r="R33" s="184"/>
      <c r="S33" s="184"/>
      <c r="T33" s="184"/>
      <c r="U33" s="184"/>
      <c r="V33" s="184"/>
      <c r="W33" s="184"/>
      <c r="X33" s="184"/>
      <c r="Y33" s="184"/>
      <c r="Z33" s="184"/>
      <c r="AA33" s="371"/>
      <c r="AB33" s="358"/>
      <c r="AC33" s="358"/>
      <c r="AD33" s="358"/>
      <c r="AE33" s="358"/>
      <c r="AF33" s="358"/>
      <c r="AG33" s="358"/>
      <c r="AH33" s="358" t="s">
        <v>574</v>
      </c>
      <c r="AI33" s="358" t="s">
        <v>571</v>
      </c>
      <c r="AJ33" s="55"/>
    </row>
    <row r="34" spans="6:36" ht="14.25" customHeight="1">
      <c r="F34" s="54"/>
      <c r="G34" s="366"/>
      <c r="H34" s="363"/>
      <c r="I34" s="363"/>
      <c r="J34" s="169"/>
      <c r="K34" s="169"/>
      <c r="L34" s="169"/>
      <c r="M34" s="369"/>
      <c r="N34" s="371"/>
      <c r="O34" s="184"/>
      <c r="P34" s="184"/>
      <c r="Q34" s="184"/>
      <c r="R34" s="184"/>
      <c r="S34" s="184"/>
      <c r="T34" s="184"/>
      <c r="U34" s="184"/>
      <c r="V34" s="184"/>
      <c r="W34" s="184"/>
      <c r="X34" s="184"/>
      <c r="Y34" s="184"/>
      <c r="Z34" s="184"/>
      <c r="AA34" s="371"/>
      <c r="AB34" s="358"/>
      <c r="AC34" s="358"/>
      <c r="AD34" s="358"/>
      <c r="AE34" s="358"/>
      <c r="AF34" s="358"/>
      <c r="AG34" s="358"/>
      <c r="AH34" s="358"/>
      <c r="AI34" s="358"/>
      <c r="AJ34" s="55"/>
    </row>
    <row r="35" spans="6:36" ht="12.75" customHeight="1">
      <c r="F35" s="54"/>
      <c r="G35" s="366"/>
      <c r="H35" s="363"/>
      <c r="I35" s="363"/>
      <c r="J35" s="169"/>
      <c r="K35" s="169"/>
      <c r="L35" s="169"/>
      <c r="M35" s="369"/>
      <c r="N35" s="371"/>
      <c r="O35" s="184"/>
      <c r="P35" s="184"/>
      <c r="Q35" s="184"/>
      <c r="R35" s="184"/>
      <c r="S35" s="184"/>
      <c r="T35" s="184"/>
      <c r="U35" s="184"/>
      <c r="V35" s="184"/>
      <c r="W35" s="184"/>
      <c r="X35" s="184"/>
      <c r="Y35" s="184"/>
      <c r="Z35" s="184"/>
      <c r="AA35" s="371"/>
      <c r="AB35" s="358"/>
      <c r="AC35" s="358"/>
      <c r="AD35" s="358"/>
      <c r="AE35" s="358"/>
      <c r="AF35" s="358"/>
      <c r="AG35" s="358"/>
      <c r="AH35" s="358"/>
      <c r="AI35" s="358"/>
      <c r="AJ35" s="55"/>
    </row>
    <row r="36" spans="6:36">
      <c r="F36" s="56"/>
      <c r="G36" s="366"/>
      <c r="H36" s="363"/>
      <c r="I36" s="363"/>
      <c r="J36" s="169"/>
      <c r="K36" s="169"/>
      <c r="L36" s="169"/>
      <c r="M36" s="369"/>
      <c r="N36" s="371"/>
      <c r="O36" s="184"/>
      <c r="P36" s="184"/>
      <c r="Q36" s="184"/>
      <c r="R36" s="184"/>
      <c r="S36" s="184"/>
      <c r="T36" s="184"/>
      <c r="U36" s="184"/>
      <c r="V36" s="184"/>
      <c r="W36" s="184"/>
      <c r="X36" s="184"/>
      <c r="Y36" s="184"/>
      <c r="Z36" s="184"/>
      <c r="AA36" s="371"/>
      <c r="AB36" s="358"/>
      <c r="AC36" s="358"/>
      <c r="AD36" s="358"/>
      <c r="AE36" s="358"/>
      <c r="AF36" s="358"/>
      <c r="AG36" s="358"/>
      <c r="AH36" s="358"/>
      <c r="AI36" s="358"/>
      <c r="AJ36" s="55"/>
    </row>
    <row r="37" spans="6:36" ht="14.25" customHeight="1">
      <c r="F37" s="54"/>
      <c r="G37" s="366"/>
      <c r="H37" s="363"/>
      <c r="I37" s="363"/>
      <c r="J37" s="169"/>
      <c r="K37" s="169"/>
      <c r="L37" s="169"/>
      <c r="M37" s="369"/>
      <c r="N37" s="371"/>
      <c r="O37" s="184"/>
      <c r="T37" s="184"/>
      <c r="U37" s="184"/>
      <c r="V37" s="184"/>
      <c r="W37" s="184"/>
      <c r="X37" s="184"/>
      <c r="Y37" s="184"/>
      <c r="Z37" s="184"/>
      <c r="AA37" s="371"/>
      <c r="AB37" s="358"/>
      <c r="AC37" s="358"/>
      <c r="AD37" s="358"/>
      <c r="AE37" s="358"/>
      <c r="AF37" s="358"/>
      <c r="AG37" s="358"/>
      <c r="AH37" s="358"/>
      <c r="AI37" s="358"/>
      <c r="AJ37" s="200"/>
    </row>
    <row r="38" spans="6:36" ht="14.25" customHeight="1">
      <c r="F38" s="54"/>
      <c r="G38" s="366"/>
      <c r="H38" s="363"/>
      <c r="I38" s="363"/>
      <c r="J38" s="169"/>
      <c r="K38" s="169"/>
      <c r="L38" s="169"/>
      <c r="M38" s="369"/>
      <c r="N38" s="371"/>
      <c r="O38" s="57"/>
      <c r="V38" s="184"/>
      <c r="W38" s="184"/>
      <c r="X38" s="184"/>
      <c r="Y38" s="184"/>
      <c r="Z38" s="184"/>
      <c r="AA38" s="371"/>
      <c r="AB38" s="358"/>
      <c r="AC38" s="358"/>
      <c r="AD38" s="358"/>
      <c r="AE38" s="358"/>
      <c r="AF38" s="358"/>
      <c r="AG38" s="358"/>
      <c r="AH38" s="358"/>
      <c r="AI38" s="358"/>
      <c r="AJ38" s="55"/>
    </row>
    <row r="39" spans="6:36" ht="16.5" customHeight="1">
      <c r="F39" s="54"/>
      <c r="G39" s="366"/>
      <c r="H39" s="363"/>
      <c r="I39" s="363"/>
      <c r="J39" s="169"/>
      <c r="K39" s="169"/>
      <c r="L39" s="169"/>
      <c r="M39" s="369"/>
      <c r="N39" s="371"/>
      <c r="O39" s="184"/>
      <c r="V39" s="184"/>
      <c r="W39" s="184"/>
      <c r="X39" s="184"/>
      <c r="Y39" s="184"/>
      <c r="Z39" s="184"/>
      <c r="AA39" s="371"/>
      <c r="AB39" s="358"/>
      <c r="AC39" s="358"/>
      <c r="AD39" s="358"/>
      <c r="AE39" s="358"/>
      <c r="AF39" s="358"/>
      <c r="AG39" s="358"/>
      <c r="AH39" s="358"/>
      <c r="AI39" s="358"/>
      <c r="AJ39" s="55"/>
    </row>
    <row r="40" spans="6:36" ht="14.25" customHeight="1">
      <c r="F40" s="54"/>
      <c r="G40" s="366"/>
      <c r="H40" s="363"/>
      <c r="I40" s="363"/>
      <c r="J40" s="169"/>
      <c r="K40" s="169"/>
      <c r="L40" s="169"/>
      <c r="M40" s="369"/>
      <c r="N40" s="371"/>
      <c r="O40" s="184"/>
      <c r="V40" s="184"/>
      <c r="W40" s="184"/>
      <c r="X40" s="184"/>
      <c r="Y40" s="184"/>
      <c r="Z40" s="184"/>
      <c r="AA40" s="371"/>
      <c r="AB40" s="358"/>
      <c r="AC40" s="358"/>
      <c r="AD40" s="358"/>
      <c r="AE40" s="358"/>
      <c r="AF40" s="358"/>
      <c r="AG40" s="358"/>
      <c r="AH40" s="358"/>
      <c r="AI40" s="358"/>
      <c r="AJ40" s="55"/>
    </row>
    <row r="41" spans="6:36">
      <c r="F41" s="54"/>
      <c r="G41" s="366"/>
      <c r="H41" s="363"/>
      <c r="I41" s="363"/>
      <c r="J41" s="169"/>
      <c r="K41" s="169"/>
      <c r="L41" s="169"/>
      <c r="M41" s="369"/>
      <c r="N41" s="371"/>
      <c r="O41" s="199">
        <f>SUM(I22:I61)</f>
        <v>62</v>
      </c>
      <c r="Q41" s="173"/>
      <c r="R41" s="173"/>
      <c r="T41" s="84">
        <f>SUM(T26+O41+T59+Z41)</f>
        <v>244</v>
      </c>
      <c r="V41" s="184"/>
      <c r="W41" s="184"/>
      <c r="X41" s="184"/>
      <c r="Y41" s="171"/>
      <c r="Z41" s="184">
        <f>SUM(AG22:AG65)</f>
        <v>67</v>
      </c>
      <c r="AA41" s="371"/>
      <c r="AB41" s="358"/>
      <c r="AC41" s="358"/>
      <c r="AD41" s="358"/>
      <c r="AE41" s="358"/>
      <c r="AF41" s="358"/>
      <c r="AG41" s="358"/>
      <c r="AH41" s="358"/>
      <c r="AI41" s="358"/>
      <c r="AJ41" s="55"/>
    </row>
    <row r="42" spans="6:36">
      <c r="F42" s="54"/>
      <c r="G42" s="366"/>
      <c r="H42" s="363"/>
      <c r="I42" s="363"/>
      <c r="J42" s="169"/>
      <c r="K42" s="169"/>
      <c r="L42" s="169"/>
      <c r="M42" s="369"/>
      <c r="N42" s="371"/>
      <c r="O42" s="184"/>
      <c r="P42" s="184"/>
      <c r="Q42" s="184"/>
      <c r="V42" s="184"/>
      <c r="W42" s="184"/>
      <c r="X42" s="184"/>
      <c r="Y42" s="171"/>
      <c r="Z42" s="184"/>
      <c r="AA42" s="371"/>
      <c r="AB42" s="359"/>
      <c r="AC42" s="359"/>
      <c r="AD42" s="359"/>
      <c r="AE42" s="359"/>
      <c r="AF42" s="359"/>
      <c r="AG42" s="359"/>
      <c r="AH42" s="359"/>
      <c r="AI42" s="359"/>
      <c r="AJ42" s="55"/>
    </row>
    <row r="43" spans="6:36">
      <c r="F43" s="54"/>
      <c r="G43" s="366"/>
      <c r="H43" s="363"/>
      <c r="I43" s="363"/>
      <c r="J43" s="169"/>
      <c r="K43" s="169"/>
      <c r="L43" s="169"/>
      <c r="M43" s="369"/>
      <c r="N43" s="371"/>
      <c r="O43" s="184"/>
      <c r="P43" s="184"/>
      <c r="Q43" s="184"/>
      <c r="V43" s="184"/>
      <c r="W43" s="184"/>
      <c r="X43" s="184"/>
      <c r="Y43" s="184"/>
      <c r="Z43" s="184"/>
      <c r="AA43" s="371"/>
      <c r="AB43" s="360" t="s">
        <v>575</v>
      </c>
      <c r="AC43" s="360"/>
      <c r="AD43" s="360" t="s">
        <v>576</v>
      </c>
      <c r="AE43" s="360"/>
      <c r="AF43" s="360"/>
      <c r="AG43" s="360">
        <v>19</v>
      </c>
      <c r="AH43" s="360" t="s">
        <v>544</v>
      </c>
      <c r="AI43" s="360" t="s">
        <v>542</v>
      </c>
      <c r="AJ43" s="55"/>
    </row>
    <row r="44" spans="6:36">
      <c r="F44" s="54"/>
      <c r="G44" s="366"/>
      <c r="H44" s="363"/>
      <c r="I44" s="363"/>
      <c r="J44" s="169"/>
      <c r="K44" s="169"/>
      <c r="L44" s="169"/>
      <c r="M44" s="369"/>
      <c r="N44" s="371"/>
      <c r="O44" s="184"/>
      <c r="Q44" s="185"/>
      <c r="S44" s="176"/>
      <c r="W44" s="184"/>
      <c r="X44" s="184"/>
      <c r="Y44" s="175"/>
      <c r="Z44" s="184"/>
      <c r="AA44" s="371"/>
      <c r="AB44" s="360"/>
      <c r="AC44" s="360"/>
      <c r="AD44" s="360"/>
      <c r="AE44" s="360"/>
      <c r="AF44" s="360"/>
      <c r="AG44" s="360"/>
      <c r="AH44" s="360"/>
      <c r="AI44" s="360"/>
      <c r="AJ44" s="55"/>
    </row>
    <row r="45" spans="6:36">
      <c r="F45" s="54"/>
      <c r="G45" s="366"/>
      <c r="H45" s="363"/>
      <c r="I45" s="363"/>
      <c r="J45" s="169"/>
      <c r="K45" s="169"/>
      <c r="L45" s="169"/>
      <c r="M45" s="369"/>
      <c r="N45" s="371"/>
      <c r="O45" s="184"/>
      <c r="W45" s="184"/>
      <c r="X45" s="184"/>
      <c r="Y45" s="184"/>
      <c r="Z45" s="184"/>
      <c r="AA45" s="371"/>
      <c r="AB45" s="360"/>
      <c r="AC45" s="360"/>
      <c r="AD45" s="360"/>
      <c r="AE45" s="360"/>
      <c r="AF45" s="360"/>
      <c r="AG45" s="360"/>
      <c r="AH45" s="360"/>
      <c r="AI45" s="360"/>
      <c r="AJ45" s="55"/>
    </row>
    <row r="46" spans="6:36">
      <c r="F46" s="54"/>
      <c r="G46" s="366"/>
      <c r="H46" s="363"/>
      <c r="I46" s="363"/>
      <c r="J46" s="169"/>
      <c r="K46" s="169"/>
      <c r="L46" s="169"/>
      <c r="M46" s="369"/>
      <c r="N46" s="371"/>
      <c r="O46" s="184"/>
      <c r="W46" s="184"/>
      <c r="X46" s="184"/>
      <c r="Y46" s="184"/>
      <c r="Z46" s="184"/>
      <c r="AA46" s="371"/>
      <c r="AB46" s="360"/>
      <c r="AC46" s="360"/>
      <c r="AD46" s="360"/>
      <c r="AE46" s="360"/>
      <c r="AF46" s="360"/>
      <c r="AG46" s="360"/>
      <c r="AH46" s="360"/>
      <c r="AI46" s="360"/>
      <c r="AJ46" s="55"/>
    </row>
    <row r="47" spans="6:36">
      <c r="F47" s="54"/>
      <c r="G47" s="366"/>
      <c r="H47" s="363"/>
      <c r="I47" s="363"/>
      <c r="J47" s="169"/>
      <c r="K47" s="169"/>
      <c r="L47" s="169"/>
      <c r="M47" s="369"/>
      <c r="N47" s="371"/>
      <c r="O47" s="184"/>
      <c r="P47" s="184"/>
      <c r="Q47" s="184"/>
      <c r="R47" s="184"/>
      <c r="S47" s="184"/>
      <c r="T47" s="171"/>
      <c r="U47" s="184"/>
      <c r="V47" s="184"/>
      <c r="W47" s="184"/>
      <c r="X47" s="184"/>
      <c r="Y47" s="184"/>
      <c r="Z47" s="184"/>
      <c r="AA47" s="371"/>
      <c r="AB47" s="360"/>
      <c r="AC47" s="360"/>
      <c r="AD47" s="360"/>
      <c r="AE47" s="360"/>
      <c r="AF47" s="360"/>
      <c r="AG47" s="360"/>
      <c r="AH47" s="360"/>
      <c r="AI47" s="360"/>
      <c r="AJ47" s="55"/>
    </row>
    <row r="48" spans="6:36" ht="14.25" customHeight="1">
      <c r="F48" s="54"/>
      <c r="G48" s="366"/>
      <c r="H48" s="363"/>
      <c r="I48" s="363"/>
      <c r="J48" s="169"/>
      <c r="K48" s="170"/>
      <c r="L48" s="169"/>
      <c r="M48" s="369"/>
      <c r="N48" s="371"/>
      <c r="O48" s="184"/>
      <c r="P48" s="184"/>
      <c r="Q48" s="184"/>
      <c r="R48" s="184"/>
      <c r="S48" s="184"/>
      <c r="T48" s="184"/>
      <c r="U48" s="184"/>
      <c r="V48" s="184"/>
      <c r="W48" s="184"/>
      <c r="X48" s="184"/>
      <c r="Y48" s="184"/>
      <c r="Z48" s="184"/>
      <c r="AA48" s="371"/>
      <c r="AB48" s="361" t="s">
        <v>577</v>
      </c>
      <c r="AC48" s="361" t="s">
        <v>578</v>
      </c>
      <c r="AD48" s="361" t="s">
        <v>547</v>
      </c>
      <c r="AE48" s="361"/>
      <c r="AF48" s="361"/>
      <c r="AG48" s="361">
        <v>8</v>
      </c>
      <c r="AH48" s="361" t="s">
        <v>544</v>
      </c>
      <c r="AI48" s="361" t="s">
        <v>542</v>
      </c>
      <c r="AJ48" s="55"/>
    </row>
    <row r="49" spans="6:36">
      <c r="F49" s="54"/>
      <c r="G49" s="366"/>
      <c r="H49" s="363"/>
      <c r="I49" s="363"/>
      <c r="J49" s="169"/>
      <c r="K49" s="170"/>
      <c r="L49" s="170"/>
      <c r="M49" s="369"/>
      <c r="N49" s="371"/>
      <c r="O49" s="184"/>
      <c r="P49" s="184"/>
      <c r="Q49" s="184"/>
      <c r="R49" s="184"/>
      <c r="S49" s="184"/>
      <c r="T49" s="184"/>
      <c r="U49" s="184"/>
      <c r="V49" s="184"/>
      <c r="W49" s="184"/>
      <c r="X49" s="184"/>
      <c r="Y49" s="184"/>
      <c r="Z49" s="184"/>
      <c r="AA49" s="371"/>
      <c r="AB49" s="361"/>
      <c r="AC49" s="361"/>
      <c r="AD49" s="361"/>
      <c r="AE49" s="361"/>
      <c r="AF49" s="361"/>
      <c r="AG49" s="361"/>
      <c r="AH49" s="361"/>
      <c r="AI49" s="361"/>
      <c r="AJ49" s="55"/>
    </row>
    <row r="50" spans="6:36">
      <c r="F50" s="54"/>
      <c r="G50" s="366"/>
      <c r="H50" s="363"/>
      <c r="I50" s="363"/>
      <c r="J50" s="169"/>
      <c r="K50" s="169"/>
      <c r="L50" s="169"/>
      <c r="M50" s="369"/>
      <c r="N50" s="182"/>
      <c r="O50" s="184"/>
      <c r="P50" s="184"/>
      <c r="Q50" s="184"/>
      <c r="R50" s="184"/>
      <c r="S50" s="184"/>
      <c r="T50" s="184"/>
      <c r="U50" s="184"/>
      <c r="V50" s="184"/>
      <c r="W50" s="184"/>
      <c r="X50" s="184"/>
      <c r="Y50" s="184"/>
      <c r="Z50" s="184"/>
      <c r="AA50" s="182"/>
      <c r="AB50" s="361"/>
      <c r="AC50" s="361"/>
      <c r="AD50" s="361"/>
      <c r="AE50" s="361"/>
      <c r="AF50" s="361"/>
      <c r="AG50" s="361"/>
      <c r="AH50" s="361"/>
      <c r="AI50" s="361"/>
      <c r="AJ50" s="55"/>
    </row>
    <row r="51" spans="6:36">
      <c r="F51" s="54"/>
      <c r="G51" s="366"/>
      <c r="H51" s="363"/>
      <c r="I51" s="363"/>
      <c r="J51" s="169"/>
      <c r="K51" s="169"/>
      <c r="L51" s="170"/>
      <c r="M51" s="369"/>
      <c r="N51" s="182"/>
      <c r="O51" s="184"/>
      <c r="P51" s="184"/>
      <c r="Q51" s="184"/>
      <c r="R51" s="184"/>
      <c r="S51" s="184"/>
      <c r="T51" s="184"/>
      <c r="U51" s="184"/>
      <c r="V51" s="184"/>
      <c r="W51" s="184"/>
      <c r="X51" s="184"/>
      <c r="Y51" s="184"/>
      <c r="Z51" s="184"/>
      <c r="AA51" s="182"/>
      <c r="AB51" s="361"/>
      <c r="AC51" s="361"/>
      <c r="AD51" s="361"/>
      <c r="AE51" s="361"/>
      <c r="AF51" s="361"/>
      <c r="AG51" s="361"/>
      <c r="AH51" s="361"/>
      <c r="AI51" s="361"/>
      <c r="AJ51" s="55"/>
    </row>
    <row r="52" spans="6:36">
      <c r="F52" s="54"/>
      <c r="G52" s="366"/>
      <c r="H52" s="363"/>
      <c r="I52" s="363"/>
      <c r="J52" s="169"/>
      <c r="K52" s="169"/>
      <c r="L52" s="170"/>
      <c r="M52" s="369"/>
      <c r="N52" s="182"/>
      <c r="O52" s="184"/>
      <c r="P52" s="184"/>
      <c r="Q52" s="184"/>
      <c r="R52" s="184"/>
      <c r="S52" s="184"/>
      <c r="T52" s="184"/>
      <c r="U52" s="184"/>
      <c r="V52" s="184"/>
      <c r="W52" s="184"/>
      <c r="X52" s="184"/>
      <c r="Y52" s="184"/>
      <c r="Z52" s="184"/>
      <c r="AA52" s="182"/>
      <c r="AB52" s="361"/>
      <c r="AC52" s="361"/>
      <c r="AD52" s="361"/>
      <c r="AE52" s="361"/>
      <c r="AF52" s="361"/>
      <c r="AG52" s="361"/>
      <c r="AH52" s="361"/>
      <c r="AI52" s="361"/>
      <c r="AJ52" s="55"/>
    </row>
    <row r="53" spans="6:36">
      <c r="F53" s="54"/>
      <c r="G53" s="366"/>
      <c r="H53" s="363"/>
      <c r="I53" s="363"/>
      <c r="J53" s="169"/>
      <c r="K53" s="169"/>
      <c r="L53" s="170"/>
      <c r="M53" s="369"/>
      <c r="N53" s="182"/>
      <c r="O53" s="184"/>
      <c r="P53" s="184"/>
      <c r="Q53" s="184"/>
      <c r="R53" s="184"/>
      <c r="S53" s="184"/>
      <c r="T53" s="184"/>
      <c r="U53" s="184"/>
      <c r="V53" s="184"/>
      <c r="W53" s="184"/>
      <c r="X53" s="184"/>
      <c r="Y53" s="184"/>
      <c r="Z53" s="184"/>
      <c r="AA53" s="182"/>
      <c r="AB53" s="361"/>
      <c r="AC53" s="361"/>
      <c r="AD53" s="361"/>
      <c r="AE53" s="361"/>
      <c r="AF53" s="361"/>
      <c r="AG53" s="361"/>
      <c r="AH53" s="361"/>
      <c r="AI53" s="361"/>
      <c r="AJ53" s="55"/>
    </row>
    <row r="54" spans="6:36">
      <c r="F54" s="54"/>
      <c r="G54" s="366"/>
      <c r="H54" s="363"/>
      <c r="I54" s="363"/>
      <c r="J54" s="169"/>
      <c r="K54" s="169"/>
      <c r="L54" s="170"/>
      <c r="M54" s="369"/>
      <c r="N54" s="182"/>
      <c r="O54" s="184"/>
      <c r="P54" s="184"/>
      <c r="Q54" s="184"/>
      <c r="R54" s="184"/>
      <c r="S54" s="184"/>
      <c r="T54" s="184"/>
      <c r="U54" s="184"/>
      <c r="V54" s="184"/>
      <c r="W54" s="184"/>
      <c r="X54" s="184"/>
      <c r="Y54" s="184"/>
      <c r="Z54" s="184"/>
      <c r="AA54" s="182"/>
      <c r="AB54" s="361"/>
      <c r="AC54" s="361"/>
      <c r="AD54" s="361"/>
      <c r="AE54" s="361"/>
      <c r="AF54" s="361"/>
      <c r="AG54" s="361"/>
      <c r="AH54" s="361"/>
      <c r="AI54" s="361"/>
      <c r="AJ54" s="55"/>
    </row>
    <row r="55" spans="6:36">
      <c r="F55" s="54"/>
      <c r="G55" s="366"/>
      <c r="H55" s="363"/>
      <c r="I55" s="363"/>
      <c r="J55" s="169"/>
      <c r="K55" s="169"/>
      <c r="L55" s="169"/>
      <c r="M55" s="369"/>
      <c r="N55" s="182"/>
      <c r="O55" s="184"/>
      <c r="P55" s="184"/>
      <c r="Q55" s="184"/>
      <c r="R55" s="184"/>
      <c r="S55" s="184"/>
      <c r="T55" s="175"/>
      <c r="U55" s="184"/>
      <c r="V55" s="184"/>
      <c r="W55" s="184"/>
      <c r="X55" s="184"/>
      <c r="Y55" s="184"/>
      <c r="Z55" s="184"/>
      <c r="AA55" s="182"/>
      <c r="AB55" s="360" t="s">
        <v>579</v>
      </c>
      <c r="AC55" s="360"/>
      <c r="AD55" s="360"/>
      <c r="AE55" s="360"/>
      <c r="AF55" s="360"/>
      <c r="AG55" s="360">
        <v>6</v>
      </c>
      <c r="AH55" s="360" t="s">
        <v>544</v>
      </c>
      <c r="AI55" s="360" t="s">
        <v>542</v>
      </c>
      <c r="AJ55" s="55"/>
    </row>
    <row r="56" spans="6:36">
      <c r="F56" s="54"/>
      <c r="G56" s="366"/>
      <c r="H56" s="363"/>
      <c r="I56" s="363"/>
      <c r="J56" s="169"/>
      <c r="K56" s="169"/>
      <c r="L56" s="170"/>
      <c r="M56" s="369"/>
      <c r="N56" s="182"/>
      <c r="O56" s="184"/>
      <c r="P56" s="184"/>
      <c r="Q56" s="184"/>
      <c r="R56" s="184"/>
      <c r="S56" s="184"/>
      <c r="T56" s="184"/>
      <c r="U56" s="184"/>
      <c r="V56" s="184"/>
      <c r="W56" s="184"/>
      <c r="X56" s="184"/>
      <c r="Y56" s="184"/>
      <c r="Z56" s="184"/>
      <c r="AA56" s="182"/>
      <c r="AB56" s="360"/>
      <c r="AC56" s="360"/>
      <c r="AD56" s="360"/>
      <c r="AE56" s="360"/>
      <c r="AF56" s="360"/>
      <c r="AG56" s="360"/>
      <c r="AH56" s="360"/>
      <c r="AI56" s="360"/>
      <c r="AJ56" s="55"/>
    </row>
    <row r="57" spans="6:36">
      <c r="F57" s="54"/>
      <c r="G57" s="366"/>
      <c r="H57" s="363"/>
      <c r="I57" s="363"/>
      <c r="J57" s="169"/>
      <c r="K57" s="169"/>
      <c r="L57" s="170"/>
      <c r="M57" s="369"/>
      <c r="N57" s="182"/>
      <c r="O57" s="184"/>
      <c r="P57" s="184"/>
      <c r="Q57" s="184"/>
      <c r="S57" s="184"/>
      <c r="T57" s="171"/>
      <c r="U57" s="171"/>
      <c r="V57" s="171"/>
      <c r="W57" s="171"/>
      <c r="X57" s="172"/>
      <c r="Y57" s="184"/>
      <c r="Z57" s="184"/>
      <c r="AA57" s="182"/>
      <c r="AB57" s="360"/>
      <c r="AC57" s="360"/>
      <c r="AD57" s="360"/>
      <c r="AE57" s="360"/>
      <c r="AF57" s="360"/>
      <c r="AG57" s="360"/>
      <c r="AH57" s="360"/>
      <c r="AI57" s="360"/>
      <c r="AJ57" s="55"/>
    </row>
    <row r="58" spans="6:36">
      <c r="F58" s="54"/>
      <c r="G58" s="366"/>
      <c r="H58" s="363"/>
      <c r="I58" s="363"/>
      <c r="J58" s="169"/>
      <c r="K58" s="169"/>
      <c r="L58" s="170"/>
      <c r="M58" s="369"/>
      <c r="N58" s="182"/>
      <c r="O58" s="184"/>
      <c r="P58" s="184"/>
      <c r="Q58" s="184"/>
      <c r="S58" s="184"/>
      <c r="T58" s="184"/>
      <c r="U58" s="184"/>
      <c r="V58" s="184"/>
      <c r="W58" s="184"/>
      <c r="X58" s="184"/>
      <c r="Y58" s="184"/>
      <c r="Z58" s="184"/>
      <c r="AA58" s="182"/>
      <c r="AB58" s="360"/>
      <c r="AC58" s="360"/>
      <c r="AD58" s="360"/>
      <c r="AE58" s="360"/>
      <c r="AF58" s="360"/>
      <c r="AG58" s="360"/>
      <c r="AH58" s="360"/>
      <c r="AI58" s="360"/>
      <c r="AJ58" s="55"/>
    </row>
    <row r="59" spans="6:36">
      <c r="F59" s="54"/>
      <c r="G59" s="367"/>
      <c r="H59" s="364"/>
      <c r="I59" s="364"/>
      <c r="J59" s="169"/>
      <c r="K59" s="169"/>
      <c r="L59" s="169"/>
      <c r="M59" s="370"/>
      <c r="N59" s="182"/>
      <c r="O59" s="184"/>
      <c r="P59" s="184"/>
      <c r="Q59" s="184"/>
      <c r="R59" s="184"/>
      <c r="S59" s="184"/>
      <c r="T59" s="199">
        <f>SUM(O65:Z65)</f>
        <v>55</v>
      </c>
      <c r="U59" s="184"/>
      <c r="V59" s="184"/>
      <c r="W59" s="184"/>
      <c r="X59" s="184"/>
      <c r="Y59" s="184"/>
      <c r="Z59" s="184"/>
      <c r="AA59" s="182"/>
      <c r="AB59" s="360"/>
      <c r="AC59" s="360"/>
      <c r="AD59" s="360"/>
      <c r="AE59" s="360"/>
      <c r="AF59" s="360"/>
      <c r="AG59" s="360"/>
      <c r="AH59" s="360"/>
      <c r="AI59" s="360"/>
      <c r="AJ59" s="55"/>
    </row>
    <row r="60" spans="6:36">
      <c r="F60" s="54"/>
      <c r="G60" s="184"/>
      <c r="H60" s="184"/>
      <c r="I60" s="184"/>
      <c r="J60" s="184"/>
      <c r="K60" s="184"/>
      <c r="L60" s="184"/>
      <c r="M60" s="184"/>
      <c r="N60" s="184"/>
      <c r="O60" s="388" t="s">
        <v>580</v>
      </c>
      <c r="P60" s="388"/>
      <c r="Q60" s="388"/>
      <c r="R60" s="388"/>
      <c r="S60" s="388"/>
      <c r="T60" s="388"/>
      <c r="U60" s="388"/>
      <c r="V60" s="388"/>
      <c r="W60" s="388"/>
      <c r="X60" s="388"/>
      <c r="Y60" s="388"/>
      <c r="Z60" s="388"/>
      <c r="AA60" s="184"/>
      <c r="AB60" s="184"/>
      <c r="AC60" s="184"/>
      <c r="AD60" s="184"/>
      <c r="AE60" s="184"/>
      <c r="AF60" s="184"/>
      <c r="AG60" s="184"/>
      <c r="AH60" s="184"/>
      <c r="AI60" s="184"/>
      <c r="AJ60" s="55"/>
    </row>
    <row r="61" spans="6:36" ht="14.25" customHeight="1">
      <c r="F61" s="54"/>
      <c r="G61" s="184"/>
      <c r="H61" s="184"/>
      <c r="I61" s="184"/>
      <c r="J61" s="184"/>
      <c r="K61" s="184"/>
      <c r="L61" s="184"/>
      <c r="M61" s="184"/>
      <c r="N61" s="184"/>
      <c r="O61" s="179" t="s">
        <v>581</v>
      </c>
      <c r="P61" s="194" t="s">
        <v>582</v>
      </c>
      <c r="Q61" s="195" t="s">
        <v>583</v>
      </c>
      <c r="R61" s="195" t="s">
        <v>584</v>
      </c>
      <c r="S61" s="194" t="s">
        <v>585</v>
      </c>
      <c r="T61" s="194" t="s">
        <v>586</v>
      </c>
      <c r="U61" s="197" t="s">
        <v>587</v>
      </c>
      <c r="V61" s="196" t="s">
        <v>588</v>
      </c>
      <c r="W61" s="165" t="s">
        <v>589</v>
      </c>
      <c r="X61" s="177" t="s">
        <v>590</v>
      </c>
      <c r="Y61" s="386" t="s">
        <v>591</v>
      </c>
      <c r="Z61" s="387"/>
      <c r="AC61" s="184"/>
      <c r="AD61" s="184"/>
      <c r="AE61" s="184"/>
      <c r="AF61" s="184"/>
      <c r="AG61" s="184"/>
      <c r="AH61" s="184"/>
      <c r="AI61" s="184"/>
      <c r="AJ61" s="55"/>
    </row>
    <row r="62" spans="6:36" s="183" customFormat="1">
      <c r="F62" s="202"/>
      <c r="G62" s="203"/>
      <c r="H62" s="203"/>
      <c r="I62" s="203"/>
      <c r="J62" s="203"/>
      <c r="K62" s="203"/>
      <c r="L62" s="203"/>
      <c r="M62" s="203"/>
      <c r="N62" s="203"/>
      <c r="O62" s="204"/>
      <c r="P62" s="195" t="s">
        <v>592</v>
      </c>
      <c r="Q62" s="195" t="s">
        <v>592</v>
      </c>
      <c r="R62" s="195" t="s">
        <v>593</v>
      </c>
      <c r="S62" s="195" t="s">
        <v>594</v>
      </c>
      <c r="T62" s="195" t="s">
        <v>595</v>
      </c>
      <c r="U62" s="208" t="s">
        <v>596</v>
      </c>
      <c r="V62" s="205"/>
      <c r="W62" s="181" t="s">
        <v>597</v>
      </c>
      <c r="X62" s="177" t="s">
        <v>598</v>
      </c>
      <c r="Y62" s="386"/>
      <c r="Z62" s="387"/>
      <c r="AC62" s="203"/>
      <c r="AD62" s="203"/>
      <c r="AE62" s="203"/>
      <c r="AF62" s="203"/>
      <c r="AG62" s="203"/>
      <c r="AH62" s="203"/>
      <c r="AI62" s="203"/>
      <c r="AJ62" s="206"/>
    </row>
    <row r="63" spans="6:36">
      <c r="F63" s="54"/>
      <c r="G63" s="184"/>
      <c r="H63" s="184"/>
      <c r="I63" s="184"/>
      <c r="J63" s="184"/>
      <c r="K63" s="184"/>
      <c r="L63" s="184"/>
      <c r="M63" s="184"/>
      <c r="N63" s="184"/>
      <c r="O63" s="179"/>
      <c r="P63" s="197"/>
      <c r="Q63" s="194"/>
      <c r="R63" s="197"/>
      <c r="S63" s="197"/>
      <c r="T63" s="194" t="s">
        <v>599</v>
      </c>
      <c r="U63" s="197" t="s">
        <v>600</v>
      </c>
      <c r="V63" s="84"/>
      <c r="W63" s="178"/>
      <c r="X63" s="177" t="s">
        <v>601</v>
      </c>
      <c r="Y63" s="386"/>
      <c r="Z63" s="387"/>
      <c r="AC63" s="184"/>
      <c r="AD63" s="184"/>
      <c r="AE63" s="184"/>
      <c r="AF63" s="184"/>
      <c r="AG63" s="184"/>
      <c r="AH63" s="184"/>
      <c r="AI63" s="184"/>
      <c r="AJ63" s="55"/>
    </row>
    <row r="64" spans="6:36" ht="14.25" customHeight="1">
      <c r="F64" s="54"/>
      <c r="G64" s="184"/>
      <c r="H64" s="184"/>
      <c r="I64" s="184"/>
      <c r="J64" s="184"/>
      <c r="K64" s="184"/>
      <c r="L64" s="184"/>
      <c r="M64" s="184"/>
      <c r="N64" s="184"/>
      <c r="O64" s="179"/>
      <c r="P64" s="197"/>
      <c r="Q64" s="195"/>
      <c r="R64" s="195"/>
      <c r="S64" s="197"/>
      <c r="T64" s="195" t="s">
        <v>602</v>
      </c>
      <c r="U64" s="197"/>
      <c r="V64" s="84"/>
      <c r="W64" s="178"/>
      <c r="X64" s="177" t="s">
        <v>603</v>
      </c>
      <c r="Y64" s="386"/>
      <c r="Z64" s="387"/>
      <c r="AC64" s="184"/>
      <c r="AD64" s="184"/>
      <c r="AE64" s="184"/>
      <c r="AF64" s="184"/>
      <c r="AG64" s="184"/>
      <c r="AH64" s="184"/>
      <c r="AI64" s="184"/>
      <c r="AJ64" s="55"/>
    </row>
    <row r="65" spans="6:36">
      <c r="F65" s="54"/>
      <c r="G65" s="184"/>
      <c r="H65" s="184"/>
      <c r="I65" s="184"/>
      <c r="J65" s="184"/>
      <c r="K65" s="184"/>
      <c r="L65" s="184"/>
      <c r="M65" s="184"/>
      <c r="N65" s="184"/>
      <c r="O65" s="179">
        <v>2</v>
      </c>
      <c r="P65" s="197">
        <v>7</v>
      </c>
      <c r="Q65" s="197">
        <v>3</v>
      </c>
      <c r="R65" s="197">
        <v>2</v>
      </c>
      <c r="S65" s="197">
        <v>3</v>
      </c>
      <c r="T65" s="197">
        <v>14</v>
      </c>
      <c r="U65" s="197">
        <v>2</v>
      </c>
      <c r="V65" s="84"/>
      <c r="W65" s="178">
        <v>6</v>
      </c>
      <c r="X65" s="177">
        <v>6</v>
      </c>
      <c r="Y65" s="386">
        <v>10</v>
      </c>
      <c r="Z65" s="387"/>
      <c r="AG65" s="184"/>
      <c r="AH65" s="184"/>
      <c r="AI65" s="184"/>
      <c r="AJ65" s="55"/>
    </row>
    <row r="66" spans="6:36" ht="28.5" customHeight="1">
      <c r="F66" s="54"/>
      <c r="G66" s="184"/>
      <c r="H66" s="184"/>
      <c r="I66" s="184"/>
      <c r="J66" s="184"/>
      <c r="K66" s="184"/>
      <c r="L66" s="184"/>
      <c r="M66" s="184"/>
      <c r="N66" s="184"/>
      <c r="O66" s="179" t="s">
        <v>604</v>
      </c>
      <c r="P66" s="194" t="s">
        <v>605</v>
      </c>
      <c r="Q66" s="194" t="s">
        <v>605</v>
      </c>
      <c r="R66" s="194" t="s">
        <v>605</v>
      </c>
      <c r="S66" s="194" t="s">
        <v>605</v>
      </c>
      <c r="T66" s="194" t="s">
        <v>605</v>
      </c>
      <c r="U66" s="194" t="s">
        <v>606</v>
      </c>
      <c r="V66" s="84"/>
      <c r="W66" s="165" t="s">
        <v>605</v>
      </c>
      <c r="X66" s="177" t="s">
        <v>607</v>
      </c>
      <c r="Y66" s="389" t="s">
        <v>608</v>
      </c>
      <c r="Z66" s="390"/>
      <c r="AG66" s="184"/>
      <c r="AH66" s="184"/>
      <c r="AI66" s="184"/>
      <c r="AJ66" s="55"/>
    </row>
    <row r="67" spans="6:36">
      <c r="F67" s="54"/>
      <c r="G67" s="184"/>
      <c r="H67" s="184"/>
      <c r="I67" s="184"/>
      <c r="J67" s="184"/>
      <c r="K67" s="184"/>
      <c r="L67" s="184"/>
      <c r="M67" s="184"/>
      <c r="N67" s="184"/>
      <c r="O67" s="179" t="s">
        <v>609</v>
      </c>
      <c r="P67" s="194" t="s">
        <v>610</v>
      </c>
      <c r="Q67" s="194" t="s">
        <v>610</v>
      </c>
      <c r="R67" s="194" t="s">
        <v>610</v>
      </c>
      <c r="S67" s="194" t="s">
        <v>610</v>
      </c>
      <c r="T67" s="194" t="s">
        <v>610</v>
      </c>
      <c r="U67" s="194" t="s">
        <v>614</v>
      </c>
      <c r="V67" s="84"/>
      <c r="W67" s="165" t="s">
        <v>610</v>
      </c>
      <c r="X67" s="198" t="s">
        <v>611</v>
      </c>
      <c r="Y67" s="386" t="s">
        <v>612</v>
      </c>
      <c r="Z67" s="387"/>
      <c r="AG67" s="184"/>
      <c r="AH67" s="184"/>
      <c r="AI67" s="184"/>
      <c r="AJ67" s="55"/>
    </row>
    <row r="68" spans="6:36">
      <c r="F68" s="54"/>
      <c r="G68" s="184"/>
      <c r="H68" s="184"/>
      <c r="I68" s="184"/>
      <c r="J68" s="184"/>
      <c r="K68" s="184"/>
      <c r="L68" s="184"/>
      <c r="M68" s="184"/>
      <c r="N68" s="184"/>
      <c r="O68" s="184"/>
      <c r="P68" s="391" t="s">
        <v>613</v>
      </c>
      <c r="Q68" s="392"/>
      <c r="R68" s="392"/>
      <c r="S68" s="392"/>
      <c r="T68" s="392"/>
      <c r="U68" s="393"/>
      <c r="Z68" s="184"/>
      <c r="AA68" s="184"/>
      <c r="AB68" s="184"/>
      <c r="AG68" s="184"/>
      <c r="AH68" s="184"/>
      <c r="AI68" s="184"/>
      <c r="AJ68" s="55"/>
    </row>
    <row r="69" spans="6:36">
      <c r="F69" s="54"/>
      <c r="G69" s="184"/>
      <c r="H69" s="184"/>
      <c r="I69" s="184"/>
      <c r="J69" s="184"/>
      <c r="K69" s="184"/>
      <c r="L69" s="184"/>
      <c r="M69" s="184"/>
      <c r="N69" s="184"/>
      <c r="O69" s="199"/>
      <c r="P69" s="394"/>
      <c r="Q69" s="395"/>
      <c r="R69" s="395"/>
      <c r="S69" s="395"/>
      <c r="T69" s="395"/>
      <c r="U69" s="396"/>
      <c r="Z69" s="184"/>
      <c r="AA69" s="184"/>
      <c r="AB69" s="184"/>
      <c r="AG69" s="184"/>
      <c r="AH69" s="184"/>
      <c r="AI69" s="184"/>
      <c r="AJ69" s="55"/>
    </row>
    <row r="70" spans="6:36" ht="14.25" customHeight="1">
      <c r="F70" s="54"/>
      <c r="G70" s="184"/>
      <c r="H70" s="184"/>
      <c r="I70" s="184"/>
      <c r="J70" s="184"/>
      <c r="K70" s="184"/>
      <c r="L70" s="184"/>
      <c r="M70" s="184"/>
      <c r="N70" s="184"/>
      <c r="Y70" s="209"/>
      <c r="Z70" s="209"/>
      <c r="AA70" s="193"/>
      <c r="AB70" s="184"/>
      <c r="AG70" s="184"/>
      <c r="AH70" s="184"/>
      <c r="AI70" s="184"/>
      <c r="AJ70" s="55"/>
    </row>
    <row r="71" spans="6:36">
      <c r="Y71" s="209"/>
      <c r="Z71" s="209"/>
      <c r="AA71" s="193"/>
    </row>
    <row r="72" spans="6:36">
      <c r="Y72" s="209"/>
      <c r="Z72" s="209"/>
      <c r="AA72" s="193"/>
    </row>
    <row r="73" spans="6:36" ht="14.25" customHeight="1">
      <c r="Y73" s="209"/>
      <c r="Z73" s="209"/>
      <c r="AA73" s="193"/>
    </row>
    <row r="74" spans="6:36">
      <c r="K74" s="147"/>
      <c r="L74" s="163"/>
      <c r="M74" s="147"/>
      <c r="N74" s="147"/>
      <c r="Y74" s="209"/>
      <c r="Z74" s="209"/>
      <c r="AA74" s="193"/>
    </row>
    <row r="75" spans="6:36">
      <c r="H75" s="147"/>
      <c r="I75" s="147"/>
      <c r="J75" s="147"/>
      <c r="N75" s="147"/>
      <c r="Y75" s="209"/>
      <c r="Z75" s="209"/>
      <c r="AA75" s="193"/>
    </row>
    <row r="76" spans="6:36">
      <c r="H76" s="147"/>
      <c r="I76" s="147"/>
      <c r="J76" s="147"/>
      <c r="N76" s="147"/>
      <c r="Y76" s="209"/>
      <c r="Z76" s="209"/>
      <c r="AA76" s="193"/>
    </row>
    <row r="77" spans="6:36" ht="14.25" customHeight="1">
      <c r="H77" s="147"/>
      <c r="I77" s="147"/>
      <c r="J77" s="147"/>
      <c r="N77" s="147"/>
      <c r="O77" s="147"/>
      <c r="P77" s="147"/>
      <c r="W77" s="201"/>
    </row>
    <row r="78" spans="6:36">
      <c r="H78" s="147"/>
      <c r="I78" s="147"/>
      <c r="J78" s="147"/>
      <c r="N78" s="147"/>
      <c r="O78" s="147"/>
      <c r="P78" s="147"/>
      <c r="W78" s="201"/>
    </row>
    <row r="79" spans="6:36">
      <c r="H79" s="147"/>
      <c r="I79" s="147"/>
      <c r="J79" s="147"/>
      <c r="K79" s="147"/>
      <c r="L79" s="147"/>
      <c r="M79" s="164"/>
      <c r="N79" s="147"/>
      <c r="O79" s="147"/>
      <c r="P79" s="147"/>
      <c r="W79" s="12"/>
    </row>
    <row r="80" spans="6:36">
      <c r="W80" s="201"/>
    </row>
    <row r="81" spans="23:23">
      <c r="W81" s="201"/>
    </row>
    <row r="82" spans="23:23" ht="14.25" customHeight="1"/>
    <row r="87" spans="23:23" ht="14.25" customHeight="1"/>
    <row r="115" ht="42.75" customHeight="1"/>
    <row r="119" ht="14.25" customHeight="1"/>
  </sheetData>
  <mergeCells count="80">
    <mergeCell ref="Y64:Z64"/>
    <mergeCell ref="Y65:Z65"/>
    <mergeCell ref="Y66:Z66"/>
    <mergeCell ref="Y67:Z67"/>
    <mergeCell ref="P68:U69"/>
    <mergeCell ref="O20:P20"/>
    <mergeCell ref="U20:Z20"/>
    <mergeCell ref="Y61:Z61"/>
    <mergeCell ref="Y62:Z62"/>
    <mergeCell ref="Y63:Z63"/>
    <mergeCell ref="O60:Z60"/>
    <mergeCell ref="Q23:T23"/>
    <mergeCell ref="Q24:T24"/>
    <mergeCell ref="U23:Z23"/>
    <mergeCell ref="U24:Z24"/>
    <mergeCell ref="Q17:T17"/>
    <mergeCell ref="AA26:AA49"/>
    <mergeCell ref="AB43:AB47"/>
    <mergeCell ref="AB48:AB54"/>
    <mergeCell ref="AB32:AB42"/>
    <mergeCell ref="AB26:AB31"/>
    <mergeCell ref="Q18:T18"/>
    <mergeCell ref="Q19:T19"/>
    <mergeCell ref="Q20:T20"/>
    <mergeCell ref="Q21:T21"/>
    <mergeCell ref="Q22:T22"/>
    <mergeCell ref="G26:G59"/>
    <mergeCell ref="M26:M59"/>
    <mergeCell ref="N26:N49"/>
    <mergeCell ref="O17:P17"/>
    <mergeCell ref="O22:P22"/>
    <mergeCell ref="O23:P23"/>
    <mergeCell ref="O24:P24"/>
    <mergeCell ref="O25:Z25"/>
    <mergeCell ref="O18:P18"/>
    <mergeCell ref="O19:P19"/>
    <mergeCell ref="O21:P21"/>
    <mergeCell ref="U17:Z17"/>
    <mergeCell ref="U18:Z18"/>
    <mergeCell ref="U19:Z19"/>
    <mergeCell ref="U21:Z21"/>
    <mergeCell ref="U22:Z22"/>
    <mergeCell ref="AB55:AB59"/>
    <mergeCell ref="AC55:AC59"/>
    <mergeCell ref="AD48:AD54"/>
    <mergeCell ref="H26:H59"/>
    <mergeCell ref="I26:I59"/>
    <mergeCell ref="AC43:AC47"/>
    <mergeCell ref="AC48:AC54"/>
    <mergeCell ref="AC32:AC42"/>
    <mergeCell ref="AC26:AC31"/>
    <mergeCell ref="AD43:AD47"/>
    <mergeCell ref="AD32:AD42"/>
    <mergeCell ref="AD26:AD31"/>
    <mergeCell ref="AI43:AI47"/>
    <mergeCell ref="AD55:AD59"/>
    <mergeCell ref="AE55:AE59"/>
    <mergeCell ref="AF55:AF59"/>
    <mergeCell ref="AG55:AG59"/>
    <mergeCell ref="AH55:AH59"/>
    <mergeCell ref="AE48:AE54"/>
    <mergeCell ref="AF48:AF54"/>
    <mergeCell ref="AG48:AG54"/>
    <mergeCell ref="AH48:AH54"/>
    <mergeCell ref="AI48:AI54"/>
    <mergeCell ref="AI55:AI59"/>
    <mergeCell ref="AE43:AE47"/>
    <mergeCell ref="AF43:AF47"/>
    <mergeCell ref="AG43:AG47"/>
    <mergeCell ref="AH43:AH47"/>
    <mergeCell ref="AE32:AE42"/>
    <mergeCell ref="AF32:AF42"/>
    <mergeCell ref="AH26:AH31"/>
    <mergeCell ref="AI26:AI31"/>
    <mergeCell ref="AE26:AE31"/>
    <mergeCell ref="AF26:AF31"/>
    <mergeCell ref="AG26:AG31"/>
    <mergeCell ref="AG32:AG42"/>
    <mergeCell ref="AH32:AH42"/>
    <mergeCell ref="AI32:AI42"/>
  </mergeCells>
  <phoneticPr fontId="3" type="noConversion"/>
  <pageMargins left="0.75" right="0.75" top="1" bottom="1" header="0.5" footer="0.5"/>
  <pageSetup paperSize="9" orientation="portrait" r:id="rId1"/>
  <headerFooter alignWithMargins="0">
    <oddHeader>&amp;L&amp;G&amp;C&amp;F&amp;R文档密级</oddHeader>
    <oddFooter>&amp;L&amp;D&amp;C华为机密，未经许可不得扩散&amp;R第&amp;P页，共&amp;N页</oddFooter>
  </headerFooter>
  <legacyDrawingHF r:id="rId2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6"/>
  <dimension ref="A1:F21"/>
  <sheetViews>
    <sheetView workbookViewId="0">
      <selection activeCell="D38" sqref="D38"/>
    </sheetView>
  </sheetViews>
  <sheetFormatPr defaultRowHeight="14.25"/>
  <cols>
    <col min="1" max="1" width="11.625" bestFit="1" customWidth="1"/>
    <col min="2" max="2" width="32.75" bestFit="1" customWidth="1"/>
    <col min="3" max="3" width="9.625" bestFit="1" customWidth="1"/>
    <col min="4" max="4" width="19" customWidth="1"/>
    <col min="5" max="5" width="13.25" bestFit="1" customWidth="1"/>
  </cols>
  <sheetData>
    <row r="1" spans="1:6" ht="27.2" customHeight="1">
      <c r="A1" s="14" t="s">
        <v>14</v>
      </c>
      <c r="B1" s="14" t="s">
        <v>15</v>
      </c>
      <c r="C1" s="14" t="s">
        <v>18</v>
      </c>
      <c r="D1" s="14" t="s">
        <v>17</v>
      </c>
      <c r="E1" s="14" t="s">
        <v>16</v>
      </c>
      <c r="F1" s="14" t="s">
        <v>19</v>
      </c>
    </row>
    <row r="2" spans="1:6">
      <c r="A2" s="25"/>
      <c r="B2" s="25"/>
      <c r="C2" s="25"/>
      <c r="D2" s="25"/>
      <c r="E2" s="25"/>
      <c r="F2" s="25"/>
    </row>
    <row r="3" spans="1:6">
      <c r="A3" s="37"/>
      <c r="B3" s="37"/>
      <c r="C3" s="40"/>
      <c r="D3" s="37"/>
      <c r="E3" s="37"/>
      <c r="F3" s="33"/>
    </row>
    <row r="4" spans="1:6">
      <c r="A4" s="37"/>
      <c r="B4" s="37"/>
      <c r="C4" s="40"/>
      <c r="D4" s="37"/>
      <c r="E4" s="33"/>
      <c r="F4" s="33"/>
    </row>
    <row r="5" spans="1:6">
      <c r="A5" s="33"/>
      <c r="B5" s="33"/>
      <c r="C5" s="33"/>
      <c r="D5" s="33"/>
      <c r="E5" s="33"/>
      <c r="F5" s="33"/>
    </row>
    <row r="6" spans="1:6">
      <c r="A6" s="33"/>
      <c r="B6" s="33"/>
      <c r="C6" s="33"/>
      <c r="D6" s="33"/>
      <c r="E6" s="33"/>
      <c r="F6" s="33"/>
    </row>
    <row r="7" spans="1:6">
      <c r="A7" s="33"/>
      <c r="B7" s="33"/>
      <c r="C7" s="33"/>
      <c r="D7" s="33"/>
      <c r="E7" s="33"/>
      <c r="F7" s="33"/>
    </row>
    <row r="8" spans="1:6">
      <c r="A8" s="25"/>
      <c r="B8" s="25"/>
      <c r="C8" s="25"/>
      <c r="D8" s="25"/>
      <c r="E8" s="25"/>
      <c r="F8" s="25"/>
    </row>
    <row r="9" spans="1:6">
      <c r="A9" s="33"/>
      <c r="B9" s="33"/>
      <c r="C9" s="33"/>
      <c r="D9" s="33"/>
      <c r="E9" s="33"/>
      <c r="F9" s="15"/>
    </row>
    <row r="10" spans="1:6">
      <c r="A10" s="33"/>
      <c r="B10" s="33"/>
      <c r="C10" s="33"/>
      <c r="D10" s="33"/>
      <c r="E10" s="33"/>
      <c r="F10" s="15"/>
    </row>
    <row r="11" spans="1:6">
      <c r="A11" s="33"/>
      <c r="B11" s="33"/>
      <c r="C11" s="33"/>
      <c r="D11" s="33"/>
      <c r="E11" s="33"/>
      <c r="F11" s="15"/>
    </row>
    <row r="12" spans="1:6">
      <c r="A12" s="33"/>
      <c r="B12" s="33"/>
      <c r="C12" s="33"/>
      <c r="D12" s="33"/>
      <c r="E12" s="33"/>
      <c r="F12" s="15"/>
    </row>
    <row r="13" spans="1:6">
      <c r="A13" s="33"/>
      <c r="B13" s="33"/>
      <c r="C13" s="33"/>
      <c r="D13" s="33"/>
      <c r="E13" s="33"/>
      <c r="F13" s="15"/>
    </row>
    <row r="14" spans="1:6">
      <c r="A14" s="33"/>
      <c r="B14" s="33"/>
      <c r="C14" s="33"/>
      <c r="D14" s="33"/>
      <c r="E14" s="33"/>
      <c r="F14" s="15"/>
    </row>
    <row r="15" spans="1:6">
      <c r="A15" s="33"/>
      <c r="B15" s="33"/>
      <c r="C15" s="33"/>
      <c r="D15" s="33"/>
      <c r="E15" s="33"/>
      <c r="F15" s="15"/>
    </row>
    <row r="16" spans="1:6">
      <c r="A16" s="33"/>
      <c r="B16" s="33"/>
      <c r="C16" s="33"/>
      <c r="D16" s="33"/>
      <c r="E16" s="33"/>
      <c r="F16" s="15"/>
    </row>
    <row r="17" spans="1:6">
      <c r="A17" s="15"/>
      <c r="B17" s="15"/>
      <c r="C17" s="15"/>
      <c r="D17" s="15"/>
      <c r="E17" s="15"/>
      <c r="F17" s="15"/>
    </row>
    <row r="18" spans="1:6">
      <c r="A18" s="15"/>
      <c r="B18" s="15"/>
      <c r="C18" s="15"/>
      <c r="D18" s="15"/>
      <c r="E18" s="15"/>
      <c r="F18" s="15"/>
    </row>
    <row r="19" spans="1:6">
      <c r="A19" s="15"/>
      <c r="B19" s="15"/>
      <c r="C19" s="15"/>
      <c r="D19" s="15"/>
      <c r="E19" s="15"/>
      <c r="F19" s="15"/>
    </row>
    <row r="20" spans="1:6">
      <c r="A20" s="15"/>
      <c r="B20" s="15"/>
      <c r="C20" s="15"/>
      <c r="D20" s="15"/>
      <c r="E20" s="15"/>
      <c r="F20" s="15"/>
    </row>
    <row r="21" spans="1:6">
      <c r="A21" s="15"/>
      <c r="B21" s="15"/>
      <c r="C21" s="15"/>
      <c r="D21" s="15"/>
      <c r="E21" s="15"/>
      <c r="F21" s="15"/>
    </row>
  </sheetData>
  <phoneticPr fontId="3" type="noConversion"/>
  <pageMargins left="0.75" right="0.75" top="1" bottom="1" header="0.5" footer="0.5"/>
  <pageSetup paperSize="9" orientation="portrait" r:id="rId1"/>
  <headerFooter alignWithMargins="0">
    <oddHeader>&amp;L&amp;G&amp;C&amp;F&amp;R机密</oddHeader>
    <oddFooter>&amp;L&amp;D&amp;C华为机密，未经许可不得扩散&amp;R第&amp;P页，共&amp;N页</oddFooter>
  </headerFooter>
  <legacyDrawingHF r:id="rId2"/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11"/>
  <dimension ref="A1:G16"/>
  <sheetViews>
    <sheetView zoomScaleNormal="100" workbookViewId="0">
      <selection activeCell="C29" sqref="C29"/>
    </sheetView>
  </sheetViews>
  <sheetFormatPr defaultColWidth="9" defaultRowHeight="14.25"/>
  <cols>
    <col min="1" max="1" width="19.875" style="68" customWidth="1"/>
    <col min="2" max="2" width="15" style="68" customWidth="1"/>
    <col min="3" max="3" width="14.25" style="68" customWidth="1"/>
    <col min="4" max="4" width="15.625" style="68" customWidth="1"/>
    <col min="5" max="5" width="14.25" style="68" customWidth="1"/>
    <col min="6" max="6" width="18.625" style="68" customWidth="1"/>
    <col min="7" max="7" width="14.5" style="68" customWidth="1"/>
    <col min="8" max="16384" width="9" style="68"/>
  </cols>
  <sheetData>
    <row r="1" spans="1:7" ht="31.5" customHeight="1">
      <c r="A1" s="69" t="s">
        <v>68</v>
      </c>
      <c r="B1" s="69" t="s">
        <v>67</v>
      </c>
      <c r="C1" s="71" t="s">
        <v>73</v>
      </c>
      <c r="D1" s="71" t="s">
        <v>74</v>
      </c>
      <c r="E1" s="71" t="s">
        <v>76</v>
      </c>
      <c r="F1" s="69" t="s">
        <v>69</v>
      </c>
    </row>
    <row r="2" spans="1:7" ht="42.75">
      <c r="A2" s="70"/>
      <c r="B2" s="72" t="s">
        <v>729</v>
      </c>
      <c r="C2" s="72" t="s">
        <v>728</v>
      </c>
      <c r="D2" s="72"/>
      <c r="E2" s="70"/>
      <c r="F2" s="74" t="s">
        <v>77</v>
      </c>
    </row>
    <row r="3" spans="1:7" ht="42.75">
      <c r="A3" s="70"/>
      <c r="B3" s="72"/>
      <c r="C3" s="72"/>
      <c r="D3" s="72"/>
      <c r="E3" s="70"/>
      <c r="F3" s="74" t="s">
        <v>77</v>
      </c>
    </row>
    <row r="4" spans="1:7" ht="42.75">
      <c r="A4" s="70"/>
      <c r="B4" s="72"/>
      <c r="C4" s="72"/>
      <c r="D4" s="72"/>
      <c r="E4" s="70"/>
      <c r="F4" s="74" t="s">
        <v>77</v>
      </c>
    </row>
    <row r="5" spans="1:7" ht="42.75">
      <c r="A5" s="70"/>
      <c r="B5" s="72"/>
      <c r="C5" s="72"/>
      <c r="D5" s="72"/>
      <c r="E5" s="70"/>
      <c r="F5" s="74" t="s">
        <v>77</v>
      </c>
    </row>
    <row r="6" spans="1:7" ht="19.7" customHeight="1"/>
    <row r="7" spans="1:7" ht="19.7" customHeight="1"/>
    <row r="12" spans="1:7" ht="15.95" customHeight="1"/>
    <row r="13" spans="1:7" ht="15" customHeight="1"/>
    <row r="14" spans="1:7">
      <c r="A14" s="71" t="s">
        <v>78</v>
      </c>
      <c r="B14" s="71" t="s">
        <v>79</v>
      </c>
      <c r="C14" s="71" t="s">
        <v>70</v>
      </c>
      <c r="D14" s="71" t="s">
        <v>171</v>
      </c>
      <c r="E14" s="71" t="s">
        <v>71</v>
      </c>
      <c r="F14" s="71" t="s">
        <v>72</v>
      </c>
      <c r="G14" s="69" t="s">
        <v>69</v>
      </c>
    </row>
    <row r="15" spans="1:7">
      <c r="A15" s="72"/>
      <c r="B15" s="70"/>
      <c r="C15" s="72"/>
      <c r="D15" s="72"/>
      <c r="E15" s="72"/>
      <c r="F15" s="70"/>
      <c r="G15" s="73"/>
    </row>
    <row r="16" spans="1:7">
      <c r="A16" s="72"/>
      <c r="B16" s="72"/>
      <c r="C16" s="72"/>
      <c r="D16" s="72"/>
      <c r="E16" s="70"/>
      <c r="F16" s="70"/>
      <c r="G16" s="73"/>
    </row>
  </sheetData>
  <phoneticPr fontId="38" type="noConversion"/>
  <dataValidations count="1">
    <dataValidation type="list" allowBlank="1" showInputMessage="1" showErrorMessage="1" sqref="B15:B16">
      <formula1>"PD,PU,SUS,CTL,SL"</formula1>
    </dataValidation>
  </dataValidations>
  <pageMargins left="0.74803149606299213" right="0.74803149606299213" top="0.98425196850393704" bottom="0.98425196850393704" header="0.51181102362204722" footer="0.51181102362204722"/>
  <pageSetup paperSize="9" orientation="portrait" r:id="rId1"/>
  <headerFooter alignWithMargins="0">
    <oddHeader>&amp;L&amp;G&amp;C&amp;F&amp;R文档密级</oddHeader>
    <oddFooter>&amp;L&amp;D&amp;C华为保密信息,未经授权禁止扩散&amp;R第&amp;P页，共&amp;N页</oddFooter>
  </headerFooter>
  <legacyDrawingHF r:id="rId2"/>
</worksheet>
</file>

<file path=xl/worksheets/sheet11.xml><?xml version="1.0" encoding="utf-8"?>
<worksheet xmlns="http://schemas.openxmlformats.org/spreadsheetml/2006/main" xmlns:r="http://schemas.openxmlformats.org/officeDocument/2006/relationships">
  <sheetPr codeName="Sheet10"/>
  <dimension ref="A2:H39"/>
  <sheetViews>
    <sheetView zoomScaleNormal="100" workbookViewId="0">
      <selection activeCell="M7" sqref="M7"/>
    </sheetView>
  </sheetViews>
  <sheetFormatPr defaultColWidth="9" defaultRowHeight="14.25"/>
  <cols>
    <col min="1" max="1" width="14.125" style="66" customWidth="1"/>
    <col min="2" max="2" width="18.375" style="66" customWidth="1"/>
    <col min="3" max="3" width="15.25" style="66" customWidth="1"/>
    <col min="4" max="4" width="18.375" style="66" customWidth="1"/>
    <col min="5" max="5" width="10.375" style="66" customWidth="1"/>
    <col min="6" max="7" width="9" style="66"/>
    <col min="8" max="8" width="10.625" style="66" customWidth="1"/>
    <col min="9" max="9" width="11.25" style="66" customWidth="1"/>
    <col min="10" max="16384" width="9" style="66"/>
  </cols>
  <sheetData>
    <row r="2" spans="1:5">
      <c r="C2" s="67"/>
    </row>
    <row r="4" spans="1:5">
      <c r="A4" s="276"/>
      <c r="B4" s="277"/>
      <c r="C4" s="277"/>
      <c r="D4" s="278"/>
    </row>
    <row r="5" spans="1:5">
      <c r="A5" s="286" t="s">
        <v>1092</v>
      </c>
      <c r="B5" s="287" t="s">
        <v>1093</v>
      </c>
      <c r="C5" s="288"/>
      <c r="D5" s="279"/>
    </row>
    <row r="6" spans="1:5">
      <c r="A6" s="286"/>
      <c r="B6" s="289"/>
      <c r="C6" s="290"/>
      <c r="D6" s="279"/>
    </row>
    <row r="7" spans="1:5">
      <c r="A7" s="286" t="s">
        <v>1094</v>
      </c>
      <c r="B7" s="291" t="s">
        <v>1095</v>
      </c>
      <c r="C7" s="291"/>
      <c r="D7" s="279"/>
    </row>
    <row r="8" spans="1:5">
      <c r="A8" s="292"/>
      <c r="B8" s="293"/>
      <c r="C8" s="293"/>
      <c r="D8" s="279"/>
    </row>
    <row r="9" spans="1:5">
      <c r="A9" s="280"/>
      <c r="B9" s="281"/>
      <c r="C9" s="282"/>
      <c r="D9" s="279"/>
    </row>
    <row r="10" spans="1:5">
      <c r="A10" s="280"/>
      <c r="B10" s="281"/>
      <c r="C10" s="282"/>
      <c r="D10" s="279"/>
    </row>
    <row r="11" spans="1:5">
      <c r="A11" s="280"/>
      <c r="B11" s="281"/>
      <c r="C11" s="281"/>
      <c r="D11" s="279"/>
    </row>
    <row r="12" spans="1:5">
      <c r="A12" s="283"/>
      <c r="B12" s="284"/>
      <c r="C12" s="284"/>
      <c r="D12" s="285"/>
    </row>
    <row r="15" spans="1:5">
      <c r="D15" s="80" t="s">
        <v>686</v>
      </c>
      <c r="E15" s="80" t="s">
        <v>687</v>
      </c>
    </row>
    <row r="16" spans="1:5">
      <c r="A16" s="67" t="s">
        <v>98</v>
      </c>
    </row>
    <row r="17" spans="1:8">
      <c r="A17" s="400" t="s">
        <v>88</v>
      </c>
      <c r="B17" s="80" t="s">
        <v>263</v>
      </c>
      <c r="C17" s="80" t="s">
        <v>101</v>
      </c>
      <c r="D17" s="80" t="s">
        <v>283</v>
      </c>
      <c r="E17" s="80" t="s">
        <v>532</v>
      </c>
      <c r="F17" s="67"/>
      <c r="H17" s="67"/>
    </row>
    <row r="18" spans="1:8">
      <c r="A18" s="401"/>
      <c r="B18" s="80" t="s">
        <v>94</v>
      </c>
      <c r="C18" s="81">
        <v>12</v>
      </c>
      <c r="D18" s="80" t="s">
        <v>269</v>
      </c>
      <c r="E18" s="80" t="s">
        <v>634</v>
      </c>
      <c r="H18" s="67"/>
    </row>
    <row r="19" spans="1:8">
      <c r="A19" s="401"/>
      <c r="B19" s="80" t="s">
        <v>95</v>
      </c>
      <c r="C19" s="81">
        <v>32</v>
      </c>
      <c r="D19" s="80" t="s">
        <v>280</v>
      </c>
      <c r="E19" s="80" t="s">
        <v>635</v>
      </c>
      <c r="G19" s="67"/>
      <c r="H19" s="67"/>
    </row>
    <row r="20" spans="1:8">
      <c r="A20" s="123" t="s">
        <v>406</v>
      </c>
      <c r="B20" s="122" t="s">
        <v>405</v>
      </c>
      <c r="G20" s="67"/>
      <c r="H20" s="67"/>
    </row>
    <row r="21" spans="1:8">
      <c r="A21" s="82" t="s">
        <v>154</v>
      </c>
      <c r="B21" s="82" t="s">
        <v>102</v>
      </c>
      <c r="C21" s="82" t="s">
        <v>398</v>
      </c>
      <c r="D21" s="82" t="s">
        <v>384</v>
      </c>
      <c r="E21" s="83" t="s">
        <v>156</v>
      </c>
      <c r="F21" s="82" t="s">
        <v>155</v>
      </c>
      <c r="H21" s="67"/>
    </row>
    <row r="22" spans="1:8">
      <c r="A22" s="397" t="s">
        <v>164</v>
      </c>
      <c r="B22" s="82" t="s">
        <v>158</v>
      </c>
      <c r="C22" s="83">
        <v>4</v>
      </c>
      <c r="D22" s="83">
        <v>4</v>
      </c>
      <c r="E22" s="83" t="s">
        <v>99</v>
      </c>
      <c r="F22" s="82" t="s">
        <v>181</v>
      </c>
    </row>
    <row r="23" spans="1:8">
      <c r="A23" s="398"/>
      <c r="B23" s="82" t="s">
        <v>161</v>
      </c>
      <c r="C23" s="83">
        <v>3</v>
      </c>
      <c r="D23" s="83">
        <v>3</v>
      </c>
      <c r="E23" s="83" t="s">
        <v>100</v>
      </c>
      <c r="F23" s="82" t="s">
        <v>182</v>
      </c>
    </row>
    <row r="24" spans="1:8">
      <c r="A24" s="399"/>
      <c r="B24" s="82" t="s">
        <v>162</v>
      </c>
      <c r="C24" s="83">
        <v>2</v>
      </c>
      <c r="D24" s="83">
        <v>2</v>
      </c>
      <c r="E24" s="82" t="s">
        <v>175</v>
      </c>
      <c r="F24" s="82" t="s">
        <v>183</v>
      </c>
    </row>
    <row r="25" spans="1:8">
      <c r="A25" s="399"/>
      <c r="B25" s="82" t="s">
        <v>163</v>
      </c>
      <c r="C25" s="83">
        <v>1</v>
      </c>
      <c r="D25" s="83">
        <v>0</v>
      </c>
      <c r="E25" s="82" t="s">
        <v>176</v>
      </c>
      <c r="F25" s="82" t="s">
        <v>183</v>
      </c>
    </row>
    <row r="26" spans="1:8">
      <c r="A26" s="399"/>
      <c r="B26" s="83"/>
      <c r="C26" s="83"/>
      <c r="D26" s="83"/>
      <c r="E26" s="82" t="s">
        <v>178</v>
      </c>
      <c r="F26" s="83" t="s">
        <v>184</v>
      </c>
    </row>
    <row r="27" spans="1:8">
      <c r="A27" s="399"/>
      <c r="B27" s="83"/>
      <c r="C27" s="83"/>
      <c r="D27" s="83"/>
      <c r="E27" s="82" t="s">
        <v>180</v>
      </c>
      <c r="F27" s="83" t="s">
        <v>184</v>
      </c>
    </row>
    <row r="28" spans="1:8">
      <c r="A28" s="397" t="s">
        <v>656</v>
      </c>
      <c r="B28" s="82" t="s">
        <v>657</v>
      </c>
      <c r="C28" s="83">
        <v>7</v>
      </c>
      <c r="D28" s="83">
        <v>7</v>
      </c>
      <c r="E28" s="83" t="s">
        <v>658</v>
      </c>
      <c r="F28" s="82" t="s">
        <v>659</v>
      </c>
    </row>
    <row r="29" spans="1:8">
      <c r="A29" s="398"/>
      <c r="B29" s="82" t="s">
        <v>658</v>
      </c>
      <c r="C29" s="83">
        <v>6</v>
      </c>
      <c r="D29" s="83">
        <v>6</v>
      </c>
      <c r="E29" s="83" t="s">
        <v>660</v>
      </c>
      <c r="F29" s="82" t="s">
        <v>661</v>
      </c>
    </row>
    <row r="30" spans="1:8">
      <c r="A30" s="399"/>
      <c r="B30" s="82" t="s">
        <v>662</v>
      </c>
      <c r="C30" s="82">
        <v>5</v>
      </c>
      <c r="D30" s="82">
        <v>5</v>
      </c>
      <c r="E30" s="82" t="s">
        <v>663</v>
      </c>
      <c r="F30" s="82" t="s">
        <v>664</v>
      </c>
    </row>
    <row r="31" spans="1:8">
      <c r="A31" s="399"/>
      <c r="B31" s="82" t="s">
        <v>665</v>
      </c>
      <c r="C31" s="82">
        <v>4</v>
      </c>
      <c r="D31" s="82">
        <v>2</v>
      </c>
      <c r="E31" s="82" t="s">
        <v>666</v>
      </c>
      <c r="F31" s="82" t="s">
        <v>664</v>
      </c>
    </row>
    <row r="32" spans="1:8">
      <c r="A32" s="399"/>
      <c r="B32" s="83" t="s">
        <v>667</v>
      </c>
      <c r="C32" s="82">
        <v>1</v>
      </c>
      <c r="D32" s="82">
        <v>1</v>
      </c>
      <c r="E32" s="82" t="s">
        <v>668</v>
      </c>
      <c r="F32" s="82" t="s">
        <v>669</v>
      </c>
    </row>
    <row r="33" spans="1:6">
      <c r="A33" s="399"/>
      <c r="B33" s="82" t="s">
        <v>670</v>
      </c>
      <c r="C33" s="82">
        <v>0</v>
      </c>
      <c r="D33" s="83">
        <v>0</v>
      </c>
      <c r="E33" s="82" t="s">
        <v>671</v>
      </c>
      <c r="F33" s="82" t="s">
        <v>669</v>
      </c>
    </row>
    <row r="34" spans="1:6">
      <c r="A34" s="397" t="s">
        <v>672</v>
      </c>
      <c r="B34" s="82" t="s">
        <v>673</v>
      </c>
      <c r="C34" s="83">
        <v>5</v>
      </c>
      <c r="D34" s="83">
        <v>5</v>
      </c>
      <c r="E34" s="83" t="s">
        <v>674</v>
      </c>
      <c r="F34" s="82" t="s">
        <v>675</v>
      </c>
    </row>
    <row r="35" spans="1:6">
      <c r="A35" s="398"/>
      <c r="B35" s="82" t="s">
        <v>674</v>
      </c>
      <c r="C35" s="83">
        <v>4</v>
      </c>
      <c r="D35" s="83">
        <v>4</v>
      </c>
      <c r="E35" s="83" t="s">
        <v>676</v>
      </c>
      <c r="F35" s="82" t="s">
        <v>677</v>
      </c>
    </row>
    <row r="36" spans="1:6">
      <c r="A36" s="399"/>
      <c r="B36" s="82" t="s">
        <v>678</v>
      </c>
      <c r="C36" s="83">
        <v>3</v>
      </c>
      <c r="D36" s="83">
        <v>3</v>
      </c>
      <c r="E36" s="82" t="s">
        <v>679</v>
      </c>
      <c r="F36" s="82" t="s">
        <v>680</v>
      </c>
    </row>
    <row r="37" spans="1:6">
      <c r="A37" s="399"/>
      <c r="B37" s="82" t="s">
        <v>681</v>
      </c>
      <c r="C37" s="83">
        <v>2</v>
      </c>
      <c r="D37" s="83">
        <v>1</v>
      </c>
      <c r="E37" s="82" t="s">
        <v>682</v>
      </c>
      <c r="F37" s="82" t="s">
        <v>680</v>
      </c>
    </row>
    <row r="38" spans="1:6">
      <c r="A38" s="399"/>
      <c r="B38" s="83" t="s">
        <v>683</v>
      </c>
      <c r="C38" s="83">
        <v>0</v>
      </c>
      <c r="D38" s="83">
        <v>0</v>
      </c>
      <c r="E38" s="82" t="s">
        <v>668</v>
      </c>
      <c r="F38" s="83" t="s">
        <v>684</v>
      </c>
    </row>
    <row r="39" spans="1:6">
      <c r="A39" s="399"/>
      <c r="B39" s="83"/>
      <c r="C39" s="83"/>
      <c r="D39" s="83"/>
      <c r="E39" s="82" t="s">
        <v>671</v>
      </c>
      <c r="F39" s="83" t="s">
        <v>684</v>
      </c>
    </row>
  </sheetData>
  <mergeCells count="4">
    <mergeCell ref="A34:A39"/>
    <mergeCell ref="A22:A27"/>
    <mergeCell ref="A17:A19"/>
    <mergeCell ref="A28:A33"/>
  </mergeCells>
  <phoneticPr fontId="3" type="noConversion"/>
  <dataValidations count="2">
    <dataValidation type="list" allowBlank="1" showInputMessage="1" showErrorMessage="1" sqref="C17">
      <formula1>"SV interface,Verilog"</formula1>
    </dataValidation>
    <dataValidation type="list" allowBlank="1" showInputMessage="1" showErrorMessage="1" sqref="B20">
      <formula1>"是,否"</formula1>
    </dataValidation>
  </dataValidations>
  <pageMargins left="0.74803149606299213" right="0.74803149606299213" top="0.98425196850393704" bottom="0.98425196850393704" header="0.51181102362204722" footer="0.51181102362204722"/>
  <pageSetup paperSize="9" orientation="portrait" r:id="rId1"/>
  <headerFooter alignWithMargins="0">
    <oddHeader>&amp;L&amp;G&amp;C&amp;F&amp;R文档密级</oddHeader>
    <oddFooter>&amp;L&amp;D&amp;C华为保密信息,未经授权禁止扩散&amp;R第&amp;P页，共&amp;N页</oddFooter>
  </headerFooter>
  <legacyDrawing r:id="rId2"/>
  <legacyDrawingHF r:id="rId3"/>
</worksheet>
</file>

<file path=xl/worksheets/sheet12.xml><?xml version="1.0" encoding="utf-8"?>
<worksheet xmlns="http://schemas.openxmlformats.org/spreadsheetml/2006/main" xmlns:r="http://schemas.openxmlformats.org/officeDocument/2006/relationships">
  <sheetPr codeName="Sheet9"/>
  <dimension ref="A2:M239"/>
  <sheetViews>
    <sheetView topLeftCell="A121" zoomScale="85" zoomScaleNormal="85" workbookViewId="0">
      <selection activeCell="G133" sqref="G133"/>
    </sheetView>
  </sheetViews>
  <sheetFormatPr defaultRowHeight="14.25"/>
  <cols>
    <col min="1" max="1" width="15.375" customWidth="1"/>
    <col min="2" max="2" width="19" customWidth="1"/>
    <col min="3" max="3" width="27.75" customWidth="1"/>
    <col min="4" max="4" width="20" customWidth="1"/>
    <col min="5" max="5" width="20.375" customWidth="1"/>
    <col min="6" max="6" width="16.125" customWidth="1"/>
    <col min="7" max="7" width="18.125" customWidth="1"/>
    <col min="8" max="8" width="13.625" customWidth="1"/>
    <col min="9" max="9" width="18.75" customWidth="1"/>
    <col min="10" max="10" width="24.125" customWidth="1"/>
  </cols>
  <sheetData>
    <row r="2" spans="1:13">
      <c r="A2" s="78" t="s">
        <v>217</v>
      </c>
    </row>
    <row r="3" spans="1:13" ht="78" customHeight="1">
      <c r="B3" s="444" t="s">
        <v>209</v>
      </c>
      <c r="C3" s="410"/>
      <c r="D3" s="410"/>
      <c r="E3" s="410"/>
      <c r="F3" s="410"/>
      <c r="G3" s="410"/>
      <c r="H3" s="89"/>
      <c r="I3" s="89"/>
      <c r="J3" s="89"/>
      <c r="K3" s="89"/>
      <c r="L3" s="89"/>
      <c r="M3" s="89"/>
    </row>
    <row r="6" spans="1:13">
      <c r="B6" s="78"/>
    </row>
    <row r="7" spans="1:13">
      <c r="A7" s="78" t="s">
        <v>218</v>
      </c>
    </row>
    <row r="8" spans="1:13">
      <c r="B8" s="138" t="s">
        <v>195</v>
      </c>
      <c r="C8" s="138" t="s">
        <v>196</v>
      </c>
      <c r="D8" s="138" t="s">
        <v>403</v>
      </c>
      <c r="E8" s="138" t="s">
        <v>202</v>
      </c>
      <c r="F8" s="138" t="s">
        <v>203</v>
      </c>
      <c r="G8" s="138" t="s">
        <v>205</v>
      </c>
      <c r="H8" s="138" t="s">
        <v>204</v>
      </c>
    </row>
    <row r="9" spans="1:13">
      <c r="B9" s="135" t="s">
        <v>192</v>
      </c>
      <c r="C9" s="136" t="s">
        <v>201</v>
      </c>
      <c r="D9" s="137" t="s">
        <v>462</v>
      </c>
      <c r="E9" s="137" t="s">
        <v>462</v>
      </c>
      <c r="F9" s="137" t="s">
        <v>462</v>
      </c>
      <c r="G9" s="137" t="s">
        <v>462</v>
      </c>
      <c r="H9" s="136" t="s">
        <v>207</v>
      </c>
    </row>
    <row r="10" spans="1:13">
      <c r="B10" s="135" t="s">
        <v>455</v>
      </c>
      <c r="C10" s="136" t="s">
        <v>456</v>
      </c>
      <c r="D10" s="136" t="s">
        <v>463</v>
      </c>
      <c r="E10" s="137" t="s">
        <v>462</v>
      </c>
      <c r="F10" s="136" t="s">
        <v>463</v>
      </c>
      <c r="G10" s="136" t="s">
        <v>463</v>
      </c>
      <c r="H10" s="136" t="s">
        <v>457</v>
      </c>
    </row>
    <row r="11" spans="1:13">
      <c r="B11" s="135" t="s">
        <v>458</v>
      </c>
      <c r="C11" s="136" t="s">
        <v>459</v>
      </c>
      <c r="D11" s="136" t="s">
        <v>463</v>
      </c>
      <c r="E11" s="137" t="s">
        <v>462</v>
      </c>
      <c r="F11" s="136" t="s">
        <v>463</v>
      </c>
      <c r="G11" s="136" t="s">
        <v>463</v>
      </c>
      <c r="H11" s="136" t="s">
        <v>457</v>
      </c>
    </row>
    <row r="12" spans="1:13">
      <c r="B12" s="135" t="s">
        <v>460</v>
      </c>
      <c r="C12" s="136" t="s">
        <v>461</v>
      </c>
      <c r="D12" s="136" t="s">
        <v>463</v>
      </c>
      <c r="E12" s="137" t="s">
        <v>462</v>
      </c>
      <c r="F12" s="136" t="s">
        <v>463</v>
      </c>
      <c r="G12" s="136" t="s">
        <v>463</v>
      </c>
      <c r="H12" s="136" t="s">
        <v>457</v>
      </c>
    </row>
    <row r="13" spans="1:13" ht="28.5">
      <c r="B13" s="135" t="s">
        <v>193</v>
      </c>
      <c r="C13" s="136" t="s">
        <v>211</v>
      </c>
      <c r="D13" s="137" t="s">
        <v>462</v>
      </c>
      <c r="E13" s="137" t="s">
        <v>462</v>
      </c>
      <c r="F13" s="137" t="s">
        <v>462</v>
      </c>
      <c r="G13" s="137" t="s">
        <v>462</v>
      </c>
      <c r="H13" s="136" t="s">
        <v>207</v>
      </c>
    </row>
    <row r="14" spans="1:13" ht="42.75" customHeight="1">
      <c r="B14" s="135" t="s">
        <v>194</v>
      </c>
      <c r="C14" s="136" t="s">
        <v>213</v>
      </c>
      <c r="D14" s="137" t="s">
        <v>462</v>
      </c>
      <c r="E14" s="136" t="s">
        <v>463</v>
      </c>
      <c r="F14" s="136" t="s">
        <v>463</v>
      </c>
      <c r="G14" s="137" t="s">
        <v>462</v>
      </c>
      <c r="H14" s="136" t="s">
        <v>464</v>
      </c>
    </row>
    <row r="15" spans="1:13">
      <c r="B15" s="135" t="s">
        <v>197</v>
      </c>
      <c r="C15" s="136" t="s">
        <v>210</v>
      </c>
      <c r="D15" s="137" t="s">
        <v>462</v>
      </c>
      <c r="E15" s="137" t="s">
        <v>462</v>
      </c>
      <c r="F15" s="136" t="s">
        <v>463</v>
      </c>
      <c r="G15" s="137" t="s">
        <v>462</v>
      </c>
      <c r="H15" s="136" t="s">
        <v>207</v>
      </c>
    </row>
    <row r="16" spans="1:13">
      <c r="B16" s="135" t="s">
        <v>206</v>
      </c>
      <c r="C16" s="136" t="s">
        <v>212</v>
      </c>
      <c r="D16" s="136" t="s">
        <v>463</v>
      </c>
      <c r="E16" s="137" t="s">
        <v>462</v>
      </c>
      <c r="F16" s="136" t="s">
        <v>463</v>
      </c>
      <c r="G16" s="136" t="s">
        <v>463</v>
      </c>
      <c r="H16" s="136" t="s">
        <v>208</v>
      </c>
    </row>
    <row r="17" spans="1:10" ht="28.5">
      <c r="B17" s="135" t="s">
        <v>198</v>
      </c>
      <c r="C17" s="136" t="s">
        <v>214</v>
      </c>
      <c r="D17" s="137" t="s">
        <v>462</v>
      </c>
      <c r="E17" s="136" t="s">
        <v>463</v>
      </c>
      <c r="F17" s="136" t="s">
        <v>463</v>
      </c>
      <c r="G17" s="136" t="s">
        <v>463</v>
      </c>
      <c r="H17" s="136" t="s">
        <v>207</v>
      </c>
    </row>
    <row r="18" spans="1:10" ht="42.75">
      <c r="B18" s="135" t="s">
        <v>199</v>
      </c>
      <c r="C18" s="136" t="s">
        <v>215</v>
      </c>
      <c r="D18" s="137" t="s">
        <v>462</v>
      </c>
      <c r="E18" s="136" t="s">
        <v>463</v>
      </c>
      <c r="F18" s="136" t="s">
        <v>463</v>
      </c>
      <c r="G18" s="136" t="s">
        <v>463</v>
      </c>
      <c r="H18" s="136" t="s">
        <v>207</v>
      </c>
    </row>
    <row r="19" spans="1:10" ht="44.25" customHeight="1">
      <c r="B19" s="135" t="s">
        <v>200</v>
      </c>
      <c r="C19" s="136" t="s">
        <v>407</v>
      </c>
      <c r="D19" s="137" t="s">
        <v>462</v>
      </c>
      <c r="E19" s="137" t="s">
        <v>462</v>
      </c>
      <c r="F19" s="137" t="s">
        <v>462</v>
      </c>
      <c r="G19" s="137" t="s">
        <v>462</v>
      </c>
      <c r="H19" s="136" t="s">
        <v>207</v>
      </c>
    </row>
    <row r="21" spans="1:10">
      <c r="B21" s="442" t="s">
        <v>216</v>
      </c>
      <c r="C21" s="443"/>
      <c r="D21" s="443"/>
      <c r="E21" s="443"/>
    </row>
    <row r="24" spans="1:10">
      <c r="B24" s="78"/>
    </row>
    <row r="25" spans="1:10">
      <c r="A25" s="78" t="s">
        <v>219</v>
      </c>
      <c r="B25" s="78"/>
    </row>
    <row r="26" spans="1:10">
      <c r="A26" s="78"/>
      <c r="B26" s="409" t="s">
        <v>411</v>
      </c>
      <c r="C26" s="410"/>
      <c r="D26" s="410"/>
      <c r="E26" s="410"/>
      <c r="F26" s="410"/>
      <c r="G26" s="410"/>
    </row>
    <row r="27" spans="1:10" ht="14.25" customHeight="1">
      <c r="B27" s="409" t="s">
        <v>270</v>
      </c>
      <c r="C27" s="410"/>
      <c r="D27" s="410"/>
      <c r="E27" s="410"/>
      <c r="F27" s="410"/>
      <c r="G27" s="410"/>
    </row>
    <row r="28" spans="1:10" ht="75" customHeight="1">
      <c r="B28" s="409" t="s">
        <v>348</v>
      </c>
      <c r="C28" s="410"/>
      <c r="D28" s="410"/>
      <c r="E28" s="410"/>
      <c r="F28" s="410"/>
      <c r="G28" s="410"/>
    </row>
    <row r="29" spans="1:10" ht="14.25" customHeight="1">
      <c r="B29" s="409" t="s">
        <v>404</v>
      </c>
      <c r="C29" s="410"/>
      <c r="D29" s="410"/>
      <c r="E29" s="410"/>
      <c r="F29" s="410"/>
      <c r="G29" s="410"/>
    </row>
    <row r="30" spans="1:10" ht="19.7" customHeight="1">
      <c r="B30" s="409" t="s">
        <v>221</v>
      </c>
      <c r="C30" s="410"/>
      <c r="D30" s="410"/>
      <c r="E30" s="410"/>
      <c r="F30" s="410"/>
      <c r="G30" s="410"/>
      <c r="J30">
        <v>4</v>
      </c>
    </row>
    <row r="31" spans="1:10">
      <c r="A31" s="78"/>
      <c r="B31" s="409"/>
      <c r="C31" s="410"/>
      <c r="D31" s="410"/>
      <c r="E31" s="410"/>
    </row>
    <row r="32" spans="1:10">
      <c r="B32" s="409"/>
      <c r="C32" s="410"/>
      <c r="D32" s="410"/>
      <c r="E32" s="410"/>
    </row>
    <row r="33" spans="1:7">
      <c r="B33" s="409"/>
      <c r="C33" s="410"/>
      <c r="D33" s="410"/>
      <c r="E33" s="410"/>
    </row>
    <row r="34" spans="1:7">
      <c r="A34" s="78" t="s">
        <v>220</v>
      </c>
      <c r="B34" s="409"/>
      <c r="C34" s="410"/>
      <c r="D34" s="410"/>
      <c r="E34" s="410"/>
    </row>
    <row r="35" spans="1:7">
      <c r="B35" s="409" t="s">
        <v>264</v>
      </c>
      <c r="C35" s="410"/>
      <c r="D35" s="410"/>
      <c r="E35" s="410"/>
      <c r="F35" s="410"/>
      <c r="G35" s="410"/>
    </row>
    <row r="36" spans="1:7">
      <c r="B36" s="410"/>
      <c r="C36" s="410"/>
      <c r="D36" s="410"/>
      <c r="E36" s="410"/>
      <c r="F36" s="410"/>
      <c r="G36" s="410"/>
    </row>
    <row r="37" spans="1:7" ht="63.75" customHeight="1">
      <c r="B37" s="410"/>
      <c r="C37" s="410"/>
      <c r="D37" s="410"/>
      <c r="E37" s="410"/>
      <c r="F37" s="410"/>
      <c r="G37" s="410"/>
    </row>
    <row r="41" spans="1:7" ht="15" thickBot="1">
      <c r="A41" s="78" t="s">
        <v>222</v>
      </c>
    </row>
    <row r="42" spans="1:7" ht="15" thickBot="1">
      <c r="B42" s="90" t="s">
        <v>223</v>
      </c>
      <c r="C42" s="91" t="s">
        <v>224</v>
      </c>
      <c r="D42" s="91" t="s">
        <v>225</v>
      </c>
      <c r="E42" s="91" t="s">
        <v>226</v>
      </c>
    </row>
    <row r="43" spans="1:7" ht="15" thickBot="1">
      <c r="B43" s="445" t="s">
        <v>227</v>
      </c>
      <c r="C43" s="446"/>
      <c r="D43" s="446"/>
      <c r="E43" s="447"/>
    </row>
    <row r="44" spans="1:7" ht="15" thickBot="1">
      <c r="B44" s="92" t="s">
        <v>228</v>
      </c>
      <c r="C44" s="93">
        <v>1</v>
      </c>
      <c r="D44" s="93" t="s">
        <v>229</v>
      </c>
      <c r="E44" s="93" t="s">
        <v>268</v>
      </c>
    </row>
    <row r="45" spans="1:7" ht="15" thickBot="1">
      <c r="B45" s="92" t="s">
        <v>230</v>
      </c>
      <c r="C45" s="93">
        <v>1</v>
      </c>
      <c r="D45" s="93" t="s">
        <v>229</v>
      </c>
      <c r="E45" s="93" t="s">
        <v>231</v>
      </c>
    </row>
    <row r="46" spans="1:7" ht="15" thickBot="1">
      <c r="B46" s="92" t="s">
        <v>232</v>
      </c>
      <c r="C46" s="93">
        <v>1</v>
      </c>
      <c r="D46" s="93" t="s">
        <v>229</v>
      </c>
      <c r="E46" s="93" t="s">
        <v>233</v>
      </c>
    </row>
    <row r="47" spans="1:7" ht="15" thickBot="1">
      <c r="B47" s="92" t="s">
        <v>234</v>
      </c>
      <c r="C47" s="93">
        <v>1</v>
      </c>
      <c r="D47" s="93" t="s">
        <v>229</v>
      </c>
      <c r="E47" s="93" t="s">
        <v>235</v>
      </c>
    </row>
    <row r="48" spans="1:7" ht="15" thickBot="1">
      <c r="B48" s="92" t="s">
        <v>236</v>
      </c>
      <c r="C48" s="93" t="s">
        <v>279</v>
      </c>
      <c r="D48" s="93" t="s">
        <v>229</v>
      </c>
      <c r="E48" s="93" t="s">
        <v>237</v>
      </c>
    </row>
    <row r="49" spans="2:5" ht="15" thickBot="1">
      <c r="B49" s="92" t="s">
        <v>238</v>
      </c>
      <c r="C49" s="93" t="s">
        <v>239</v>
      </c>
      <c r="D49" s="93" t="s">
        <v>229</v>
      </c>
      <c r="E49" s="93" t="s">
        <v>240</v>
      </c>
    </row>
    <row r="50" spans="2:5" ht="15" thickBot="1">
      <c r="B50" s="92" t="s">
        <v>241</v>
      </c>
      <c r="C50" s="93" t="s">
        <v>239</v>
      </c>
      <c r="D50" s="93" t="s">
        <v>242</v>
      </c>
      <c r="E50" s="93" t="s">
        <v>243</v>
      </c>
    </row>
    <row r="51" spans="2:5" ht="67.5" thickBot="1">
      <c r="B51" s="97" t="s">
        <v>265</v>
      </c>
      <c r="C51" s="96"/>
      <c r="D51" s="96" t="s">
        <v>262</v>
      </c>
      <c r="E51" s="96" t="s">
        <v>266</v>
      </c>
    </row>
    <row r="52" spans="2:5" ht="15" thickBot="1">
      <c r="B52" s="92" t="s">
        <v>244</v>
      </c>
      <c r="C52" s="93">
        <v>1</v>
      </c>
      <c r="D52" s="93" t="s">
        <v>229</v>
      </c>
      <c r="E52" s="94" t="s">
        <v>245</v>
      </c>
    </row>
    <row r="53" spans="2:5" ht="15" thickBot="1">
      <c r="B53" s="92" t="s">
        <v>246</v>
      </c>
      <c r="C53" s="93">
        <v>1</v>
      </c>
      <c r="D53" s="93" t="s">
        <v>229</v>
      </c>
      <c r="E53" s="94" t="s">
        <v>497</v>
      </c>
    </row>
    <row r="54" spans="2:5" ht="15" thickBot="1">
      <c r="B54" s="92" t="s">
        <v>247</v>
      </c>
      <c r="C54" s="93">
        <v>1</v>
      </c>
      <c r="D54" s="93" t="s">
        <v>229</v>
      </c>
      <c r="E54" s="93" t="s">
        <v>248</v>
      </c>
    </row>
    <row r="55" spans="2:5" ht="15" thickBot="1">
      <c r="B55" s="445" t="s">
        <v>249</v>
      </c>
      <c r="C55" s="446"/>
      <c r="D55" s="446"/>
      <c r="E55" s="447"/>
    </row>
    <row r="56" spans="2:5" ht="27.75" thickBot="1">
      <c r="B56" s="92" t="s">
        <v>401</v>
      </c>
      <c r="C56" s="93">
        <v>1</v>
      </c>
      <c r="D56" s="93" t="s">
        <v>229</v>
      </c>
      <c r="E56" s="93" t="s">
        <v>250</v>
      </c>
    </row>
    <row r="57" spans="2:5" ht="15" thickBot="1">
      <c r="B57" s="92" t="s">
        <v>251</v>
      </c>
      <c r="C57" s="93">
        <v>1</v>
      </c>
      <c r="D57" s="93" t="s">
        <v>242</v>
      </c>
      <c r="E57" s="93" t="s">
        <v>252</v>
      </c>
    </row>
    <row r="58" spans="2:5" ht="15" thickBot="1">
      <c r="B58" s="92" t="s">
        <v>253</v>
      </c>
      <c r="C58" s="93">
        <v>1</v>
      </c>
      <c r="D58" s="93" t="s">
        <v>242</v>
      </c>
      <c r="E58" s="93" t="s">
        <v>254</v>
      </c>
    </row>
    <row r="59" spans="2:5" ht="15" thickBot="1">
      <c r="B59" s="92" t="s">
        <v>255</v>
      </c>
      <c r="C59" s="93" t="s">
        <v>256</v>
      </c>
      <c r="D59" s="93" t="s">
        <v>242</v>
      </c>
      <c r="E59" s="93" t="s">
        <v>257</v>
      </c>
    </row>
    <row r="60" spans="2:5" ht="15" thickBot="1">
      <c r="B60" s="445" t="s">
        <v>258</v>
      </c>
      <c r="C60" s="446"/>
      <c r="D60" s="446"/>
      <c r="E60" s="447"/>
    </row>
    <row r="61" spans="2:5" ht="27" thickBot="1">
      <c r="B61" s="92" t="s">
        <v>259</v>
      </c>
      <c r="C61" s="93">
        <v>1</v>
      </c>
      <c r="D61" s="93" t="s">
        <v>229</v>
      </c>
      <c r="E61" s="93" t="s">
        <v>427</v>
      </c>
    </row>
    <row r="62" spans="2:5" ht="27" thickBot="1">
      <c r="B62" s="92" t="s">
        <v>260</v>
      </c>
      <c r="C62" s="93">
        <v>1</v>
      </c>
      <c r="D62" s="93" t="s">
        <v>229</v>
      </c>
      <c r="E62" s="93" t="s">
        <v>426</v>
      </c>
    </row>
    <row r="63" spans="2:5" ht="27" thickBot="1">
      <c r="B63" s="92" t="s">
        <v>261</v>
      </c>
      <c r="C63" s="93">
        <v>1</v>
      </c>
      <c r="D63" s="93" t="s">
        <v>242</v>
      </c>
      <c r="E63" s="93" t="s">
        <v>428</v>
      </c>
    </row>
    <row r="64" spans="2:5">
      <c r="B64" s="95"/>
    </row>
    <row r="65" spans="1:7">
      <c r="B65" s="128" t="s">
        <v>434</v>
      </c>
      <c r="D65" s="130" t="s">
        <v>435</v>
      </c>
      <c r="E65" s="130" t="s">
        <v>436</v>
      </c>
      <c r="F65" s="131" t="s">
        <v>442</v>
      </c>
      <c r="G65" s="130" t="s">
        <v>437</v>
      </c>
    </row>
    <row r="66" spans="1:7" s="128" customFormat="1">
      <c r="D66" s="129">
        <v>0</v>
      </c>
      <c r="E66" s="129">
        <v>0</v>
      </c>
      <c r="F66" s="132" t="s">
        <v>443</v>
      </c>
      <c r="G66" s="129" t="s">
        <v>438</v>
      </c>
    </row>
    <row r="67" spans="1:7" s="128" customFormat="1">
      <c r="D67" s="129">
        <v>1</v>
      </c>
      <c r="E67" s="129">
        <v>0</v>
      </c>
      <c r="F67" s="132" t="s">
        <v>443</v>
      </c>
      <c r="G67" s="129" t="s">
        <v>438</v>
      </c>
    </row>
    <row r="68" spans="1:7" s="128" customFormat="1">
      <c r="D68" s="129">
        <v>0</v>
      </c>
      <c r="E68" s="129">
        <v>1</v>
      </c>
      <c r="F68" s="132" t="s">
        <v>444</v>
      </c>
      <c r="G68" s="129">
        <v>0</v>
      </c>
    </row>
    <row r="69" spans="1:7" s="128" customFormat="1">
      <c r="D69" s="129">
        <v>1</v>
      </c>
      <c r="E69" s="129">
        <v>1</v>
      </c>
      <c r="F69" s="132" t="s">
        <v>439</v>
      </c>
      <c r="G69" s="129">
        <v>1</v>
      </c>
    </row>
    <row r="70" spans="1:7" s="128" customFormat="1">
      <c r="D70" s="129" t="s">
        <v>440</v>
      </c>
      <c r="E70" s="129">
        <v>0</v>
      </c>
      <c r="F70" s="132" t="s">
        <v>445</v>
      </c>
      <c r="G70" s="129">
        <v>0</v>
      </c>
    </row>
    <row r="71" spans="1:7" s="128" customFormat="1">
      <c r="D71" s="129" t="s">
        <v>440</v>
      </c>
      <c r="E71" s="129">
        <v>0</v>
      </c>
      <c r="F71" s="132" t="s">
        <v>446</v>
      </c>
      <c r="G71" s="129">
        <v>1</v>
      </c>
    </row>
    <row r="72" spans="1:7" s="128" customFormat="1">
      <c r="D72" s="128" t="s">
        <v>441</v>
      </c>
    </row>
    <row r="73" spans="1:7" s="128" customFormat="1"/>
    <row r="75" spans="1:7">
      <c r="A75" s="78" t="s">
        <v>267</v>
      </c>
    </row>
    <row r="76" spans="1:7" ht="14.25" customHeight="1">
      <c r="B76" s="455" t="s">
        <v>271</v>
      </c>
      <c r="C76" s="455"/>
      <c r="D76" s="455"/>
      <c r="E76" s="455"/>
      <c r="F76" s="455"/>
      <c r="G76" s="455"/>
    </row>
    <row r="77" spans="1:7">
      <c r="B77" s="98" t="s">
        <v>278</v>
      </c>
      <c r="C77" s="98" t="s">
        <v>425</v>
      </c>
      <c r="D77" s="448" t="s">
        <v>272</v>
      </c>
      <c r="E77" s="180" t="s">
        <v>536</v>
      </c>
    </row>
    <row r="78" spans="1:7">
      <c r="B78" s="114"/>
      <c r="C78" s="100"/>
      <c r="D78" s="449"/>
    </row>
    <row r="79" spans="1:7" ht="14.25" customHeight="1">
      <c r="B79" s="99" t="s">
        <v>277</v>
      </c>
      <c r="C79" s="99" t="s">
        <v>276</v>
      </c>
      <c r="D79" s="449"/>
    </row>
    <row r="80" spans="1:7">
      <c r="B80" s="98" t="s">
        <v>278</v>
      </c>
      <c r="C80" s="98" t="s">
        <v>275</v>
      </c>
      <c r="D80" s="448" t="s">
        <v>273</v>
      </c>
    </row>
    <row r="81" spans="1:8">
      <c r="B81" s="100"/>
      <c r="C81" s="100"/>
      <c r="D81" s="449"/>
    </row>
    <row r="82" spans="1:8">
      <c r="B82" s="99" t="s">
        <v>277</v>
      </c>
      <c r="C82" s="99" t="s">
        <v>308</v>
      </c>
      <c r="D82" s="449"/>
    </row>
    <row r="83" spans="1:8">
      <c r="B83" s="98" t="s">
        <v>278</v>
      </c>
      <c r="C83" s="98" t="s">
        <v>309</v>
      </c>
      <c r="D83" s="448" t="s">
        <v>281</v>
      </c>
    </row>
    <row r="84" spans="1:8">
      <c r="B84" s="100"/>
      <c r="C84" s="100"/>
      <c r="D84" s="449"/>
    </row>
    <row r="85" spans="1:8">
      <c r="B85" s="99" t="s">
        <v>277</v>
      </c>
      <c r="C85" s="99" t="s">
        <v>534</v>
      </c>
      <c r="D85" s="449"/>
      <c r="E85" s="180" t="s">
        <v>535</v>
      </c>
    </row>
    <row r="87" spans="1:8">
      <c r="B87" s="454" t="s">
        <v>282</v>
      </c>
      <c r="C87" s="455"/>
      <c r="D87" s="455"/>
      <c r="E87" s="455"/>
      <c r="F87" s="455"/>
      <c r="G87" s="455"/>
    </row>
    <row r="88" spans="1:8">
      <c r="B88" s="117"/>
      <c r="C88" s="118"/>
      <c r="D88" s="118"/>
      <c r="E88" s="118"/>
      <c r="F88" s="118"/>
      <c r="G88" s="118"/>
    </row>
    <row r="89" spans="1:8">
      <c r="B89" s="86" t="s">
        <v>390</v>
      </c>
      <c r="C89" s="440" t="s">
        <v>397</v>
      </c>
      <c r="D89" s="441"/>
      <c r="E89" s="118"/>
      <c r="F89" s="118"/>
      <c r="G89" s="118"/>
    </row>
    <row r="90" spans="1:8">
      <c r="B90" s="119" t="s">
        <v>391</v>
      </c>
      <c r="C90" s="440" t="s">
        <v>393</v>
      </c>
      <c r="D90" s="441"/>
      <c r="E90" s="118"/>
      <c r="F90" s="118"/>
      <c r="G90" s="118"/>
    </row>
    <row r="91" spans="1:8">
      <c r="B91" s="119" t="s">
        <v>392</v>
      </c>
      <c r="C91" s="440" t="s">
        <v>395</v>
      </c>
      <c r="D91" s="441"/>
      <c r="E91" s="118"/>
      <c r="F91" s="118"/>
      <c r="G91" s="118"/>
    </row>
    <row r="92" spans="1:8" ht="19.7" customHeight="1">
      <c r="B92" s="119" t="s">
        <v>394</v>
      </c>
      <c r="C92" s="440" t="s">
        <v>396</v>
      </c>
      <c r="D92" s="441"/>
    </row>
    <row r="95" spans="1:8" ht="42.75" customHeight="1">
      <c r="A95" s="88" t="s">
        <v>284</v>
      </c>
    </row>
    <row r="96" spans="1:8" ht="25.5" customHeight="1">
      <c r="B96" s="110" t="s">
        <v>294</v>
      </c>
      <c r="C96" s="110" t="s">
        <v>305</v>
      </c>
      <c r="D96" s="450" t="s">
        <v>304</v>
      </c>
      <c r="E96" s="450"/>
      <c r="F96" s="450"/>
      <c r="G96" s="450"/>
      <c r="H96" s="110" t="s">
        <v>313</v>
      </c>
    </row>
    <row r="97" spans="2:8">
      <c r="B97" s="105" t="s">
        <v>285</v>
      </c>
      <c r="C97" s="101" t="s">
        <v>306</v>
      </c>
      <c r="D97" s="438" t="s">
        <v>408</v>
      </c>
      <c r="E97" s="439"/>
      <c r="F97" s="439"/>
      <c r="G97" s="439"/>
      <c r="H97" s="108" t="s">
        <v>316</v>
      </c>
    </row>
    <row r="98" spans="2:8" ht="46.5" customHeight="1">
      <c r="B98" s="105" t="s">
        <v>286</v>
      </c>
      <c r="C98" s="101" t="s">
        <v>306</v>
      </c>
      <c r="D98" s="438" t="s">
        <v>409</v>
      </c>
      <c r="E98" s="439"/>
      <c r="F98" s="439"/>
      <c r="G98" s="439"/>
      <c r="H98" s="108" t="s">
        <v>316</v>
      </c>
    </row>
    <row r="99" spans="2:8" ht="101.25" customHeight="1">
      <c r="B99" s="106" t="s">
        <v>287</v>
      </c>
      <c r="C99" s="102" t="s">
        <v>307</v>
      </c>
      <c r="D99" s="438" t="s">
        <v>429</v>
      </c>
      <c r="E99" s="439"/>
      <c r="F99" s="439"/>
      <c r="G99" s="439"/>
      <c r="H99" s="108" t="s">
        <v>317</v>
      </c>
    </row>
    <row r="100" spans="2:8" ht="45.75" customHeight="1">
      <c r="B100" s="105" t="s">
        <v>288</v>
      </c>
      <c r="C100" s="103" t="s">
        <v>307</v>
      </c>
      <c r="D100" s="438" t="s">
        <v>430</v>
      </c>
      <c r="E100" s="439"/>
      <c r="F100" s="439"/>
      <c r="G100" s="439"/>
      <c r="H100" s="108" t="s">
        <v>317</v>
      </c>
    </row>
    <row r="101" spans="2:8">
      <c r="B101" s="105" t="s">
        <v>289</v>
      </c>
      <c r="C101" s="104" t="s">
        <v>306</v>
      </c>
      <c r="D101" s="438" t="s">
        <v>410</v>
      </c>
      <c r="E101" s="439"/>
      <c r="F101" s="439"/>
      <c r="G101" s="439"/>
      <c r="H101" s="108" t="s">
        <v>316</v>
      </c>
    </row>
    <row r="102" spans="2:8">
      <c r="B102" s="105" t="s">
        <v>290</v>
      </c>
      <c r="C102" s="104" t="s">
        <v>306</v>
      </c>
      <c r="D102" s="438" t="s">
        <v>412</v>
      </c>
      <c r="E102" s="439"/>
      <c r="F102" s="439"/>
      <c r="G102" s="439"/>
      <c r="H102" s="108" t="s">
        <v>316</v>
      </c>
    </row>
    <row r="103" spans="2:8" ht="48" customHeight="1">
      <c r="B103" s="105" t="s">
        <v>291</v>
      </c>
      <c r="C103" s="103" t="s">
        <v>307</v>
      </c>
      <c r="D103" s="438" t="s">
        <v>413</v>
      </c>
      <c r="E103" s="439"/>
      <c r="F103" s="439"/>
      <c r="G103" s="439"/>
      <c r="H103" s="108" t="s">
        <v>319</v>
      </c>
    </row>
    <row r="104" spans="2:8">
      <c r="B104" s="105" t="s">
        <v>292</v>
      </c>
      <c r="C104" s="104" t="s">
        <v>306</v>
      </c>
      <c r="D104" s="438" t="s">
        <v>414</v>
      </c>
      <c r="E104" s="439"/>
      <c r="F104" s="439"/>
      <c r="G104" s="439"/>
      <c r="H104" s="108" t="s">
        <v>318</v>
      </c>
    </row>
    <row r="105" spans="2:8" ht="47.25" customHeight="1">
      <c r="B105" s="105" t="s">
        <v>293</v>
      </c>
      <c r="C105" s="104" t="s">
        <v>306</v>
      </c>
      <c r="D105" s="438" t="s">
        <v>415</v>
      </c>
      <c r="E105" s="439"/>
      <c r="F105" s="439"/>
      <c r="G105" s="439"/>
      <c r="H105" s="108" t="s">
        <v>318</v>
      </c>
    </row>
    <row r="106" spans="2:8" ht="49.5" customHeight="1">
      <c r="B106" s="106" t="s">
        <v>343</v>
      </c>
      <c r="C106" s="103" t="s">
        <v>307</v>
      </c>
      <c r="D106" s="438" t="s">
        <v>431</v>
      </c>
      <c r="E106" s="439"/>
      <c r="F106" s="439"/>
      <c r="G106" s="439"/>
      <c r="H106" s="108" t="s">
        <v>319</v>
      </c>
    </row>
    <row r="107" spans="2:8" ht="113.45" customHeight="1">
      <c r="B107" s="106" t="s">
        <v>296</v>
      </c>
      <c r="C107" s="103" t="s">
        <v>307</v>
      </c>
      <c r="D107" s="438" t="s">
        <v>416</v>
      </c>
      <c r="E107" s="439"/>
      <c r="F107" s="439"/>
      <c r="G107" s="439"/>
      <c r="H107" s="108" t="s">
        <v>319</v>
      </c>
    </row>
    <row r="108" spans="2:8" ht="28.5">
      <c r="B108" s="107" t="s">
        <v>297</v>
      </c>
      <c r="C108" s="104" t="s">
        <v>306</v>
      </c>
      <c r="D108" s="438" t="s">
        <v>432</v>
      </c>
      <c r="E108" s="439"/>
      <c r="F108" s="439"/>
      <c r="G108" s="439"/>
      <c r="H108" s="109" t="s">
        <v>314</v>
      </c>
    </row>
    <row r="109" spans="2:8" ht="32.25" customHeight="1">
      <c r="B109" s="106" t="s">
        <v>298</v>
      </c>
      <c r="C109" s="104" t="s">
        <v>306</v>
      </c>
      <c r="D109" s="438" t="s">
        <v>310</v>
      </c>
      <c r="E109" s="439"/>
      <c r="F109" s="439"/>
      <c r="G109" s="439"/>
      <c r="H109" s="108" t="s">
        <v>318</v>
      </c>
    </row>
    <row r="110" spans="2:8" ht="35.25" customHeight="1">
      <c r="B110" s="106" t="s">
        <v>337</v>
      </c>
      <c r="C110" s="103" t="s">
        <v>307</v>
      </c>
      <c r="D110" s="438" t="s">
        <v>433</v>
      </c>
      <c r="E110" s="439"/>
      <c r="F110" s="439"/>
      <c r="G110" s="439"/>
      <c r="H110" s="108" t="s">
        <v>316</v>
      </c>
    </row>
    <row r="111" spans="2:8" ht="28.5">
      <c r="B111" s="107" t="s">
        <v>336</v>
      </c>
      <c r="C111" s="103" t="s">
        <v>307</v>
      </c>
      <c r="D111" s="438" t="s">
        <v>311</v>
      </c>
      <c r="E111" s="439"/>
      <c r="F111" s="439"/>
      <c r="G111" s="439"/>
      <c r="H111" s="108" t="s">
        <v>316</v>
      </c>
    </row>
    <row r="112" spans="2:8" ht="179.25" customHeight="1">
      <c r="B112" s="105" t="s">
        <v>299</v>
      </c>
      <c r="C112" s="103" t="s">
        <v>307</v>
      </c>
      <c r="D112" s="438" t="s">
        <v>481</v>
      </c>
      <c r="E112" s="439"/>
      <c r="F112" s="439"/>
      <c r="G112" s="439"/>
      <c r="H112" s="108" t="s">
        <v>317</v>
      </c>
    </row>
    <row r="113" spans="2:10">
      <c r="B113" s="105" t="s">
        <v>300</v>
      </c>
      <c r="C113" s="103" t="s">
        <v>307</v>
      </c>
      <c r="D113" s="438" t="s">
        <v>338</v>
      </c>
      <c r="E113" s="439"/>
      <c r="F113" s="439"/>
      <c r="G113" s="439"/>
      <c r="H113" s="108" t="s">
        <v>317</v>
      </c>
    </row>
    <row r="114" spans="2:10">
      <c r="B114" s="105" t="s">
        <v>301</v>
      </c>
      <c r="C114" s="103" t="s">
        <v>307</v>
      </c>
      <c r="D114" s="438" t="s">
        <v>339</v>
      </c>
      <c r="E114" s="439"/>
      <c r="F114" s="439"/>
      <c r="G114" s="439"/>
      <c r="H114" s="108" t="s">
        <v>317</v>
      </c>
    </row>
    <row r="115" spans="2:10">
      <c r="B115" s="105" t="s">
        <v>302</v>
      </c>
      <c r="C115" s="104" t="s">
        <v>306</v>
      </c>
      <c r="D115" s="438" t="s">
        <v>331</v>
      </c>
      <c r="E115" s="439"/>
      <c r="F115" s="439"/>
      <c r="G115" s="439"/>
      <c r="H115" s="108" t="s">
        <v>315</v>
      </c>
    </row>
    <row r="116" spans="2:10">
      <c r="B116" s="105" t="s">
        <v>303</v>
      </c>
      <c r="C116" s="104" t="s">
        <v>306</v>
      </c>
      <c r="D116" s="438" t="s">
        <v>312</v>
      </c>
      <c r="E116" s="439"/>
      <c r="F116" s="439"/>
      <c r="G116" s="439"/>
      <c r="H116" s="108" t="s">
        <v>315</v>
      </c>
    </row>
    <row r="118" spans="2:10" ht="15" thickBot="1">
      <c r="B118" s="78" t="s">
        <v>342</v>
      </c>
    </row>
    <row r="119" spans="2:10" ht="20.25" customHeight="1" thickBot="1">
      <c r="B119" s="133" t="s">
        <v>344</v>
      </c>
      <c r="C119" s="134" t="s">
        <v>453</v>
      </c>
      <c r="D119" s="437" t="s">
        <v>452</v>
      </c>
      <c r="E119" s="436"/>
      <c r="F119" s="435" t="s">
        <v>345</v>
      </c>
      <c r="G119" s="436"/>
      <c r="H119" s="437" t="s">
        <v>346</v>
      </c>
      <c r="I119" s="436"/>
      <c r="J119" s="127"/>
    </row>
    <row r="120" spans="2:10" ht="144.75" customHeight="1" thickBot="1">
      <c r="B120" s="112" t="s">
        <v>99</v>
      </c>
      <c r="C120" s="124" t="s">
        <v>447</v>
      </c>
      <c r="D120" s="402"/>
      <c r="E120" s="403"/>
      <c r="F120" s="402" t="s">
        <v>351</v>
      </c>
      <c r="G120" s="403"/>
      <c r="H120" s="402"/>
      <c r="I120" s="403"/>
    </row>
    <row r="121" spans="2:10" ht="147" customHeight="1" thickBot="1">
      <c r="B121" s="112" t="s">
        <v>100</v>
      </c>
      <c r="C121" s="124" t="s">
        <v>448</v>
      </c>
      <c r="D121" s="402"/>
      <c r="E121" s="403"/>
      <c r="F121" s="402" t="s">
        <v>352</v>
      </c>
      <c r="G121" s="403"/>
      <c r="H121" s="402" t="s">
        <v>347</v>
      </c>
      <c r="I121" s="403"/>
    </row>
    <row r="122" spans="2:10" ht="142.5" customHeight="1" thickBot="1">
      <c r="B122" s="112" t="s">
        <v>175</v>
      </c>
      <c r="C122" s="160" t="s">
        <v>511</v>
      </c>
      <c r="D122" s="402"/>
      <c r="E122" s="403"/>
      <c r="F122" s="402" t="s">
        <v>353</v>
      </c>
      <c r="G122" s="403"/>
      <c r="H122" s="402" t="s">
        <v>347</v>
      </c>
      <c r="I122" s="403"/>
    </row>
    <row r="123" spans="2:10" ht="145.69999999999999" customHeight="1" thickBot="1">
      <c r="B123" s="112" t="s">
        <v>66</v>
      </c>
      <c r="C123" s="124" t="s">
        <v>449</v>
      </c>
      <c r="D123" s="402"/>
      <c r="E123" s="403"/>
      <c r="F123" s="402" t="s">
        <v>510</v>
      </c>
      <c r="G123" s="403"/>
      <c r="H123" s="402" t="s">
        <v>509</v>
      </c>
      <c r="I123" s="434"/>
    </row>
    <row r="124" spans="2:10" ht="143.25" customHeight="1" thickBot="1">
      <c r="B124" s="112" t="s">
        <v>178</v>
      </c>
      <c r="C124" s="124" t="s">
        <v>450</v>
      </c>
      <c r="D124" s="402"/>
      <c r="E124" s="403"/>
      <c r="F124" s="402" t="s">
        <v>354</v>
      </c>
      <c r="G124" s="403"/>
      <c r="H124" s="402" t="s">
        <v>350</v>
      </c>
      <c r="I124" s="434"/>
    </row>
    <row r="125" spans="2:10" ht="140.25" customHeight="1" thickBot="1">
      <c r="B125" s="112" t="s">
        <v>180</v>
      </c>
      <c r="C125" s="124" t="s">
        <v>451</v>
      </c>
      <c r="D125" s="402"/>
      <c r="E125" s="403"/>
      <c r="F125" s="402" t="s">
        <v>354</v>
      </c>
      <c r="G125" s="403"/>
      <c r="H125" s="402" t="s">
        <v>349</v>
      </c>
      <c r="I125" s="434"/>
    </row>
    <row r="127" spans="2:10">
      <c r="B127" s="409" t="s">
        <v>454</v>
      </c>
      <c r="C127" s="410"/>
      <c r="D127" s="410"/>
    </row>
    <row r="129" spans="2:5" ht="15" thickBot="1">
      <c r="B129" s="78" t="s">
        <v>340</v>
      </c>
    </row>
    <row r="130" spans="2:5" ht="16.5" thickBot="1">
      <c r="B130" s="111" t="s">
        <v>329</v>
      </c>
      <c r="C130" s="139" t="s">
        <v>295</v>
      </c>
      <c r="D130" s="402" t="s">
        <v>465</v>
      </c>
      <c r="E130" s="403"/>
    </row>
    <row r="131" spans="2:5" ht="50.25" customHeight="1" thickBot="1">
      <c r="B131" s="112" t="s">
        <v>109</v>
      </c>
      <c r="C131" s="128" t="s">
        <v>320</v>
      </c>
      <c r="D131" s="404"/>
      <c r="E131" s="405"/>
    </row>
    <row r="132" spans="2:5" ht="48.75" customHeight="1" thickBot="1">
      <c r="B132" s="112" t="s">
        <v>111</v>
      </c>
      <c r="C132" s="124" t="s">
        <v>321</v>
      </c>
      <c r="D132" s="402"/>
      <c r="E132" s="403"/>
    </row>
    <row r="133" spans="2:5" ht="88.5" customHeight="1" thickBot="1">
      <c r="B133" s="112" t="s">
        <v>110</v>
      </c>
      <c r="C133" s="124" t="s">
        <v>322</v>
      </c>
      <c r="D133" s="402"/>
      <c r="E133" s="403"/>
    </row>
    <row r="134" spans="2:5" ht="149.44999999999999" customHeight="1" thickBot="1">
      <c r="B134" s="113" t="s">
        <v>54</v>
      </c>
      <c r="C134" s="124" t="s">
        <v>323</v>
      </c>
      <c r="D134" s="402"/>
      <c r="E134" s="403"/>
    </row>
    <row r="135" spans="2:5" ht="149.44999999999999" customHeight="1" thickBot="1">
      <c r="B135" s="113" t="s">
        <v>53</v>
      </c>
      <c r="C135" s="124" t="s">
        <v>324</v>
      </c>
      <c r="D135" s="402"/>
      <c r="E135" s="403"/>
    </row>
    <row r="136" spans="2:5" ht="149.44999999999999" customHeight="1" thickBot="1">
      <c r="B136" s="113" t="s">
        <v>52</v>
      </c>
      <c r="C136" s="124" t="s">
        <v>325</v>
      </c>
      <c r="D136" s="402"/>
      <c r="E136" s="403"/>
    </row>
    <row r="137" spans="2:5" ht="145.69999999999999" customHeight="1" thickBot="1">
      <c r="B137" s="113" t="s">
        <v>115</v>
      </c>
      <c r="C137" s="124" t="s">
        <v>326</v>
      </c>
      <c r="D137" s="402"/>
      <c r="E137" s="403"/>
    </row>
    <row r="138" spans="2:5" ht="148.5" customHeight="1" thickBot="1">
      <c r="B138" s="113" t="s">
        <v>500</v>
      </c>
      <c r="C138" s="124" t="s">
        <v>330</v>
      </c>
      <c r="D138" s="402"/>
      <c r="E138" s="403"/>
    </row>
    <row r="139" spans="2:5" ht="163.69999999999999" customHeight="1" thickBot="1">
      <c r="B139" s="113" t="s">
        <v>51</v>
      </c>
      <c r="C139" s="124" t="s">
        <v>327</v>
      </c>
      <c r="D139" s="402"/>
      <c r="E139" s="403"/>
    </row>
    <row r="140" spans="2:5" ht="150.75" customHeight="1" thickBot="1">
      <c r="B140" s="113" t="s">
        <v>55</v>
      </c>
      <c r="C140" s="124" t="s">
        <v>328</v>
      </c>
      <c r="D140" s="402"/>
      <c r="E140" s="403"/>
    </row>
    <row r="142" spans="2:5" ht="32.25" customHeight="1">
      <c r="B142" s="409"/>
      <c r="C142" s="410"/>
      <c r="D142" s="410"/>
    </row>
    <row r="143" spans="2:5" s="128" customFormat="1">
      <c r="B143" s="125"/>
      <c r="C143" s="126"/>
      <c r="D143" s="126"/>
    </row>
    <row r="144" spans="2:5" s="128" customFormat="1">
      <c r="B144" s="125"/>
      <c r="C144" s="126"/>
      <c r="D144" s="126"/>
    </row>
    <row r="145" spans="1:7" ht="15" thickBot="1">
      <c r="B145" s="78" t="s">
        <v>341</v>
      </c>
    </row>
    <row r="146" spans="1:7" ht="16.5" thickBot="1">
      <c r="B146" s="411" t="s">
        <v>334</v>
      </c>
      <c r="C146" s="412"/>
      <c r="D146" s="411" t="s">
        <v>295</v>
      </c>
      <c r="E146" s="419"/>
      <c r="F146" s="420"/>
      <c r="G146" s="421"/>
    </row>
    <row r="147" spans="1:7" ht="305.25" customHeight="1" thickBot="1">
      <c r="B147" s="413" t="s">
        <v>505</v>
      </c>
      <c r="C147" s="414"/>
      <c r="D147" s="415" t="s">
        <v>504</v>
      </c>
      <c r="E147" s="416"/>
      <c r="F147" s="417"/>
      <c r="G147" s="418"/>
    </row>
    <row r="148" spans="1:7" ht="45.75" customHeight="1" thickBot="1">
      <c r="B148" s="413" t="s">
        <v>332</v>
      </c>
      <c r="C148" s="414"/>
      <c r="D148" s="402" t="s">
        <v>333</v>
      </c>
      <c r="E148" s="422"/>
      <c r="F148" s="423"/>
      <c r="G148" s="424"/>
    </row>
    <row r="149" spans="1:7" ht="15" customHeight="1"/>
    <row r="150" spans="1:7" ht="41.45" customHeight="1">
      <c r="B150" s="409" t="s">
        <v>466</v>
      </c>
      <c r="C150" s="410"/>
      <c r="D150" s="410"/>
      <c r="E150" s="410"/>
      <c r="F150" s="410"/>
      <c r="G150" s="410"/>
    </row>
    <row r="154" spans="1:7" ht="28.5">
      <c r="A154" s="88" t="s">
        <v>335</v>
      </c>
    </row>
    <row r="155" spans="1:7" ht="56.25" customHeight="1">
      <c r="B155" s="409" t="s">
        <v>467</v>
      </c>
      <c r="C155" s="410"/>
      <c r="D155" s="410"/>
      <c r="E155" s="410"/>
      <c r="F155" s="410"/>
      <c r="G155" s="410"/>
    </row>
    <row r="156" spans="1:7">
      <c r="B156" s="78" t="s">
        <v>355</v>
      </c>
    </row>
    <row r="157" spans="1:7">
      <c r="B157" s="69" t="s">
        <v>496</v>
      </c>
      <c r="C157" s="69" t="s">
        <v>67</v>
      </c>
      <c r="D157" s="71" t="s">
        <v>73</v>
      </c>
      <c r="E157" s="71" t="s">
        <v>74</v>
      </c>
      <c r="F157" s="71" t="s">
        <v>76</v>
      </c>
      <c r="G157" s="69" t="s">
        <v>69</v>
      </c>
    </row>
    <row r="158" spans="1:7" ht="42.75">
      <c r="B158" s="115" t="s">
        <v>357</v>
      </c>
      <c r="C158" s="72" t="s">
        <v>166</v>
      </c>
      <c r="D158" s="72" t="s">
        <v>165</v>
      </c>
      <c r="E158" s="72"/>
      <c r="F158" s="70"/>
      <c r="G158" s="74" t="s">
        <v>77</v>
      </c>
    </row>
    <row r="159" spans="1:7" ht="42.75">
      <c r="B159" s="70"/>
      <c r="C159" s="72" t="s">
        <v>167</v>
      </c>
      <c r="D159" s="72" t="s">
        <v>172</v>
      </c>
      <c r="E159" s="72"/>
      <c r="F159" s="70"/>
      <c r="G159" s="74" t="s">
        <v>77</v>
      </c>
    </row>
    <row r="160" spans="1:7" ht="42.75">
      <c r="B160" s="70"/>
      <c r="C160" s="72" t="s">
        <v>168</v>
      </c>
      <c r="D160" s="72" t="s">
        <v>169</v>
      </c>
      <c r="E160" s="72" t="s">
        <v>173</v>
      </c>
      <c r="F160" s="70"/>
      <c r="G160" s="74" t="s">
        <v>77</v>
      </c>
    </row>
    <row r="162" spans="1:8">
      <c r="B162" s="409" t="s">
        <v>468</v>
      </c>
      <c r="C162" s="410"/>
      <c r="D162" s="410"/>
      <c r="E162" s="410"/>
      <c r="F162" s="410"/>
      <c r="G162" s="410"/>
    </row>
    <row r="163" spans="1:8">
      <c r="B163" s="410"/>
      <c r="C163" s="410"/>
      <c r="D163" s="410"/>
      <c r="E163" s="410"/>
      <c r="F163" s="410"/>
      <c r="G163" s="410"/>
    </row>
    <row r="165" spans="1:8">
      <c r="B165" s="78" t="s">
        <v>356</v>
      </c>
    </row>
    <row r="166" spans="1:8">
      <c r="B166" s="71" t="s">
        <v>78</v>
      </c>
      <c r="C166" s="71" t="s">
        <v>79</v>
      </c>
      <c r="D166" s="71" t="s">
        <v>70</v>
      </c>
      <c r="E166" s="71" t="s">
        <v>171</v>
      </c>
      <c r="F166" s="71" t="s">
        <v>71</v>
      </c>
      <c r="G166" s="71" t="s">
        <v>72</v>
      </c>
      <c r="H166" s="69" t="s">
        <v>69</v>
      </c>
    </row>
    <row r="167" spans="1:8" ht="96.75" customHeight="1">
      <c r="B167" s="72" t="s">
        <v>80</v>
      </c>
      <c r="C167" s="70" t="s">
        <v>84</v>
      </c>
      <c r="D167" s="72" t="s">
        <v>82</v>
      </c>
      <c r="E167" s="72" t="s">
        <v>170</v>
      </c>
      <c r="F167" s="72"/>
      <c r="G167" s="70"/>
      <c r="H167" s="73" t="s">
        <v>87</v>
      </c>
    </row>
    <row r="168" spans="1:8" ht="38.25" customHeight="1">
      <c r="B168" s="72" t="s">
        <v>81</v>
      </c>
      <c r="C168" s="72" t="s">
        <v>86</v>
      </c>
      <c r="D168" s="72" t="s">
        <v>75</v>
      </c>
      <c r="E168" s="72" t="s">
        <v>170</v>
      </c>
      <c r="F168" s="70"/>
      <c r="G168" s="70"/>
      <c r="H168" s="73"/>
    </row>
    <row r="170" spans="1:8">
      <c r="B170" s="409" t="s">
        <v>469</v>
      </c>
      <c r="C170" s="410"/>
      <c r="D170" s="410"/>
      <c r="E170" s="410"/>
      <c r="F170" s="410"/>
      <c r="G170" s="410"/>
    </row>
    <row r="171" spans="1:8" ht="57.75" customHeight="1">
      <c r="B171" s="410"/>
      <c r="C171" s="410"/>
      <c r="D171" s="410"/>
      <c r="E171" s="410"/>
      <c r="F171" s="410"/>
      <c r="G171" s="410"/>
    </row>
    <row r="175" spans="1:8" ht="28.5">
      <c r="A175" s="88" t="s">
        <v>358</v>
      </c>
    </row>
    <row r="176" spans="1:8" ht="28.5" customHeight="1">
      <c r="B176" s="409" t="s">
        <v>470</v>
      </c>
      <c r="C176" s="410"/>
      <c r="D176" s="410"/>
      <c r="E176" s="410"/>
      <c r="F176" s="410"/>
      <c r="G176" s="410"/>
    </row>
    <row r="178" spans="2:6">
      <c r="B178" s="78" t="s">
        <v>359</v>
      </c>
    </row>
    <row r="179" spans="2:6">
      <c r="B179" s="110" t="s">
        <v>360</v>
      </c>
      <c r="C179" s="425" t="s">
        <v>361</v>
      </c>
      <c r="D179" s="426"/>
      <c r="E179" s="427"/>
    </row>
    <row r="180" spans="2:6" ht="33.950000000000003" customHeight="1">
      <c r="B180" s="87" t="s">
        <v>364</v>
      </c>
      <c r="C180" s="406" t="s">
        <v>366</v>
      </c>
      <c r="D180" s="407"/>
      <c r="E180" s="408"/>
    </row>
    <row r="181" spans="2:6" ht="32.25" customHeight="1">
      <c r="B181" s="87" t="s">
        <v>362</v>
      </c>
      <c r="C181" s="406" t="s">
        <v>471</v>
      </c>
      <c r="D181" s="407"/>
      <c r="E181" s="408"/>
    </row>
    <row r="182" spans="2:6" ht="14.25" customHeight="1">
      <c r="B182" s="87" t="s">
        <v>363</v>
      </c>
      <c r="C182" s="406" t="s">
        <v>365</v>
      </c>
      <c r="D182" s="407"/>
      <c r="E182" s="408"/>
    </row>
    <row r="185" spans="2:6">
      <c r="B185" s="67" t="s">
        <v>367</v>
      </c>
      <c r="C185" s="66"/>
      <c r="D185" s="66"/>
      <c r="E185" s="66"/>
      <c r="F185" s="66"/>
    </row>
    <row r="186" spans="2:6">
      <c r="B186" s="431" t="s">
        <v>88</v>
      </c>
      <c r="C186" s="80" t="s">
        <v>263</v>
      </c>
      <c r="D186" s="116" t="s">
        <v>399</v>
      </c>
      <c r="E186" s="80" t="s">
        <v>283</v>
      </c>
      <c r="F186" s="80" t="s">
        <v>539</v>
      </c>
    </row>
    <row r="187" spans="2:6">
      <c r="B187" s="432"/>
      <c r="C187" s="80" t="s">
        <v>94</v>
      </c>
      <c r="D187" s="81">
        <v>12</v>
      </c>
      <c r="E187" s="80" t="s">
        <v>97</v>
      </c>
      <c r="F187" s="80" t="s">
        <v>538</v>
      </c>
    </row>
    <row r="188" spans="2:6">
      <c r="B188" s="433"/>
      <c r="C188" s="80" t="s">
        <v>95</v>
      </c>
      <c r="D188" s="81">
        <v>32</v>
      </c>
      <c r="E188" s="80" t="s">
        <v>280</v>
      </c>
      <c r="F188" s="80" t="s">
        <v>531</v>
      </c>
    </row>
    <row r="190" spans="2:6">
      <c r="B190" s="110" t="s">
        <v>368</v>
      </c>
      <c r="C190" s="425" t="s">
        <v>361</v>
      </c>
      <c r="D190" s="426"/>
      <c r="E190" s="427"/>
    </row>
    <row r="191" spans="2:6" ht="34.5" customHeight="1">
      <c r="B191" s="87" t="s">
        <v>369</v>
      </c>
      <c r="C191" s="406" t="s">
        <v>370</v>
      </c>
      <c r="D191" s="407"/>
      <c r="E191" s="408"/>
    </row>
    <row r="192" spans="2:6">
      <c r="B192" s="87" t="s">
        <v>371</v>
      </c>
      <c r="C192" s="406" t="s">
        <v>373</v>
      </c>
      <c r="D192" s="407"/>
      <c r="E192" s="408"/>
    </row>
    <row r="193" spans="2:7">
      <c r="B193" s="87" t="s">
        <v>372</v>
      </c>
      <c r="C193" s="406" t="s">
        <v>377</v>
      </c>
      <c r="D193" s="407"/>
      <c r="E193" s="408"/>
    </row>
    <row r="194" spans="2:7" ht="53.25" customHeight="1">
      <c r="B194" s="87" t="s">
        <v>274</v>
      </c>
      <c r="C194" s="406" t="s">
        <v>472</v>
      </c>
      <c r="D194" s="407"/>
      <c r="E194" s="408"/>
    </row>
    <row r="195" spans="2:7" ht="26.25" customHeight="1">
      <c r="B195" s="87" t="s">
        <v>374</v>
      </c>
      <c r="C195" s="406" t="s">
        <v>376</v>
      </c>
      <c r="D195" s="407"/>
      <c r="E195" s="408"/>
    </row>
    <row r="196" spans="2:7" ht="27.75" customHeight="1">
      <c r="B196" s="87" t="s">
        <v>375</v>
      </c>
      <c r="C196" s="406" t="s">
        <v>378</v>
      </c>
      <c r="D196" s="407"/>
      <c r="E196" s="408"/>
    </row>
    <row r="198" spans="2:7">
      <c r="B198" s="67" t="s">
        <v>379</v>
      </c>
    </row>
    <row r="199" spans="2:7">
      <c r="B199" s="82" t="s">
        <v>153</v>
      </c>
      <c r="C199" s="82" t="s">
        <v>102</v>
      </c>
      <c r="D199" s="82" t="s">
        <v>383</v>
      </c>
      <c r="E199" s="82" t="s">
        <v>384</v>
      </c>
      <c r="F199" s="83" t="s">
        <v>156</v>
      </c>
      <c r="G199" s="82" t="s">
        <v>155</v>
      </c>
    </row>
    <row r="200" spans="2:7">
      <c r="B200" s="428" t="s">
        <v>157</v>
      </c>
      <c r="C200" s="83" t="s">
        <v>96</v>
      </c>
      <c r="D200" s="83">
        <v>11</v>
      </c>
      <c r="E200" s="83">
        <v>11</v>
      </c>
      <c r="F200" s="83" t="s">
        <v>99</v>
      </c>
      <c r="G200" s="82" t="s">
        <v>188</v>
      </c>
    </row>
    <row r="201" spans="2:7">
      <c r="B201" s="429"/>
      <c r="C201" s="82" t="s">
        <v>89</v>
      </c>
      <c r="D201" s="82">
        <v>10</v>
      </c>
      <c r="E201" s="83">
        <v>10</v>
      </c>
      <c r="F201" s="83" t="s">
        <v>100</v>
      </c>
      <c r="G201" s="82" t="s">
        <v>189</v>
      </c>
    </row>
    <row r="202" spans="2:7">
      <c r="B202" s="429"/>
      <c r="C202" s="82" t="s">
        <v>90</v>
      </c>
      <c r="D202" s="82">
        <v>9</v>
      </c>
      <c r="E202" s="83">
        <v>9</v>
      </c>
      <c r="F202" s="82" t="s">
        <v>175</v>
      </c>
      <c r="G202" s="82" t="s">
        <v>190</v>
      </c>
    </row>
    <row r="203" spans="2:7">
      <c r="B203" s="429"/>
      <c r="C203" s="82" t="s">
        <v>91</v>
      </c>
      <c r="D203" s="82">
        <v>8</v>
      </c>
      <c r="E203" s="83">
        <v>8</v>
      </c>
      <c r="F203" s="82" t="s">
        <v>66</v>
      </c>
      <c r="G203" s="82" t="s">
        <v>190</v>
      </c>
    </row>
    <row r="204" spans="2:7">
      <c r="B204" s="429"/>
      <c r="C204" s="82" t="s">
        <v>92</v>
      </c>
      <c r="D204" s="82">
        <v>7</v>
      </c>
      <c r="E204" s="83">
        <v>2</v>
      </c>
      <c r="F204" s="82" t="s">
        <v>178</v>
      </c>
      <c r="G204" s="82" t="s">
        <v>191</v>
      </c>
    </row>
    <row r="205" spans="2:7">
      <c r="B205" s="430"/>
      <c r="C205" s="82" t="s">
        <v>93</v>
      </c>
      <c r="D205" s="82">
        <v>1</v>
      </c>
      <c r="E205" s="83">
        <v>0</v>
      </c>
      <c r="F205" s="82" t="s">
        <v>180</v>
      </c>
      <c r="G205" s="82" t="s">
        <v>191</v>
      </c>
    </row>
    <row r="206" spans="2:7">
      <c r="B206" s="397" t="s">
        <v>160</v>
      </c>
      <c r="C206" s="82" t="s">
        <v>158</v>
      </c>
      <c r="D206" s="83">
        <v>1</v>
      </c>
      <c r="E206" s="83">
        <v>1</v>
      </c>
      <c r="F206" s="83" t="s">
        <v>99</v>
      </c>
      <c r="G206" s="82" t="s">
        <v>185</v>
      </c>
    </row>
    <row r="207" spans="2:7">
      <c r="B207" s="398"/>
      <c r="C207" s="82" t="s">
        <v>159</v>
      </c>
      <c r="D207" s="83">
        <v>0</v>
      </c>
      <c r="E207" s="83">
        <v>0</v>
      </c>
      <c r="F207" s="83" t="s">
        <v>100</v>
      </c>
      <c r="G207" s="82" t="s">
        <v>185</v>
      </c>
    </row>
    <row r="208" spans="2:7">
      <c r="B208" s="399"/>
      <c r="C208" s="82"/>
      <c r="D208" s="82"/>
      <c r="E208" s="82"/>
      <c r="F208" s="82" t="s">
        <v>175</v>
      </c>
      <c r="G208" s="82" t="s">
        <v>186</v>
      </c>
    </row>
    <row r="209" spans="2:7">
      <c r="B209" s="399"/>
      <c r="C209" s="82"/>
      <c r="D209" s="82"/>
      <c r="E209" s="82"/>
      <c r="F209" s="82" t="s">
        <v>66</v>
      </c>
      <c r="G209" s="82" t="s">
        <v>186</v>
      </c>
    </row>
    <row r="210" spans="2:7">
      <c r="B210" s="399"/>
      <c r="C210" s="82"/>
      <c r="D210" s="82"/>
      <c r="E210" s="82"/>
      <c r="F210" s="82" t="s">
        <v>178</v>
      </c>
      <c r="G210" s="82" t="s">
        <v>187</v>
      </c>
    </row>
    <row r="211" spans="2:7">
      <c r="B211" s="399"/>
      <c r="C211" s="82"/>
      <c r="D211" s="82"/>
      <c r="E211" s="83"/>
      <c r="F211" s="82" t="s">
        <v>180</v>
      </c>
      <c r="G211" s="82" t="s">
        <v>187</v>
      </c>
    </row>
    <row r="212" spans="2:7">
      <c r="B212" s="397" t="s">
        <v>164</v>
      </c>
      <c r="C212" s="82" t="s">
        <v>158</v>
      </c>
      <c r="D212" s="83">
        <v>4</v>
      </c>
      <c r="E212" s="83">
        <v>4</v>
      </c>
      <c r="F212" s="83" t="s">
        <v>99</v>
      </c>
      <c r="G212" s="82" t="s">
        <v>181</v>
      </c>
    </row>
    <row r="213" spans="2:7">
      <c r="B213" s="398"/>
      <c r="C213" s="82" t="s">
        <v>99</v>
      </c>
      <c r="D213" s="83">
        <v>3</v>
      </c>
      <c r="E213" s="83">
        <v>3</v>
      </c>
      <c r="F213" s="83" t="s">
        <v>100</v>
      </c>
      <c r="G213" s="82" t="s">
        <v>182</v>
      </c>
    </row>
    <row r="214" spans="2:7">
      <c r="B214" s="399"/>
      <c r="C214" s="82" t="s">
        <v>90</v>
      </c>
      <c r="D214" s="83">
        <v>2</v>
      </c>
      <c r="E214" s="83">
        <v>2</v>
      </c>
      <c r="F214" s="82" t="s">
        <v>175</v>
      </c>
      <c r="G214" s="82" t="s">
        <v>183</v>
      </c>
    </row>
    <row r="215" spans="2:7">
      <c r="B215" s="399"/>
      <c r="C215" s="82" t="s">
        <v>163</v>
      </c>
      <c r="D215" s="83">
        <v>1</v>
      </c>
      <c r="E215" s="83">
        <v>0</v>
      </c>
      <c r="F215" s="82" t="s">
        <v>66</v>
      </c>
      <c r="G215" s="82" t="s">
        <v>183</v>
      </c>
    </row>
    <row r="216" spans="2:7">
      <c r="B216" s="399"/>
      <c r="C216" s="83"/>
      <c r="D216" s="83"/>
      <c r="E216" s="83"/>
      <c r="F216" s="82" t="s">
        <v>178</v>
      </c>
      <c r="G216" s="83" t="s">
        <v>184</v>
      </c>
    </row>
    <row r="217" spans="2:7">
      <c r="B217" s="399"/>
      <c r="C217" s="83"/>
      <c r="D217" s="83"/>
      <c r="E217" s="83"/>
      <c r="F217" s="82" t="s">
        <v>180</v>
      </c>
      <c r="G217" s="83" t="s">
        <v>184</v>
      </c>
    </row>
    <row r="220" spans="2:7">
      <c r="B220" s="110" t="s">
        <v>381</v>
      </c>
      <c r="C220" s="425" t="s">
        <v>361</v>
      </c>
      <c r="D220" s="426"/>
      <c r="E220" s="427"/>
    </row>
    <row r="221" spans="2:7">
      <c r="B221" s="87" t="s">
        <v>380</v>
      </c>
      <c r="C221" s="406" t="s">
        <v>389</v>
      </c>
      <c r="D221" s="407"/>
      <c r="E221" s="408"/>
    </row>
    <row r="222" spans="2:7" ht="64.5" customHeight="1">
      <c r="B222" s="87" t="s">
        <v>295</v>
      </c>
      <c r="C222" s="406" t="s">
        <v>474</v>
      </c>
      <c r="D222" s="407"/>
      <c r="E222" s="408"/>
    </row>
    <row r="223" spans="2:7" ht="34.5" customHeight="1">
      <c r="B223" s="87" t="s">
        <v>382</v>
      </c>
      <c r="C223" s="406" t="s">
        <v>475</v>
      </c>
      <c r="D223" s="407"/>
      <c r="E223" s="408"/>
    </row>
    <row r="224" spans="2:7" ht="37.700000000000003" customHeight="1">
      <c r="B224" s="87" t="s">
        <v>385</v>
      </c>
      <c r="C224" s="406" t="s">
        <v>476</v>
      </c>
      <c r="D224" s="407"/>
      <c r="E224" s="408"/>
    </row>
    <row r="225" spans="1:7">
      <c r="B225" s="87" t="s">
        <v>386</v>
      </c>
      <c r="C225" s="451" t="s">
        <v>388</v>
      </c>
      <c r="D225" s="452"/>
      <c r="E225" s="453"/>
    </row>
    <row r="226" spans="1:7" ht="36" customHeight="1">
      <c r="B226" s="87" t="s">
        <v>387</v>
      </c>
      <c r="C226" s="406" t="s">
        <v>473</v>
      </c>
      <c r="D226" s="407"/>
      <c r="E226" s="408"/>
    </row>
    <row r="229" spans="1:7" s="120" customFormat="1"/>
    <row r="231" spans="1:7">
      <c r="A231" s="88" t="s">
        <v>400</v>
      </c>
    </row>
    <row r="232" spans="1:7" ht="44.25" customHeight="1">
      <c r="B232" s="409" t="s">
        <v>402</v>
      </c>
      <c r="C232" s="410"/>
      <c r="D232" s="410"/>
      <c r="E232" s="410"/>
      <c r="F232" s="410"/>
      <c r="G232" s="410"/>
    </row>
    <row r="233" spans="1:7" ht="74.25" customHeight="1">
      <c r="B233" s="409" t="s">
        <v>485</v>
      </c>
      <c r="C233" s="410"/>
      <c r="D233" s="410"/>
      <c r="E233" s="410"/>
      <c r="F233" s="410"/>
      <c r="G233" s="410"/>
    </row>
    <row r="234" spans="1:7" ht="19.7" customHeight="1">
      <c r="B234" s="85"/>
      <c r="C234" s="85"/>
      <c r="D234" s="85"/>
      <c r="E234" s="85"/>
      <c r="F234" s="85"/>
      <c r="G234" s="85"/>
    </row>
    <row r="237" spans="1:7" s="120" customFormat="1">
      <c r="A237" s="121" t="s">
        <v>417</v>
      </c>
    </row>
    <row r="238" spans="1:7">
      <c r="B238" s="123" t="s">
        <v>406</v>
      </c>
      <c r="C238" s="122" t="s">
        <v>405</v>
      </c>
    </row>
    <row r="239" spans="1:7" ht="147" customHeight="1">
      <c r="B239" s="409" t="s">
        <v>515</v>
      </c>
      <c r="C239" s="409"/>
      <c r="D239" s="409"/>
      <c r="E239" s="409"/>
      <c r="F239" s="409"/>
      <c r="G239" s="409"/>
    </row>
  </sheetData>
  <mergeCells count="115">
    <mergeCell ref="B239:G239"/>
    <mergeCell ref="B233:G233"/>
    <mergeCell ref="B35:G37"/>
    <mergeCell ref="B26:G26"/>
    <mergeCell ref="B28:G28"/>
    <mergeCell ref="B27:G27"/>
    <mergeCell ref="B29:G29"/>
    <mergeCell ref="B30:G30"/>
    <mergeCell ref="B31:E31"/>
    <mergeCell ref="B32:E32"/>
    <mergeCell ref="B33:E33"/>
    <mergeCell ref="B34:E34"/>
    <mergeCell ref="B87:G87"/>
    <mergeCell ref="B76:G76"/>
    <mergeCell ref="D97:G97"/>
    <mergeCell ref="D98:G98"/>
    <mergeCell ref="D99:G99"/>
    <mergeCell ref="C90:D90"/>
    <mergeCell ref="C91:D91"/>
    <mergeCell ref="C92:D92"/>
    <mergeCell ref="B43:E43"/>
    <mergeCell ref="B55:E55"/>
    <mergeCell ref="D101:G101"/>
    <mergeCell ref="D102:G102"/>
    <mergeCell ref="C89:D89"/>
    <mergeCell ref="B21:E21"/>
    <mergeCell ref="B3:G3"/>
    <mergeCell ref="B232:G232"/>
    <mergeCell ref="B127:D127"/>
    <mergeCell ref="B60:E60"/>
    <mergeCell ref="D77:D79"/>
    <mergeCell ref="D80:D82"/>
    <mergeCell ref="D83:D85"/>
    <mergeCell ref="D112:G112"/>
    <mergeCell ref="D113:G113"/>
    <mergeCell ref="D114:G114"/>
    <mergeCell ref="D115:G115"/>
    <mergeCell ref="D116:G116"/>
    <mergeCell ref="D96:G96"/>
    <mergeCell ref="D106:G106"/>
    <mergeCell ref="D107:G107"/>
    <mergeCell ref="D108:G108"/>
    <mergeCell ref="D109:G109"/>
    <mergeCell ref="D110:G110"/>
    <mergeCell ref="D111:G111"/>
    <mergeCell ref="D100:G100"/>
    <mergeCell ref="C224:E224"/>
    <mergeCell ref="C225:E225"/>
    <mergeCell ref="D103:G103"/>
    <mergeCell ref="D104:G104"/>
    <mergeCell ref="D105:G105"/>
    <mergeCell ref="D120:E120"/>
    <mergeCell ref="H121:I121"/>
    <mergeCell ref="H122:I122"/>
    <mergeCell ref="H123:I123"/>
    <mergeCell ref="D119:E119"/>
    <mergeCell ref="D121:E121"/>
    <mergeCell ref="D122:E122"/>
    <mergeCell ref="D123:E123"/>
    <mergeCell ref="H124:I124"/>
    <mergeCell ref="H125:I125"/>
    <mergeCell ref="F119:G119"/>
    <mergeCell ref="F120:G120"/>
    <mergeCell ref="F121:G121"/>
    <mergeCell ref="F122:G122"/>
    <mergeCell ref="F123:G123"/>
    <mergeCell ref="F124:G124"/>
    <mergeCell ref="F125:G125"/>
    <mergeCell ref="H119:I119"/>
    <mergeCell ref="H120:I120"/>
    <mergeCell ref="C226:E226"/>
    <mergeCell ref="C195:E195"/>
    <mergeCell ref="C196:E196"/>
    <mergeCell ref="B162:G163"/>
    <mergeCell ref="B170:G171"/>
    <mergeCell ref="B176:G176"/>
    <mergeCell ref="C180:E180"/>
    <mergeCell ref="C181:E181"/>
    <mergeCell ref="C182:E182"/>
    <mergeCell ref="C179:E179"/>
    <mergeCell ref="B200:B205"/>
    <mergeCell ref="B206:B211"/>
    <mergeCell ref="B212:B217"/>
    <mergeCell ref="C220:E220"/>
    <mergeCell ref="B186:B188"/>
    <mergeCell ref="C190:E190"/>
    <mergeCell ref="C191:E191"/>
    <mergeCell ref="C192:E192"/>
    <mergeCell ref="C193:E193"/>
    <mergeCell ref="C194:E194"/>
    <mergeCell ref="C222:E222"/>
    <mergeCell ref="C223:E223"/>
    <mergeCell ref="D124:E124"/>
    <mergeCell ref="D125:E125"/>
    <mergeCell ref="D131:E131"/>
    <mergeCell ref="D132:E132"/>
    <mergeCell ref="D133:E133"/>
    <mergeCell ref="D134:E134"/>
    <mergeCell ref="C221:E221"/>
    <mergeCell ref="B142:D142"/>
    <mergeCell ref="D135:E135"/>
    <mergeCell ref="D136:E136"/>
    <mergeCell ref="D137:E137"/>
    <mergeCell ref="D138:E138"/>
    <mergeCell ref="D139:E139"/>
    <mergeCell ref="D140:E140"/>
    <mergeCell ref="B155:G155"/>
    <mergeCell ref="B146:C146"/>
    <mergeCell ref="B147:C147"/>
    <mergeCell ref="B148:C148"/>
    <mergeCell ref="D147:G147"/>
    <mergeCell ref="D146:G146"/>
    <mergeCell ref="D148:G148"/>
    <mergeCell ref="B150:G150"/>
    <mergeCell ref="D130:E130"/>
  </mergeCells>
  <phoneticPr fontId="39" type="noConversion"/>
  <dataValidations disablePrompts="1" count="3">
    <dataValidation type="list" allowBlank="1" showInputMessage="1" showErrorMessage="1" sqref="C238">
      <formula1>"是,否"</formula1>
    </dataValidation>
    <dataValidation type="list" allowBlank="1" showInputMessage="1" showErrorMessage="1" sqref="C167:C168">
      <formula1>"PD,PU,SUS,CTL,SL"</formula1>
    </dataValidation>
    <dataValidation type="list" allowBlank="1" showInputMessage="1" showErrorMessage="1" sqref="D186">
      <formula1>"SV interface,Verilog"</formula1>
    </dataValidation>
  </dataValidations>
  <pageMargins left="0.7" right="0.7" top="0.75" bottom="0.75" header="0.3" footer="0.3"/>
  <pageSetup paperSize="9" orientation="portrait" horizontalDpi="200" verticalDpi="200" r:id="rId1"/>
  <legacyDrawing r:id="rId2"/>
  <oleObjects>
    <oleObject progId="Visio.Drawing.11" shapeId="9218" r:id="rId3"/>
    <oleObject progId="Visio.Drawing.11" shapeId="9219" r:id="rId4"/>
    <oleObject progId="Visio.Drawing.11" shapeId="9220" r:id="rId5"/>
    <oleObject progId="Visio.Drawing.11" shapeId="9221" r:id="rId6"/>
    <oleObject progId="Visio.Drawing.11" shapeId="9222" r:id="rId7"/>
    <oleObject progId="Visio.Drawing.11" shapeId="9223" r:id="rId8"/>
    <oleObject progId="Visio.Drawing.11" shapeId="9225" r:id="rId9"/>
    <oleObject progId="Visio.Drawing.11" shapeId="9226" r:id="rId10"/>
    <oleObject progId="Visio.Drawing.11" shapeId="9228" r:id="rId11"/>
    <oleObject progId="Visio.Drawing.11" shapeId="9229" r:id="rId12"/>
    <oleObject progId="Visio.Drawing.11" shapeId="9233" r:id="rId13"/>
    <oleObject progId="Visio.Drawing.11" shapeId="9234" r:id="rId14"/>
    <oleObject progId="Visio.Drawing.11" shapeId="9238" r:id="rId15"/>
    <oleObject progId="Visio.Drawing.11" shapeId="9239" r:id="rId16"/>
    <oleObject progId="Visio.Drawing.11" shapeId="9240" r:id="rId17"/>
    <oleObject progId="Visio.Drawing.11" shapeId="9241" r:id="rId18"/>
    <oleObject progId="Visio.Drawing.11" shapeId="9242" r:id="rId19"/>
  </oleObjects>
</worksheet>
</file>

<file path=xl/worksheets/sheet13.xml><?xml version="1.0" encoding="utf-8"?>
<worksheet xmlns="http://schemas.openxmlformats.org/spreadsheetml/2006/main" xmlns:r="http://schemas.openxmlformats.org/officeDocument/2006/relationships">
  <sheetPr codeName="Sheet13"/>
  <dimension ref="A4:E47"/>
  <sheetViews>
    <sheetView topLeftCell="A19" workbookViewId="0">
      <selection activeCell="F36" sqref="F36"/>
    </sheetView>
  </sheetViews>
  <sheetFormatPr defaultRowHeight="14.25"/>
  <cols>
    <col min="1" max="1" width="9" style="147"/>
    <col min="2" max="6" width="24.875" style="147" customWidth="1"/>
    <col min="7" max="16384" width="9" style="147"/>
  </cols>
  <sheetData>
    <row r="4" spans="1:4">
      <c r="A4" s="274" t="s">
        <v>1075</v>
      </c>
      <c r="B4" s="147" t="str">
        <f>'IO Pad'!U4</f>
        <v>clkin_sleep</v>
      </c>
    </row>
    <row r="5" spans="1:4">
      <c r="A5" s="274" t="s">
        <v>1075</v>
      </c>
      <c r="B5" s="147" t="str">
        <f>'IO Pad'!U5</f>
        <v>rstin_n</v>
      </c>
    </row>
    <row r="6" spans="1:4">
      <c r="A6" s="274" t="s">
        <v>1075</v>
      </c>
      <c r="B6" s="147" t="str">
        <f>'IO Pad'!U6</f>
        <v>rstout_n</v>
      </c>
    </row>
    <row r="7" spans="1:4">
      <c r="A7" s="275" t="s">
        <v>1075</v>
      </c>
      <c r="B7" s="147" t="str">
        <f>'IO Pad'!U7</f>
        <v>pmu_irq_n</v>
      </c>
      <c r="C7" s="147" t="str">
        <f>'IO Pad'!AJ7</f>
        <v>et2abb_et_mode_sel</v>
      </c>
    </row>
    <row r="8" spans="1:4">
      <c r="A8" s="275" t="s">
        <v>1075</v>
      </c>
      <c r="B8" s="147" t="str">
        <f>'IO Pad'!U8</f>
        <v>pmu_ssi</v>
      </c>
      <c r="C8" s="147" t="str">
        <f>'IO Pad'!AJ8</f>
        <v>ch1_rx_clk</v>
      </c>
    </row>
    <row r="9" spans="1:4">
      <c r="A9" s="275" t="s">
        <v>1075</v>
      </c>
      <c r="B9" s="147" t="str">
        <f>'IO Pad'!U9</f>
        <v>pmu_hkadc_ssi</v>
      </c>
      <c r="C9" s="147" t="str">
        <f>'IO Pad'!AJ9</f>
        <v>ch1_rx_vld</v>
      </c>
    </row>
    <row r="10" spans="1:4">
      <c r="A10" s="275" t="s">
        <v>1075</v>
      </c>
      <c r="B10" s="147" t="str">
        <f>'IO Pad'!U10</f>
        <v>pmu_auxdac0_ssi</v>
      </c>
      <c r="C10" s="147" t="str">
        <f>'IO Pad'!Z10</f>
        <v>gpio0[0]</v>
      </c>
      <c r="D10" s="147" t="str">
        <f>'IO Pad'!AJ10</f>
        <v>ch1_rxa_data[0]</v>
      </c>
    </row>
    <row r="11" spans="1:4">
      <c r="A11" s="275" t="s">
        <v>1075</v>
      </c>
      <c r="B11" s="147" t="str">
        <f>'IO Pad'!U11</f>
        <v>gpio0[1]</v>
      </c>
      <c r="C11" s="147" t="str">
        <f>'IO Pad'!Z11</f>
        <v>pmu_auxdac1_ssi</v>
      </c>
      <c r="D11" s="147" t="str">
        <f>'IO Pad'!AJ11</f>
        <v>ch1_rxa_data[1]</v>
      </c>
    </row>
    <row r="12" spans="1:4">
      <c r="A12" s="275" t="s">
        <v>1075</v>
      </c>
      <c r="B12" s="147" t="str">
        <f>'IO Pad'!U12</f>
        <v>pmu_ssi_clk</v>
      </c>
      <c r="C12" s="147" t="str">
        <f>'IO Pad'!Z12</f>
        <v>gpio0[2]</v>
      </c>
      <c r="D12" s="147" t="str">
        <f>'IO Pad'!AJ12</f>
        <v>ch1_rxa_data[2]</v>
      </c>
    </row>
    <row r="13" spans="1:4">
      <c r="A13" s="275" t="s">
        <v>1075</v>
      </c>
      <c r="B13" s="147" t="str">
        <f>'IO Pad'!U13</f>
        <v>ch0_tcxo_en</v>
      </c>
      <c r="C13" s="147" t="str">
        <f>'IO Pad'!Z13</f>
        <v>gpio0[3]</v>
      </c>
      <c r="D13" s="147" t="str">
        <f>'IO Pad'!AJ13</f>
        <v>ch1_rxa_data[3]</v>
      </c>
    </row>
    <row r="14" spans="1:4">
      <c r="A14" s="275" t="s">
        <v>1075</v>
      </c>
      <c r="B14" s="147" t="str">
        <f>'IO Pad'!U14</f>
        <v>ch1_tcxo_en</v>
      </c>
      <c r="C14" s="147" t="str">
        <f>'IO Pad'!Z14</f>
        <v>gpio0[4]</v>
      </c>
      <c r="D14" s="147" t="str">
        <f>'IO Pad'!AJ14</f>
        <v>ch1_rxa_data[4]</v>
      </c>
    </row>
    <row r="15" spans="1:4">
      <c r="A15" s="275" t="s">
        <v>1075</v>
      </c>
      <c r="B15" s="147" t="str">
        <f>'IO Pad'!U15</f>
        <v>peri_en</v>
      </c>
      <c r="C15" s="147" t="str">
        <f>'IO Pad'!Z15</f>
        <v>gpio0[5]</v>
      </c>
      <c r="D15" s="147" t="str">
        <f>'IO Pad'!AJ15</f>
        <v>ch1_rxa_data[5]</v>
      </c>
    </row>
    <row r="16" spans="1:4">
      <c r="A16" s="275" t="s">
        <v>1075</v>
      </c>
      <c r="B16" s="147" t="str">
        <f>'IO Pad'!U16</f>
        <v>pmu_hold</v>
      </c>
      <c r="C16" s="147" t="str">
        <f>'IO Pad'!Z16</f>
        <v>gpio0[6]</v>
      </c>
      <c r="D16" s="147" t="str">
        <f>'IO Pad'!AJ16</f>
        <v>ch1_rxa_data[6]</v>
      </c>
    </row>
    <row r="17" spans="1:4">
      <c r="A17" s="275"/>
    </row>
    <row r="18" spans="1:4">
      <c r="A18" s="275" t="s">
        <v>1075</v>
      </c>
      <c r="B18" s="147" t="str">
        <f>'IO Pad'!U18</f>
        <v>usim0_clk</v>
      </c>
      <c r="C18" s="147" t="str">
        <f>'IO Pad'!Z18</f>
        <v>gpio0[7]</v>
      </c>
      <c r="D18" s="147" t="str">
        <f>'IO Pad'!AJ18</f>
        <v>ch1_rxa_data[7]</v>
      </c>
    </row>
    <row r="19" spans="1:4">
      <c r="A19" s="275" t="s">
        <v>1075</v>
      </c>
      <c r="B19" s="147" t="str">
        <f>'IO Pad'!U19</f>
        <v>usim0_rst</v>
      </c>
      <c r="C19" s="147" t="str">
        <f>'IO Pad'!Z19</f>
        <v>gpio0[8]</v>
      </c>
      <c r="D19" s="147" t="str">
        <f>'IO Pad'!AJ19</f>
        <v>ch1_rxa_data[8]</v>
      </c>
    </row>
    <row r="20" spans="1:4">
      <c r="A20" s="275" t="s">
        <v>1075</v>
      </c>
      <c r="B20" s="147" t="str">
        <f>'IO Pad'!U20</f>
        <v>usim0_data</v>
      </c>
      <c r="C20" s="147" t="str">
        <f>'IO Pad'!Z20</f>
        <v>gpio0[9]</v>
      </c>
      <c r="D20" s="147" t="str">
        <f>'IO Pad'!AJ20</f>
        <v>ch1_rxa_data[9]</v>
      </c>
    </row>
    <row r="21" spans="1:4">
      <c r="A21" s="275"/>
    </row>
    <row r="22" spans="1:4">
      <c r="A22" s="275" t="s">
        <v>1075</v>
      </c>
      <c r="B22" s="147" t="str">
        <f>'IO Pad'!U22</f>
        <v>gpio0[10]</v>
      </c>
      <c r="C22" s="147" t="str">
        <f>'IO Pad'!Z22</f>
        <v>usim1_clk</v>
      </c>
      <c r="D22" s="147" t="str">
        <f>'IO Pad'!AJ22</f>
        <v>ch1_rxa_data[10]</v>
      </c>
    </row>
    <row r="23" spans="1:4">
      <c r="A23" s="275" t="s">
        <v>1075</v>
      </c>
      <c r="B23" s="147" t="str">
        <f>'IO Pad'!U23</f>
        <v>gpio0[11]</v>
      </c>
      <c r="C23" s="147" t="str">
        <f>'IO Pad'!Z23</f>
        <v>usim1_rst</v>
      </c>
      <c r="D23" s="147" t="str">
        <f>'IO Pad'!AJ23</f>
        <v>ch1_rxa_data[11]</v>
      </c>
    </row>
    <row r="24" spans="1:4">
      <c r="A24" s="275" t="s">
        <v>1075</v>
      </c>
      <c r="B24" s="147" t="str">
        <f>'IO Pad'!U24</f>
        <v>gpio0[12]</v>
      </c>
      <c r="C24" s="147" t="str">
        <f>'IO Pad'!Z24</f>
        <v>usim1_data</v>
      </c>
      <c r="D24" s="147" t="str">
        <f>'IO Pad'!AJ24</f>
        <v>ch1_rxa_data[12]</v>
      </c>
    </row>
    <row r="25" spans="1:4">
      <c r="A25" s="275"/>
    </row>
    <row r="26" spans="1:4">
      <c r="A26" s="275" t="s">
        <v>1075</v>
      </c>
      <c r="B26" s="147" t="str">
        <f>'IO Pad'!U26</f>
        <v>uart0_txd</v>
      </c>
      <c r="C26" s="147" t="str">
        <f>'IO Pad'!Z26</f>
        <v>gpio0[13]</v>
      </c>
      <c r="D26" s="147" t="str">
        <f>'IO Pad'!AJ26</f>
        <v>ch1_rxa_data[13]</v>
      </c>
    </row>
    <row r="27" spans="1:4">
      <c r="A27" s="275" t="s">
        <v>1075</v>
      </c>
      <c r="B27" s="147" t="str">
        <f>'IO Pad'!U27</f>
        <v>uart0_rxd</v>
      </c>
      <c r="C27" s="147" t="str">
        <f>'IO Pad'!Z27</f>
        <v>gpio0[14]</v>
      </c>
      <c r="D27" s="147" t="str">
        <f>'IO Pad'!AJ27</f>
        <v>ch0_tx_data[6]</v>
      </c>
    </row>
    <row r="28" spans="1:4">
      <c r="A28" s="275"/>
    </row>
    <row r="29" spans="1:4">
      <c r="A29" s="275" t="s">
        <v>1075</v>
      </c>
      <c r="B29" s="147" t="str">
        <f>'IO Pad'!U29</f>
        <v>gpio0[15]</v>
      </c>
      <c r="C29" s="147" t="str">
        <f>'IO Pad'!Z29</f>
        <v>soc_mipi_clk</v>
      </c>
      <c r="D29" s="147" t="str">
        <f>'IO Pad'!AJ29</f>
        <v>ch0_tx_clk</v>
      </c>
    </row>
    <row r="30" spans="1:4">
      <c r="A30" s="275" t="s">
        <v>1075</v>
      </c>
      <c r="B30" s="147" t="str">
        <f>'IO Pad'!U30</f>
        <v>gpio0[16]</v>
      </c>
      <c r="C30" s="147" t="str">
        <f>'IO Pad'!Z30</f>
        <v>soc_mipi_data</v>
      </c>
      <c r="D30" s="147" t="str">
        <f>'IO Pad'!AJ30</f>
        <v>ch0_tx_vld</v>
      </c>
    </row>
    <row r="31" spans="1:4">
      <c r="A31" s="275" t="s">
        <v>1075</v>
      </c>
      <c r="B31" s="147" t="str">
        <f>'IO Pad'!U31</f>
        <v>gpio0[17]</v>
      </c>
      <c r="C31" s="147" t="str">
        <f>'IO Pad'!AJ31</f>
        <v>ch0_line_ctrl_mode[0]</v>
      </c>
    </row>
    <row r="32" spans="1:4">
      <c r="A32" s="275" t="s">
        <v>1075</v>
      </c>
      <c r="B32" s="147" t="str">
        <f>'IO Pad'!U32</f>
        <v>gpio0[18]</v>
      </c>
      <c r="C32" s="147" t="str">
        <f>'IO Pad'!AJ32</f>
        <v>ch0_line_ctrl_mode[1]</v>
      </c>
    </row>
    <row r="33" spans="1:5">
      <c r="A33" s="275" t="s">
        <v>1075</v>
      </c>
      <c r="B33" s="147" t="str">
        <f>'IO Pad'!U33</f>
        <v>gpio0[19]</v>
      </c>
      <c r="C33" s="147" t="str">
        <f>'IO Pad'!AJ33</f>
        <v>ch0_line_ctrl_mode[2]</v>
      </c>
    </row>
    <row r="34" spans="1:5">
      <c r="A34" s="275"/>
    </row>
    <row r="35" spans="1:5">
      <c r="A35" s="275" t="s">
        <v>1075</v>
      </c>
      <c r="B35" s="147" t="str">
        <f>'IO Pad'!U35</f>
        <v>gpio0[20]</v>
      </c>
      <c r="C35" s="147" t="str">
        <f>'IO Pad'!Z35</f>
        <v>mmc1_clk</v>
      </c>
      <c r="D35" s="147" t="str">
        <f>'IO Pad'!AE35</f>
        <v>sdio_clk</v>
      </c>
      <c r="E35" s="147" t="str">
        <f>'IO Pad'!AJ35</f>
        <v>ch0_tx_data[0]</v>
      </c>
    </row>
    <row r="36" spans="1:5">
      <c r="A36" s="275" t="s">
        <v>1075</v>
      </c>
      <c r="B36" s="147" t="str">
        <f>'IO Pad'!U36</f>
        <v>gpio0[21]</v>
      </c>
      <c r="C36" s="147" t="str">
        <f>'IO Pad'!Z36</f>
        <v>mmc1_cmd</v>
      </c>
      <c r="D36" s="147" t="str">
        <f>'IO Pad'!AE36</f>
        <v>sdio_cmd</v>
      </c>
      <c r="E36" s="147" t="str">
        <f>'IO Pad'!AJ36</f>
        <v>ch0_tx_data[1]</v>
      </c>
    </row>
    <row r="37" spans="1:5">
      <c r="A37" s="275" t="s">
        <v>1075</v>
      </c>
      <c r="B37" s="147" t="str">
        <f>'IO Pad'!U37</f>
        <v>gpio0[22]</v>
      </c>
      <c r="C37" s="147" t="str">
        <f>'IO Pad'!Z37</f>
        <v>mmc1_data[0]</v>
      </c>
      <c r="D37" s="147" t="str">
        <f>'IO Pad'!AE37</f>
        <v>sdio_data[0]</v>
      </c>
      <c r="E37" s="147" t="str">
        <f>'IO Pad'!AJ37</f>
        <v>ch0_tx_data[2]</v>
      </c>
    </row>
    <row r="38" spans="1:5">
      <c r="A38" s="275" t="s">
        <v>1075</v>
      </c>
      <c r="B38" s="147" t="str">
        <f>'IO Pad'!U38</f>
        <v>gpio0[23]</v>
      </c>
      <c r="C38" s="147" t="str">
        <f>'IO Pad'!Z38</f>
        <v>mmc1_data[1]</v>
      </c>
      <c r="D38" s="147" t="str">
        <f>'IO Pad'!AE38</f>
        <v>sdio_data[1]</v>
      </c>
      <c r="E38" s="147" t="str">
        <f>'IO Pad'!AJ38</f>
        <v>ch0_tx_data[3]</v>
      </c>
    </row>
    <row r="39" spans="1:5">
      <c r="A39" s="275" t="s">
        <v>1075</v>
      </c>
      <c r="B39" s="147" t="str">
        <f>'IO Pad'!U39</f>
        <v>gpio0[24]</v>
      </c>
      <c r="C39" s="147" t="str">
        <f>'IO Pad'!Z39</f>
        <v>mmc1_data[2]</v>
      </c>
      <c r="D39" s="147" t="str">
        <f>'IO Pad'!AE39</f>
        <v>sdio_data[2]</v>
      </c>
      <c r="E39" s="147" t="str">
        <f>'IO Pad'!AJ39</f>
        <v>ch0_tx_data[4]</v>
      </c>
    </row>
    <row r="40" spans="1:5">
      <c r="A40" s="275" t="s">
        <v>1075</v>
      </c>
      <c r="B40" s="147" t="str">
        <f>'IO Pad'!U40</f>
        <v>gpio0[25]</v>
      </c>
      <c r="C40" s="147" t="str">
        <f>'IO Pad'!Z40</f>
        <v>mmc1_data[3]</v>
      </c>
      <c r="D40" s="147" t="str">
        <f>'IO Pad'!AE40</f>
        <v>sdio_data[3]</v>
      </c>
      <c r="E40" s="147" t="str">
        <f>'IO Pad'!AJ40</f>
        <v>ch0_tx_data[5]</v>
      </c>
    </row>
    <row r="41" spans="1:5">
      <c r="A41" s="274" t="s">
        <v>1075</v>
      </c>
      <c r="B41" s="147" t="str">
        <f>'IO Pad'!U41</f>
        <v>mmc1_clk_fb_out</v>
      </c>
    </row>
    <row r="42" spans="1:5">
      <c r="A42" s="274" t="s">
        <v>1075</v>
      </c>
      <c r="B42" s="147" t="str">
        <f>'IO Pad'!U42</f>
        <v>mmc1_clk_fb_in</v>
      </c>
    </row>
    <row r="43" spans="1:5">
      <c r="A43" s="275"/>
    </row>
    <row r="44" spans="1:5">
      <c r="A44" s="275" t="s">
        <v>1075</v>
      </c>
      <c r="B44" s="147" t="str">
        <f>'IO Pad'!U44</f>
        <v>jtag_dft_mode</v>
      </c>
    </row>
    <row r="45" spans="1:5">
      <c r="A45" s="275"/>
    </row>
    <row r="46" spans="1:5">
      <c r="A46" s="274" t="s">
        <v>1075</v>
      </c>
      <c r="B46" s="147" t="str">
        <f>'IO Pad'!U46</f>
        <v>HSIC_STROBE</v>
      </c>
    </row>
    <row r="47" spans="1:5">
      <c r="A47" s="274" t="s">
        <v>1075</v>
      </c>
      <c r="B47" s="147" t="str">
        <f>'IO Pad'!U47</f>
        <v>HSIC_DATA</v>
      </c>
    </row>
  </sheetData>
  <phoneticPr fontId="3" type="noConversion"/>
  <pageMargins left="0.74803149606299213" right="0.74803149606299213" top="0.98425196850393704" bottom="0.98425196850393704" header="0.51181102362204722" footer="0.51181102362204722"/>
  <pageSetup paperSize="9" orientation="portrait" r:id="rId1"/>
  <headerFooter alignWithMargins="0">
    <oddHeader>&amp;L&amp;G&amp;C&amp;F&amp;R文档密级</oddHeader>
    <oddFooter>&amp;L&amp;D&amp;C华为保密信息,未经授权禁止扩散&amp;R第&amp;P页，共&amp;N页</oddFooter>
  </headerFooter>
  <legacyDrawingHF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13</vt:i4>
      </vt:variant>
      <vt:variant>
        <vt:lpstr>命名范围</vt:lpstr>
      </vt:variant>
      <vt:variant>
        <vt:i4>30</vt:i4>
      </vt:variant>
    </vt:vector>
  </HeadingPairs>
  <TitlesOfParts>
    <vt:vector size="43" baseType="lpstr">
      <vt:lpstr>note</vt:lpstr>
      <vt:lpstr>Package</vt:lpstr>
      <vt:lpstr>Die</vt:lpstr>
      <vt:lpstr>Performance</vt:lpstr>
      <vt:lpstr>IO Pad</vt:lpstr>
      <vt:lpstr>Power&amp;Gnd</vt:lpstr>
      <vt:lpstr>硬件使用说明</vt:lpstr>
      <vt:lpstr>接口位置图</vt:lpstr>
      <vt:lpstr>IP list</vt:lpstr>
      <vt:lpstr>特殊信号处理</vt:lpstr>
      <vt:lpstr>代码生成</vt:lpstr>
      <vt:lpstr>使用手册</vt:lpstr>
      <vt:lpstr>Sheet1</vt:lpstr>
      <vt:lpstr>_10</vt:lpstr>
      <vt:lpstr>_11</vt:lpstr>
      <vt:lpstr>_12</vt:lpstr>
      <vt:lpstr>_13</vt:lpstr>
      <vt:lpstr>_14</vt:lpstr>
      <vt:lpstr>_15</vt:lpstr>
      <vt:lpstr>_16</vt:lpstr>
      <vt:lpstr>_18</vt:lpstr>
      <vt:lpstr>_19</vt:lpstr>
      <vt:lpstr>_20</vt:lpstr>
      <vt:lpstr>_22</vt:lpstr>
      <vt:lpstr>_23</vt:lpstr>
      <vt:lpstr>_24</vt:lpstr>
      <vt:lpstr>_26</vt:lpstr>
      <vt:lpstr>_27</vt:lpstr>
      <vt:lpstr>_29</vt:lpstr>
      <vt:lpstr>_30</vt:lpstr>
      <vt:lpstr>_31</vt:lpstr>
      <vt:lpstr>_32</vt:lpstr>
      <vt:lpstr>_33</vt:lpstr>
      <vt:lpstr>_35</vt:lpstr>
      <vt:lpstr>_36</vt:lpstr>
      <vt:lpstr>_37</vt:lpstr>
      <vt:lpstr>_38</vt:lpstr>
      <vt:lpstr>_39</vt:lpstr>
      <vt:lpstr>_40</vt:lpstr>
      <vt:lpstr>_7</vt:lpstr>
      <vt:lpstr>_8</vt:lpstr>
      <vt:lpstr>_9</vt:lpstr>
      <vt:lpstr>'IO Pad'!Print_Area</vt:lpstr>
    </vt:vector>
  </TitlesOfParts>
  <Company>Huawei Technologies Co., Ltd.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zyb</dc:creator>
  <cp:lastModifiedBy>LocalAccount</cp:lastModifiedBy>
  <cp:lastPrinted>2010-07-08T11:53:37Z</cp:lastPrinted>
  <dcterms:created xsi:type="dcterms:W3CDTF">2004-05-21T06:54:18Z</dcterms:created>
  <dcterms:modified xsi:type="dcterms:W3CDTF">2013-08-19T09:38:53Z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ms_pID_725343">
    <vt:lpwstr>(3)XD9yLC04bo5nFnCiCMZCOExnnu1p9pBY1lW+ZHr72dLPGTg/A9Sa5C00MsIbo8SGqO4XyHso
Gz4xznzqqSoYI3AhQ2FDeO3xZLfeF3SfhZE08Za+GXilo7swfJckZbDSAklzBOPj53tBxp1H
EgAHXDZ5DE4XSIi0jq40bkmEVH06LldatlbrH5RR/F9Ujw+/8qCGrcVXiB4cnarPSA1xiuDD
voay9cfeQp10JJQyC9IG7</vt:lpwstr>
  </property>
  <property fmtid="{D5CDD505-2E9C-101B-9397-08002B2CF9AE}" pid="3" name="_ms_pID_7253431">
    <vt:lpwstr>I3umUgvSGp8V2Aemv5lw9UjIlj8PqS1fwvGozf8lkVSM8oErgvb
rmkUz4WQXbyHgZC1Ra8DPWWfvKt5KWh03EOTCuxJxqhFsGiHB/jH0vUnAkGF4qgmCiFna6QU
AkuzFXWRrAoClV2oIvu+URThbf7fvu2YZkeN9Cd7b7Kn1KRNXuCUJZFUk6242n7YYnWHHOLL
RGCU3rT3nZfRUL9Uma2T0RI0zB2eAWCtQ5ASgPt5o3</vt:lpwstr>
  </property>
  <property fmtid="{D5CDD505-2E9C-101B-9397-08002B2CF9AE}" pid="4" name="_ms_pID_7253432">
    <vt:lpwstr>c8QpIDRLrgaH2E7fpGzip4ZSWA2idz
AS2qEQOyDfaBu1IO2p9on1YZ+ckET121IFavs2z1PiUNhC/nMH0=</vt:lpwstr>
  </property>
  <property fmtid="{D5CDD505-2E9C-101B-9397-08002B2CF9AE}" pid="5" name="sflag">
    <vt:lpwstr>1376905079</vt:lpwstr>
  </property>
</Properties>
</file>