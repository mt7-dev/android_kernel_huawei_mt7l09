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activeX/activeX5.xml" ContentType="application/vnd.ms-office.activeX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0" yWindow="0" windowWidth="11730" windowHeight="3555" tabRatio="770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Power&amp;Gnd" sheetId="32" r:id="rId6"/>
    <sheet name="硬件使用说明" sheetId="22" r:id="rId7"/>
    <sheet name="接口位置图" sheetId="23" r:id="rId8"/>
    <sheet name="IP list" sheetId="19" r:id="rId9"/>
    <sheet name="特殊信号处理" sheetId="26" r:id="rId10"/>
    <sheet name="代码生成" sheetId="25" r:id="rId11"/>
    <sheet name="使用手册" sheetId="31" r:id="rId12"/>
    <sheet name="Sheet1" sheetId="33" state="hidden" r:id="rId13"/>
  </sheets>
  <functionGroups/>
  <externalReferences>
    <externalReference r:id="rId14"/>
  </externalReferences>
  <definedNames>
    <definedName name="_10">Sheet1!$A$10:$D$10</definedName>
    <definedName name="_11">Sheet1!$A$11:$D$11</definedName>
    <definedName name="_12">Sheet1!$A$12:$D$12</definedName>
    <definedName name="_13">Sheet1!$A$13:$D$13</definedName>
    <definedName name="_14">Sheet1!$A$14:$D$14</definedName>
    <definedName name="_15">Sheet1!$A$15:$D$15</definedName>
    <definedName name="_16">Sheet1!$A$16:$D$16</definedName>
    <definedName name="_18">Sheet1!$A$18:$D$18</definedName>
    <definedName name="_19">Sheet1!$A$19:$D$19</definedName>
    <definedName name="_20">Sheet1!$A$20:$D$20</definedName>
    <definedName name="_22">Sheet1!$A$22:$D$22</definedName>
    <definedName name="_23">Sheet1!$A$23:$D$23</definedName>
    <definedName name="_24">Sheet1!$A$24:$D$24</definedName>
    <definedName name="_26">Sheet1!$A$26:$D$26</definedName>
    <definedName name="_27">Sheet1!$A$27:$D$27</definedName>
    <definedName name="_29">Sheet1!$A$29:$D$29</definedName>
    <definedName name="_30">Sheet1!$A$30:$D$30</definedName>
    <definedName name="_31">Sheet1!$A$31:$C$31</definedName>
    <definedName name="_32">Sheet1!$A$32:$C$32</definedName>
    <definedName name="_33">Sheet1!$A$33:$C$33</definedName>
    <definedName name="_35">Sheet1!$A$35:$E$35</definedName>
    <definedName name="_36">Sheet1!$A$36:$E$36</definedName>
    <definedName name="_37">Sheet1!$A$37:$E$37</definedName>
    <definedName name="_38">Sheet1!$A$38:$E$38</definedName>
    <definedName name="_39">Sheet1!$A$39:$E$39</definedName>
    <definedName name="_40">Sheet1!$A$40:$E$40</definedName>
    <definedName name="_7">Sheet1!$A$7:$C$7</definedName>
    <definedName name="_8">Sheet1!$A$8:$C$8</definedName>
    <definedName name="_9">Sheet1!$A$9:$C$9</definedName>
    <definedName name="_xlnm._FilterDatabase" localSheetId="4" hidden="1">'IO Pad'!$A$1:$AO$56</definedName>
    <definedName name="_xlnm.Print_Area" localSheetId="4">'IO Pad'!$F$1:$T$27</definedName>
    <definedName name="SigRegion">[1]config!$P$5:$P$664</definedName>
  </definedNames>
  <calcPr calcId="125725" calcMode="manual"/>
</workbook>
</file>

<file path=xl/calcChain.xml><?xml version="1.0" encoding="utf-8"?>
<calcChain xmlns="http://schemas.openxmlformats.org/spreadsheetml/2006/main">
  <c r="B5" i="33"/>
  <c r="B6"/>
  <c r="B7"/>
  <c r="C7"/>
  <c r="B8"/>
  <c r="C8"/>
  <c r="B9"/>
  <c r="C9"/>
  <c r="B10"/>
  <c r="C10"/>
  <c r="D10"/>
  <c r="B11"/>
  <c r="C11"/>
  <c r="D11"/>
  <c r="B12"/>
  <c r="C12"/>
  <c r="D12"/>
  <c r="B13"/>
  <c r="C13"/>
  <c r="D13"/>
  <c r="B14"/>
  <c r="C14"/>
  <c r="D14"/>
  <c r="B15"/>
  <c r="C15"/>
  <c r="D15"/>
  <c r="C16"/>
  <c r="D16"/>
  <c r="B18"/>
  <c r="C18"/>
  <c r="D18"/>
  <c r="B19"/>
  <c r="C19"/>
  <c r="D19"/>
  <c r="B20"/>
  <c r="C20"/>
  <c r="D20"/>
  <c r="B22"/>
  <c r="C22"/>
  <c r="D22"/>
  <c r="B23"/>
  <c r="C23"/>
  <c r="D23"/>
  <c r="B24"/>
  <c r="C24"/>
  <c r="D24"/>
  <c r="B26"/>
  <c r="C26"/>
  <c r="D26"/>
  <c r="B27"/>
  <c r="C27"/>
  <c r="D27"/>
  <c r="B29"/>
  <c r="C29"/>
  <c r="D29"/>
  <c r="B30"/>
  <c r="C30"/>
  <c r="D30"/>
  <c r="B31"/>
  <c r="C31"/>
  <c r="B32"/>
  <c r="C32"/>
  <c r="B33"/>
  <c r="C33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B42"/>
  <c r="B44"/>
  <c r="B46"/>
  <c r="B47"/>
  <c r="B4"/>
  <c r="E54" i="18" l="1"/>
  <c r="C54" l="1"/>
  <c r="U44" l="1"/>
  <c r="U16" l="1"/>
  <c r="B16" i="33" s="1"/>
  <c r="U8" i="18"/>
  <c r="U9"/>
  <c r="U10"/>
  <c r="U12"/>
  <c r="D54" l="1"/>
  <c r="B54"/>
  <c r="U42"/>
  <c r="U41"/>
  <c r="U27"/>
  <c r="U26"/>
  <c r="U15"/>
  <c r="U14"/>
  <c r="U13"/>
  <c r="U7"/>
  <c r="U6"/>
  <c r="U5"/>
  <c r="U4"/>
  <c r="T59" i="23"/>
  <c r="Z41"/>
  <c r="O41"/>
  <c r="T26"/>
  <c r="T41" s="1"/>
</calcChain>
</file>

<file path=xl/sharedStrings.xml><?xml version="1.0" encoding="utf-8"?>
<sst xmlns="http://schemas.openxmlformats.org/spreadsheetml/2006/main" count="2346" uniqueCount="1092">
  <si>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</si>
  <si>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</si>
  <si>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</si>
  <si>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</si>
  <si>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</si>
  <si>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</si>
  <si>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</si>
  <si>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</si>
  <si>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</si>
  <si>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</si>
  <si>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</si>
  <si>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</si>
  <si>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</si>
  <si>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</si>
  <si>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</si>
  <si>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</si>
  <si>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</si>
  <si>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</si>
  <si>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</si>
  <si>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</si>
  <si>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</si>
  <si>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</si>
  <si>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</si>
  <si>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</si>
  <si>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</si>
  <si>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</si>
  <si>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</si>
  <si>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</si>
  <si>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</si>
  <si>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</si>
  <si>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</si>
  <si>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</si>
  <si>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</si>
  <si>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</si>
  <si>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</si>
  <si>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</si>
  <si>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</si>
  <si>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</si>
  <si>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</si>
  <si>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</si>
  <si>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</si>
  <si>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</si>
  <si>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</si>
  <si>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</si>
  <si>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</si>
  <si>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</si>
  <si>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</si>
  <si>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</si>
  <si>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</si>
  <si>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MUX_C</t>
  </si>
  <si>
    <t>MUX_NA</t>
  </si>
  <si>
    <t>B</t>
  </si>
  <si>
    <t>DO</t>
  </si>
  <si>
    <t>DI</t>
  </si>
  <si>
    <t>SI</t>
  </si>
  <si>
    <t>BOD</t>
  </si>
  <si>
    <t>Y</t>
  </si>
  <si>
    <t>IOM_CTRL6</t>
  </si>
  <si>
    <t>IOM_CTRL7</t>
  </si>
  <si>
    <t>IOM_CTRL13</t>
  </si>
  <si>
    <t>IOM_CTRL15</t>
  </si>
  <si>
    <t>IOM_CTRL18</t>
  </si>
  <si>
    <t>IOM_CTRL19</t>
  </si>
  <si>
    <t>IOM_CTRL21</t>
  </si>
  <si>
    <t>IOM_CTRL22</t>
  </si>
  <si>
    <t>IOM_CTRL26</t>
  </si>
  <si>
    <t>OZ</t>
    <phoneticPr fontId="3" type="noConversion"/>
  </si>
  <si>
    <t>Pad Name</t>
    <phoneticPr fontId="38" type="noConversion"/>
  </si>
  <si>
    <t xml:space="preserve">DFT </t>
    <phoneticPr fontId="38" type="noConversion"/>
  </si>
  <si>
    <t>comment</t>
    <phoneticPr fontId="38" type="noConversion"/>
  </si>
  <si>
    <t>Replace0 Name</t>
    <phoneticPr fontId="38" type="noConversion"/>
  </si>
  <si>
    <t>Replace1 Name</t>
    <phoneticPr fontId="38" type="noConversion"/>
  </si>
  <si>
    <t>Replace1 CTRL</t>
    <phoneticPr fontId="38" type="noConversion"/>
  </si>
  <si>
    <t>Fuction0 Name</t>
    <phoneticPr fontId="38" type="noConversion"/>
  </si>
  <si>
    <r>
      <t>F</t>
    </r>
    <r>
      <rPr>
        <sz val="12"/>
        <rFont val="宋体"/>
        <family val="3"/>
        <charset val="134"/>
      </rPr>
      <t>uction1 Name</t>
    </r>
    <phoneticPr fontId="38" type="noConversion"/>
  </si>
  <si>
    <r>
      <t>u</t>
    </r>
    <r>
      <rPr>
        <sz val="12"/>
        <rFont val="宋体"/>
        <family val="3"/>
        <charset val="134"/>
      </rPr>
      <t>icc_sw2_en</t>
    </r>
    <phoneticPr fontId="38" type="noConversion"/>
  </si>
  <si>
    <t>Fuction2 Name</t>
    <phoneticPr fontId="38" type="noConversion"/>
  </si>
  <si>
    <t>增加DFT信号，需要按照次行进行复制粘贴</t>
    <phoneticPr fontId="38" type="noConversion"/>
  </si>
  <si>
    <t>PAD Name</t>
    <phoneticPr fontId="38" type="noConversion"/>
  </si>
  <si>
    <t xml:space="preserve">IOM </t>
    <phoneticPr fontId="38" type="noConversion"/>
  </si>
  <si>
    <t>UICC_DP</t>
    <phoneticPr fontId="38" type="noConversion"/>
  </si>
  <si>
    <t>UICC_DM</t>
    <phoneticPr fontId="38" type="noConversion"/>
  </si>
  <si>
    <t>uicc_sw1_en</t>
    <phoneticPr fontId="38" type="noConversion"/>
  </si>
  <si>
    <t>PD</t>
  </si>
  <si>
    <t>PD</t>
    <phoneticPr fontId="38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</si>
  <si>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</si>
  <si>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8" type="noConversion"/>
  </si>
  <si>
    <t>需要替换管脚IOM的控制信息，改信息的起始位置要与DFT的最后一个信号保持8行的间距</t>
    <phoneticPr fontId="38" type="noConversion"/>
  </si>
  <si>
    <t>APB</t>
    <phoneticPr fontId="35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</si>
  <si>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</si>
  <si>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</si>
  <si>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</si>
  <si>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</si>
  <si>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</si>
  <si>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</si>
  <si>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</si>
  <si>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</si>
  <si>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</si>
  <si>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5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</si>
  <si>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</si>
  <si>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</si>
  <si>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</si>
  <si>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</si>
  <si>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IOM_CTRL9</t>
  </si>
  <si>
    <t>IOM_CTRL20</t>
  </si>
  <si>
    <t>IOM_CTRL23</t>
  </si>
  <si>
    <t>IOM_CTRL25</t>
  </si>
  <si>
    <t>MMC0（6个pin,wifi接口）</t>
    <phoneticPr fontId="3" type="noConversion"/>
  </si>
  <si>
    <t>MMC1（6个pin，SD卡或emmc接口）</t>
  </si>
  <si>
    <t>AI</t>
  </si>
  <si>
    <t>AIO</t>
  </si>
  <si>
    <t>AO</t>
  </si>
  <si>
    <t>IOM_CTRL8</t>
  </si>
  <si>
    <t>LVCMOS</t>
  </si>
  <si>
    <t>4mA</t>
  </si>
  <si>
    <t>OD</t>
  </si>
  <si>
    <t>0mA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</si>
  <si>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</si>
  <si>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</si>
  <si>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</si>
  <si>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</si>
  <si>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</si>
  <si>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</si>
  <si>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</si>
  <si>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</si>
  <si>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</si>
  <si>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</si>
  <si>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</si>
  <si>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</si>
  <si>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</si>
  <si>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</si>
  <si>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</si>
  <si>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</si>
  <si>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</si>
  <si>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</si>
  <si>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</si>
  <si>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</si>
  <si>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</si>
  <si>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</si>
  <si>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</si>
  <si>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</si>
  <si>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</si>
  <si>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</si>
  <si>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</si>
  <si>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</si>
  <si>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</si>
  <si>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</si>
  <si>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</si>
  <si>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</si>
  <si>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</si>
  <si>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</si>
  <si>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</si>
  <si>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</si>
  <si>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</si>
  <si>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</si>
  <si>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</si>
  <si>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</si>
  <si>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</si>
  <si>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</si>
  <si>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P</t>
    </r>
    <r>
      <rPr>
        <sz val="12"/>
        <rFont val="宋体"/>
        <family val="3"/>
        <charset val="134"/>
      </rPr>
      <t>S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</si>
  <si>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</si>
  <si>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</si>
  <si>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</si>
  <si>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</si>
  <si>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</si>
  <si>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8" type="noConversion"/>
  </si>
  <si>
    <t>GMII_RX_CLK</t>
    <phoneticPr fontId="38" type="noConversion"/>
  </si>
  <si>
    <t>GMII_TX_CLK</t>
    <phoneticPr fontId="38" type="noConversion"/>
  </si>
  <si>
    <t>GMII_CLK_125</t>
    <phoneticPr fontId="38" type="noConversion"/>
  </si>
  <si>
    <t>gmii_clk_125</t>
    <phoneticPr fontId="38" type="noConversion"/>
  </si>
  <si>
    <t>uicc_ctrl1_1</t>
    <phoneticPr fontId="38" type="noConversion"/>
  </si>
  <si>
    <t>Replace0 CTRL</t>
    <phoneticPr fontId="38" type="noConversion"/>
  </si>
  <si>
    <t>gmii_tx_clk</t>
    <phoneticPr fontId="38" type="noConversion"/>
  </si>
  <si>
    <t>sdio_clk</t>
    <phoneticPr fontId="38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</si>
  <si>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</si>
  <si>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</si>
  <si>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</si>
  <si>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</si>
  <si>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</si>
  <si>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</si>
  <si>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</si>
  <si>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</si>
  <si>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</si>
  <si>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</si>
  <si>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</si>
  <si>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</si>
  <si>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</si>
  <si>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</si>
  <si>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</si>
  <si>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</si>
  <si>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</si>
  <si>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</si>
  <si>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39" type="noConversion"/>
  </si>
  <si>
    <r>
      <t>I</t>
    </r>
    <r>
      <rPr>
        <sz val="12"/>
        <rFont val="宋体"/>
        <family val="3"/>
        <charset val="134"/>
      </rPr>
      <t>O Pad</t>
    </r>
    <phoneticPr fontId="39" type="noConversion"/>
  </si>
  <si>
    <t>硬件使用说明</t>
    <phoneticPr fontId="39" type="noConversion"/>
  </si>
  <si>
    <t>表单名称</t>
    <phoneticPr fontId="39" type="noConversion"/>
  </si>
  <si>
    <t>功能介绍</t>
    <phoneticPr fontId="39" type="noConversion"/>
  </si>
  <si>
    <t>接口位置图</t>
    <phoneticPr fontId="39" type="noConversion"/>
  </si>
  <si>
    <t>特殊信号处理</t>
    <phoneticPr fontId="39" type="noConversion"/>
  </si>
  <si>
    <t>代码生成</t>
    <phoneticPr fontId="39" type="noConversion"/>
  </si>
  <si>
    <t>使用手册</t>
    <phoneticPr fontId="39" type="noConversion"/>
  </si>
  <si>
    <t>更改记录简要说明</t>
    <phoneticPr fontId="39" type="noConversion"/>
  </si>
  <si>
    <t>后端关注度</t>
    <phoneticPr fontId="39" type="noConversion"/>
  </si>
  <si>
    <t>验证/底软关注度</t>
    <phoneticPr fontId="39" type="noConversion"/>
  </si>
  <si>
    <t>表单信息来源</t>
    <phoneticPr fontId="39" type="noConversion"/>
  </si>
  <si>
    <t>硬件关注度</t>
    <phoneticPr fontId="39" type="noConversion"/>
  </si>
  <si>
    <t>IP list</t>
    <phoneticPr fontId="39" type="noConversion"/>
  </si>
  <si>
    <t>设计者</t>
    <phoneticPr fontId="39" type="noConversion"/>
  </si>
  <si>
    <t>芯片部门</t>
    <phoneticPr fontId="39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</si>
  <si>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39" type="noConversion"/>
  </si>
  <si>
    <t>摆放芯片Die中管脚位置</t>
    <phoneticPr fontId="39" type="noConversion"/>
  </si>
  <si>
    <t>填写IO复用设计信息及整理后端同事需要的IO信息</t>
    <phoneticPr fontId="39" type="noConversion"/>
  </si>
  <si>
    <t>记录芯片中重要IP的信息</t>
    <phoneticPr fontId="39" type="noConversion"/>
  </si>
  <si>
    <t>记录硬件单板设计需要的信息（例:可用GPIO数目）</t>
    <phoneticPr fontId="39" type="noConversion"/>
  </si>
  <si>
    <t>用于填写IO复用关系整理需要特殊处理的信息</t>
    <phoneticPr fontId="39" type="noConversion"/>
  </si>
  <si>
    <t>生成IO复用代码文件，及更新提取SI&amp;PKG_REG和SoftWare_REQ表单</t>
    <phoneticPr fontId="39" type="noConversion"/>
  </si>
  <si>
    <t>注：灰色部分的表单内容，可以到芯片稳定后期进行填写，设计阶段不涉及；</t>
    <phoneticPr fontId="39" type="noConversion"/>
  </si>
  <si>
    <t>一、使用须知</t>
    <phoneticPr fontId="39" type="noConversion"/>
  </si>
  <si>
    <t>二、表单介绍</t>
    <phoneticPr fontId="39" type="noConversion"/>
  </si>
  <si>
    <t>三、代码特点</t>
    <phoneticPr fontId="39" type="noConversion"/>
  </si>
  <si>
    <t>四、代码产生</t>
    <phoneticPr fontId="39" type="noConversion"/>
  </si>
  <si>
    <t xml:space="preserve">5：代码接口信号简单；
</t>
    <phoneticPr fontId="39" type="noConversion"/>
  </si>
  <si>
    <t>五、接口介绍</t>
    <phoneticPr fontId="39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</si>
  <si>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</si>
  <si>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</si>
  <si>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</si>
  <si>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</si>
  <si>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</si>
  <si>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</si>
  <si>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</si>
  <si>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</si>
  <si>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</si>
  <si>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</si>
  <si>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</si>
  <si>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</si>
  <si>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</si>
  <si>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</si>
  <si>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</si>
  <si>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</si>
  <si>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</si>
  <si>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</si>
  <si>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</si>
  <si>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</si>
  <si>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</si>
  <si>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</si>
  <si>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</si>
  <si>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</si>
  <si>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</si>
  <si>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</si>
  <si>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</si>
  <si>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</si>
  <si>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</si>
  <si>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</si>
  <si>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</si>
  <si>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</si>
  <si>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</si>
  <si>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</si>
  <si>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</si>
  <si>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</si>
  <si>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</si>
  <si>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</si>
  <si>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</si>
  <si>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39" type="noConversion"/>
  </si>
  <si>
    <t>接口类型</t>
    <phoneticPr fontId="35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</si>
  <si>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39" type="noConversion"/>
  </si>
  <si>
    <t>IOS_APB_SLV</t>
    <phoneticPr fontId="39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</si>
  <si>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39" type="noConversion"/>
  </si>
  <si>
    <t>六、地址划分</t>
    <phoneticPr fontId="39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</si>
  <si>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39" type="noConversion"/>
  </si>
  <si>
    <t>IOS_AF_CTRL基地址</t>
    <phoneticPr fontId="3" type="noConversion"/>
  </si>
  <si>
    <t>2：标准 APB2.0 接口，32bit对齐，可选择interface类型；</t>
    <phoneticPr fontId="39" type="noConversion"/>
  </si>
  <si>
    <t>IOS寄存器空间划分为三段</t>
    <phoneticPr fontId="39" type="noConversion"/>
  </si>
  <si>
    <r>
      <t>I</t>
    </r>
    <r>
      <rPr>
        <sz val="12"/>
        <rFont val="宋体"/>
        <family val="3"/>
        <charset val="134"/>
      </rPr>
      <t>OS_MF_CTRL寄存器</t>
    </r>
    <phoneticPr fontId="39" type="noConversion"/>
  </si>
  <si>
    <t>IOS_AF_CTRL寄存器</t>
    <phoneticPr fontId="39" type="noConversion"/>
  </si>
  <si>
    <t>IOS基地址</t>
    <phoneticPr fontId="39" type="noConversion"/>
  </si>
  <si>
    <t>IOS_AF_CTRL基地址</t>
    <phoneticPr fontId="39" type="noConversion"/>
  </si>
  <si>
    <t>IOS_AF_CTRL基地址-4'h4</t>
    <phoneticPr fontId="39" type="noConversion"/>
  </si>
  <si>
    <t>末地址</t>
    <phoneticPr fontId="39" type="noConversion"/>
  </si>
  <si>
    <t>起地址</t>
    <phoneticPr fontId="39" type="noConversion"/>
  </si>
  <si>
    <t>`IOS_ADDR_WIDTH</t>
    <phoneticPr fontId="39" type="noConversion"/>
  </si>
  <si>
    <t>IOS_IOM_CTRL基地址</t>
    <phoneticPr fontId="3" type="noConversion"/>
  </si>
  <si>
    <t>IOS_IOM_CTRL寄存器</t>
    <phoneticPr fontId="39" type="noConversion"/>
  </si>
  <si>
    <t>注：地址位宽及地址划分的基地址，可在《代码生成》表单中配置信息处进行填写。</t>
    <phoneticPr fontId="39" type="noConversion"/>
  </si>
  <si>
    <t>IOS基地址</t>
    <phoneticPr fontId="3" type="noConversion"/>
  </si>
  <si>
    <t>七、《IO Pad》
     表单介绍</t>
    <phoneticPr fontId="39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</si>
  <si>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</si>
  <si>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</si>
  <si>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39" type="noConversion"/>
  </si>
  <si>
    <t>Pad Name</t>
  </si>
  <si>
    <t>IO Direct</t>
  </si>
  <si>
    <t>Freq. max</t>
  </si>
  <si>
    <t>IO Foundry</t>
  </si>
  <si>
    <t>IO TYPE</t>
  </si>
  <si>
    <t>Drive</t>
  </si>
  <si>
    <t>表单信息</t>
    <phoneticPr fontId="39" type="noConversion"/>
  </si>
  <si>
    <t>含义</t>
    <phoneticPr fontId="39" type="noConversion"/>
  </si>
  <si>
    <t>管脚配置寄存器</t>
    <phoneticPr fontId="39" type="noConversion"/>
  </si>
  <si>
    <t>芯片内部上拉下
拉处理</t>
    <phoneticPr fontId="39" type="noConversion"/>
  </si>
  <si>
    <t>Buffer name</t>
    <phoneticPr fontId="39" type="noConversion"/>
  </si>
  <si>
    <t>Sig name</t>
  </si>
  <si>
    <t>Direct</t>
  </si>
  <si>
    <t>IOS_CTRL</t>
  </si>
  <si>
    <t>Freq</t>
  </si>
  <si>
    <t>Description</t>
  </si>
  <si>
    <t>含义及输入内容</t>
    <phoneticPr fontId="39" type="noConversion"/>
  </si>
  <si>
    <t>是否影响代码生成</t>
    <phoneticPr fontId="39" type="noConversion"/>
  </si>
  <si>
    <t>否</t>
    <phoneticPr fontId="39" type="noConversion"/>
  </si>
  <si>
    <t>是</t>
    <phoneticPr fontId="39" type="noConversion"/>
  </si>
  <si>
    <t>IOS_IOM_CTRL基地址-4'h4</t>
    <phoneticPr fontId="39" type="noConversion"/>
  </si>
  <si>
    <t>IOS_IOM_CTRL基地址</t>
    <phoneticPr fontId="39" type="noConversion"/>
  </si>
  <si>
    <t>表示芯片顶层代码例化PAD使用的Moudle名称，此处虽不涉及IO复用代码，但尽量要写的精确，以提高表单的精准度；</t>
    <phoneticPr fontId="39" type="noConversion"/>
  </si>
  <si>
    <t>用于填写芯片PAD的其它复用功能信息；</t>
    <phoneticPr fontId="39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</si>
  <si>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39" type="noConversion"/>
  </si>
  <si>
    <t>重要等级</t>
    <phoneticPr fontId="39" type="noConversion"/>
  </si>
  <si>
    <t>★</t>
  </si>
  <si>
    <t>★</t>
    <phoneticPr fontId="39" type="noConversion"/>
  </si>
  <si>
    <t>★★★</t>
    <phoneticPr fontId="39" type="noConversion"/>
  </si>
  <si>
    <t>★★★★★</t>
    <phoneticPr fontId="39" type="noConversion"/>
  </si>
  <si>
    <t>★★</t>
    <phoneticPr fontId="39" type="noConversion"/>
  </si>
  <si>
    <t>★★★★</t>
    <phoneticPr fontId="39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</si>
  <si>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</si>
  <si>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</si>
  <si>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</si>
  <si>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</si>
  <si>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</si>
  <si>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</si>
  <si>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</si>
  <si>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</si>
  <si>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</si>
  <si>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39" type="noConversion"/>
  </si>
  <si>
    <t>Three State ouput</t>
    <phoneticPr fontId="39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</si>
  <si>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39" type="noConversion"/>
  </si>
  <si>
    <t>no_ctrl</t>
    <phoneticPr fontId="39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</si>
  <si>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39" type="noConversion"/>
  </si>
  <si>
    <r>
      <t>I</t>
    </r>
    <r>
      <rPr>
        <b/>
        <sz val="12"/>
        <rFont val="宋体"/>
        <family val="3"/>
        <charset val="134"/>
      </rPr>
      <t>OS_CTRL</t>
    </r>
    <phoneticPr fontId="39" type="noConversion"/>
  </si>
  <si>
    <t>八、《特殊信号处理》表单介绍</t>
    <phoneticPr fontId="39" type="noConversion"/>
  </si>
  <si>
    <t>Alternative 
function (n)…..</t>
    <phoneticPr fontId="39" type="noConversion"/>
  </si>
  <si>
    <t xml:space="preserve">Main Function </t>
    <phoneticPr fontId="39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</si>
  <si>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39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</si>
  <si>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39" type="noConversion"/>
  </si>
  <si>
    <t>表2</t>
    <phoneticPr fontId="39" type="noConversion"/>
  </si>
  <si>
    <t>表3</t>
    <phoneticPr fontId="39" type="noConversion"/>
  </si>
  <si>
    <t>表1</t>
    <phoneticPr fontId="39" type="noConversion"/>
  </si>
  <si>
    <t>管脚上电默认状态</t>
    <phoneticPr fontId="39" type="noConversion"/>
  </si>
  <si>
    <t>管脚上电默认状态</t>
    <phoneticPr fontId="39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</si>
  <si>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39" type="noConversion"/>
  </si>
  <si>
    <t>说明</t>
    <phoneticPr fontId="39" type="noConversion"/>
  </si>
  <si>
    <t>同上</t>
    <phoneticPr fontId="39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</si>
  <si>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39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</si>
  <si>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9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</si>
  <si>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9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</si>
  <si>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39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</si>
  <si>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39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</si>
  <si>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9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</si>
  <si>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9" type="noConversion"/>
  </si>
  <si>
    <t>表4</t>
    <phoneticPr fontId="39" type="noConversion"/>
  </si>
  <si>
    <t>表5</t>
    <phoneticPr fontId="39" type="noConversion"/>
  </si>
  <si>
    <t>此列不用填写</t>
    <phoneticPr fontId="39" type="noConversion"/>
  </si>
  <si>
    <t>九、《代码生成》表单介绍</t>
    <phoneticPr fontId="39" type="noConversion"/>
  </si>
  <si>
    <t>表6</t>
    <phoneticPr fontId="39" type="noConversion"/>
  </si>
  <si>
    <t>按钮名称</t>
    <phoneticPr fontId="39" type="noConversion"/>
  </si>
  <si>
    <t>功能</t>
    <phoneticPr fontId="39" type="noConversion"/>
  </si>
  <si>
    <t>更新软硬件接口文档</t>
    <phoneticPr fontId="39" type="noConversion"/>
  </si>
  <si>
    <t>获取文件路径</t>
    <phoneticPr fontId="39" type="noConversion"/>
  </si>
  <si>
    <t>生成代码</t>
    <phoneticPr fontId="39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</si>
  <si>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39" type="noConversion"/>
  </si>
  <si>
    <t>根据《IO Pad》、《特殊信号处理》和《代码生成》表单的内容生成auto_ioshare.txt文档</t>
    <phoneticPr fontId="39" type="noConversion"/>
  </si>
  <si>
    <t>表7：配置信息</t>
    <phoneticPr fontId="35" type="noConversion"/>
  </si>
  <si>
    <t>配置信息</t>
    <phoneticPr fontId="39" type="noConversion"/>
  </si>
  <si>
    <t>接口类型</t>
    <phoneticPr fontId="39" type="noConversion"/>
  </si>
  <si>
    <t>下拉菜单可选；只能选择 SV interface或 Verilog两种；决定APB总线的代码类型；</t>
    <phoneticPr fontId="39" type="noConversion"/>
  </si>
  <si>
    <t>地址位宽</t>
    <phoneticPr fontId="39" type="noConversion"/>
  </si>
  <si>
    <t>数据位宽</t>
    <phoneticPr fontId="39" type="noConversion"/>
  </si>
  <si>
    <t>IOS代码APB总线的地址位宽；</t>
    <phoneticPr fontId="39" type="noConversion"/>
  </si>
  <si>
    <t>IOS_AF_CTRL基地址</t>
    <phoneticPr fontId="39" type="noConversion"/>
  </si>
  <si>
    <t>IOS_IOM_CTRL基地址</t>
    <phoneticPr fontId="39" type="noConversion"/>
  </si>
  <si>
    <t>用于确定IOS_AF_CTRL寄存器的基地址；注意位宽要与地址位宽保持相同；</t>
    <phoneticPr fontId="39" type="noConversion"/>
  </si>
  <si>
    <t>APB总线的数据位宽；通常为32bit；</t>
    <phoneticPr fontId="39" type="noConversion"/>
  </si>
  <si>
    <t>用于确定IOS_IOM_CTRL寄存器的基地址；注意位宽要与地址位宽保持相同；</t>
    <phoneticPr fontId="39" type="noConversion"/>
  </si>
  <si>
    <t>表8</t>
    <phoneticPr fontId="35" type="noConversion"/>
  </si>
  <si>
    <t>IO Foundry</t>
    <phoneticPr fontId="39" type="noConversion"/>
  </si>
  <si>
    <t>配置信息</t>
    <phoneticPr fontId="39" type="noConversion"/>
  </si>
  <si>
    <t>高bit位置</t>
    <phoneticPr fontId="39" type="noConversion"/>
  </si>
  <si>
    <t>高bit位置</t>
    <phoneticPr fontId="3" type="noConversion"/>
  </si>
  <si>
    <t>低bit位置</t>
    <phoneticPr fontId="3" type="noConversion"/>
  </si>
  <si>
    <t>低bit位置</t>
    <phoneticPr fontId="39" type="noConversion"/>
  </si>
  <si>
    <t>初始状态</t>
    <phoneticPr fontId="39" type="noConversion"/>
  </si>
  <si>
    <t>初始值</t>
    <phoneticPr fontId="39" type="noConversion"/>
  </si>
  <si>
    <t>禁止改动，只支持6种管脚上电默认状态，不支持个人定义及扩展；</t>
    <phoneticPr fontId="39" type="noConversion"/>
  </si>
  <si>
    <t>定义使用PAD的厂商，若增加，可按上表形式进行增加；</t>
    <phoneticPr fontId="39" type="noConversion"/>
  </si>
  <si>
    <t>寄存器类型</t>
    <phoneticPr fontId="39" type="noConversion"/>
  </si>
  <si>
    <t>IOS_MF_CTRL</t>
    <phoneticPr fontId="39" type="noConversion"/>
  </si>
  <si>
    <t>IOS_AF_CTRL</t>
    <phoneticPr fontId="39" type="noConversion"/>
  </si>
  <si>
    <t>`IOS_DATA_WIDTH{1'b1}</t>
    <phoneticPr fontId="39" type="noConversion"/>
  </si>
  <si>
    <t>IOS_IOM_CTRL</t>
    <phoneticPr fontId="39" type="noConversion"/>
  </si>
  <si>
    <t>`IOS_DATA_WIDTH{1'b0}</t>
    <phoneticPr fontId="39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</si>
  <si>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39" type="noConversion"/>
  </si>
  <si>
    <t>寄存器初值</t>
    <phoneticPr fontId="39" type="noConversion"/>
  </si>
  <si>
    <t>高bit位置</t>
    <phoneticPr fontId="3" type="noConversion"/>
  </si>
  <si>
    <t>SV interface</t>
  </si>
  <si>
    <t>九、注意事项</t>
    <phoneticPr fontId="39" type="noConversion"/>
  </si>
  <si>
    <t>pad_fuc_in/pad_fuc_sh_in</t>
    <phoneticPr fontId="39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</si>
  <si>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39" type="noConversion"/>
  </si>
  <si>
    <t>设计人员关注度</t>
    <phoneticPr fontId="39" type="noConversion"/>
  </si>
  <si>
    <t>4：可在同一个IO复用代码中支持多种Foundry 数字IO；</t>
    <phoneticPr fontId="39" type="noConversion"/>
  </si>
  <si>
    <t>是</t>
  </si>
  <si>
    <t>输入门控控制</t>
    <phoneticPr fontId="3" type="noConversion"/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</si>
  <si>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39" type="noConversion"/>
  </si>
  <si>
    <t>描述PAD供电电压及电压域；</t>
    <phoneticPr fontId="39" type="noConversion"/>
  </si>
  <si>
    <t>描述PAD是否出封装；
Y代表出Die和出封装，N表示不出封装但出Die;
空白表示不能确定，可用于初期排布电源、地或其它信号；</t>
    <phoneticPr fontId="39" type="noConversion"/>
  </si>
  <si>
    <t>描述PAD方向，IO Direct 是PAD的所有复用功能方向的并集；</t>
    <phoneticPr fontId="39" type="noConversion"/>
  </si>
  <si>
    <t>1：使用STD_CELL标准MUX单元去搭建IOSHARE(以下简称IOS)代码，并兼容代码的可读性和后续网表ECO性；</t>
    <phoneticPr fontId="39" type="noConversion"/>
  </si>
  <si>
    <t>描述PAD最大工作频率，Freq.max是PAD的所有复用功能频率的最大值；</t>
    <phoneticPr fontId="39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</si>
  <si>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39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</si>
  <si>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39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</si>
  <si>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39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</si>
  <si>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39" type="noConversion"/>
  </si>
  <si>
    <t>十、新增特性</t>
    <phoneticPr fontId="39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</si>
  <si>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</si>
  <si>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</si>
  <si>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</si>
  <si>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</si>
  <si>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</si>
  <si>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</si>
  <si>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</si>
  <si>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39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</si>
  <si>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39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</si>
  <si>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39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</si>
  <si>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39" type="noConversion"/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</si>
  <si>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39" type="noConversion"/>
  </si>
  <si>
    <t>描述顶层PAD名称，一般大写；
代码会根据此PAD名称，将其转换为小写，增加前后缀，作为与顶层的接口信号；eg:pad_(Pad Name)_in/sh_in/out/oe/cfg；</t>
    <phoneticPr fontId="39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</si>
  <si>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39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</si>
  <si>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39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</si>
  <si>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39" type="noConversion"/>
  </si>
  <si>
    <t>PAD真值表</t>
    <phoneticPr fontId="39" type="noConversion"/>
  </si>
  <si>
    <t>OUT</t>
    <phoneticPr fontId="39" type="noConversion"/>
  </si>
  <si>
    <t>OE</t>
    <phoneticPr fontId="39" type="noConversion"/>
  </si>
  <si>
    <t>PAD</t>
    <phoneticPr fontId="39" type="noConversion"/>
  </si>
  <si>
    <t>Z</t>
    <phoneticPr fontId="39" type="noConversion"/>
  </si>
  <si>
    <t>x/x</t>
    <phoneticPr fontId="39" type="noConversion"/>
  </si>
  <si>
    <t>x</t>
    <phoneticPr fontId="39" type="noConversion"/>
  </si>
  <si>
    <t>x表示0或1</t>
    <phoneticPr fontId="39" type="noConversion"/>
  </si>
  <si>
    <r>
      <t>P</t>
    </r>
    <r>
      <rPr>
        <sz val="12"/>
        <rFont val="宋体"/>
        <family val="3"/>
        <charset val="134"/>
      </rPr>
      <t>U/PD</t>
    </r>
    <phoneticPr fontId="39" type="noConversion"/>
  </si>
  <si>
    <r>
      <t>0</t>
    </r>
    <r>
      <rPr>
        <sz val="12"/>
        <rFont val="宋体"/>
        <family val="3"/>
        <charset val="134"/>
      </rPr>
      <t>/0</t>
    </r>
    <phoneticPr fontId="39" type="noConversion"/>
  </si>
  <si>
    <r>
      <t>x</t>
    </r>
    <r>
      <rPr>
        <sz val="12"/>
        <rFont val="宋体"/>
        <family val="3"/>
        <charset val="134"/>
      </rPr>
      <t>/x</t>
    </r>
    <phoneticPr fontId="39" type="noConversion"/>
  </si>
  <si>
    <r>
      <t>0</t>
    </r>
    <r>
      <rPr>
        <sz val="12"/>
        <rFont val="宋体"/>
        <family val="3"/>
        <charset val="134"/>
      </rPr>
      <t>/1</t>
    </r>
    <phoneticPr fontId="39" type="noConversion"/>
  </si>
  <si>
    <r>
      <t>1</t>
    </r>
    <r>
      <rPr>
        <sz val="12"/>
        <rFont val="宋体"/>
        <family val="3"/>
        <charset val="134"/>
      </rPr>
      <t>/0</t>
    </r>
    <phoneticPr fontId="39" type="noConversion"/>
  </si>
  <si>
    <t>internal PAD Pull-Down enable , PAD in input State</t>
    <phoneticPr fontId="39" type="noConversion"/>
  </si>
  <si>
    <t>internal PAD Pull-Up enable , PAD in input State</t>
    <phoneticPr fontId="39" type="noConversion"/>
  </si>
  <si>
    <t>internal PAD Pull-Down/Pull-Up disable , PAD in output  High-Z State</t>
    <phoneticPr fontId="39" type="noConversion"/>
  </si>
  <si>
    <t>internal PAD Pull-Down/Pull-Up disable , PAD in output High State</t>
    <phoneticPr fontId="39" type="noConversion"/>
  </si>
  <si>
    <t>internal PAD Pull-Down/Pull-Up disable , PAD  in output Low State</t>
    <phoneticPr fontId="39" type="noConversion"/>
  </si>
  <si>
    <t>结构图</t>
    <phoneticPr fontId="39" type="noConversion"/>
  </si>
  <si>
    <t>含义</t>
    <phoneticPr fontId="39" type="noConversion"/>
  </si>
  <si>
    <t>注1：管脚上电默认状态的OZ与功能方向的OZ含义不同；</t>
    <phoneticPr fontId="39" type="noConversion"/>
  </si>
  <si>
    <t>Packgae</t>
    <phoneticPr fontId="39" type="noConversion"/>
  </si>
  <si>
    <t>填写芯片封装信息</t>
    <phoneticPr fontId="39" type="noConversion"/>
  </si>
  <si>
    <t>后端同事</t>
    <phoneticPr fontId="39" type="noConversion"/>
  </si>
  <si>
    <t>Die</t>
    <phoneticPr fontId="39" type="noConversion"/>
  </si>
  <si>
    <t>填写芯片Die信息</t>
    <phoneticPr fontId="39" type="noConversion"/>
  </si>
  <si>
    <t>Performance</t>
    <phoneticPr fontId="39" type="noConversion"/>
  </si>
  <si>
    <t>填写芯片封装性能</t>
    <phoneticPr fontId="39" type="noConversion"/>
  </si>
  <si>
    <t>Y</t>
    <phoneticPr fontId="39" type="noConversion"/>
  </si>
  <si>
    <t>N</t>
    <phoneticPr fontId="39" type="noConversion"/>
  </si>
  <si>
    <t>设计及硬件同事共同确认</t>
    <phoneticPr fontId="39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</si>
  <si>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39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</si>
  <si>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39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</si>
  <si>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39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</si>
  <si>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39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</si>
  <si>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39" type="noConversion"/>
  </si>
  <si>
    <t>《代码生成》表单实现了最终代码产生的方式及一些代码全局配置信息；</t>
    <phoneticPr fontId="39" type="noConversion"/>
  </si>
  <si>
    <t>目前已经不支持，所有人员共同使用IO Pad 表单</t>
    <phoneticPr fontId="39" type="noConversion"/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</si>
  <si>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39" type="noConversion"/>
  </si>
  <si>
    <t>用于根据PAD的上电默认状态确定IOM_CTRL初值，具体初值需要根据PAD的类型确定，初值的推荐原则请参考表1；</t>
    <phoneticPr fontId="39" type="noConversion"/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</si>
  <si>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39" type="noConversion"/>
  </si>
  <si>
    <t>定义属性在IOM_CTRL的高bit起始位置；如果是1bit信号，高bit位置等于低bit位置；</t>
    <phoneticPr fontId="39" type="noConversion"/>
  </si>
  <si>
    <t>定义属性在IOM_CTRL的低bit起始位置；如果是1bit信号，低bit位置等于高bit位置；</t>
    <phoneticPr fontId="39" type="noConversion"/>
  </si>
  <si>
    <t>CLKIN_SLEEP</t>
  </si>
  <si>
    <t>IOM_CTRL1</t>
  </si>
  <si>
    <t>IOM_CTRL4</t>
  </si>
  <si>
    <t>IOM_CTRL5</t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</si>
  <si>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39" type="noConversion"/>
  </si>
  <si>
    <t>pull-up control</t>
  </si>
  <si>
    <t>HISI4D</t>
  </si>
  <si>
    <t>1.8VD(P3)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</si>
  <si>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39" type="noConversion"/>
  </si>
  <si>
    <t>IOM_CTRL12</t>
  </si>
  <si>
    <t>IOM_CTRL16</t>
  </si>
  <si>
    <t>GPIO_0_12</t>
  </si>
  <si>
    <t>gpio0[4]</t>
  </si>
  <si>
    <t>gpio0[5]</t>
  </si>
  <si>
    <t>gpio0[9]</t>
  </si>
  <si>
    <t>gpio0[21]</t>
  </si>
  <si>
    <t>gpio0[22]</t>
  </si>
  <si>
    <t>gpio0[23]</t>
  </si>
  <si>
    <t>gpio0[24]</t>
  </si>
  <si>
    <t xml:space="preserve"> </t>
    <phoneticPr fontId="38" type="noConversion"/>
  </si>
  <si>
    <t>时钟自动门控使能信号</t>
    <phoneticPr fontId="39" type="noConversion"/>
  </si>
  <si>
    <t>PDDUKW4DS_V_HI</t>
  </si>
  <si>
    <t>PDDUKW4D_V_HI</t>
  </si>
  <si>
    <t>OT</t>
    <phoneticPr fontId="39" type="noConversion"/>
  </si>
  <si>
    <t>OT</t>
  </si>
  <si>
    <t>IOM_CTRL2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</si>
  <si>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</si>
  <si>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39" type="noConversion"/>
  </si>
  <si>
    <t>fuc_ctrlN_n:ios_m(a)f_ctrlX[x]:Dv</t>
    <phoneticPr fontId="39" type="noConversion"/>
  </si>
  <si>
    <t>Alternative function (1)</t>
  </si>
  <si>
    <t>Alternative function (2)</t>
  </si>
  <si>
    <t>Alternative function (3)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</si>
  <si>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39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</si>
  <si>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39" type="noConversion"/>
  </si>
  <si>
    <t>internal PAD Pull-Down/Pull-Up disable , PAD  in input State</t>
    <phoneticPr fontId="39" type="noConversion"/>
  </si>
  <si>
    <t>mmc1_data[1]</t>
  </si>
  <si>
    <t>mmc1_data[2]</t>
  </si>
  <si>
    <t>mmc1_data[3]</t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</si>
  <si>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39" type="noConversion"/>
  </si>
  <si>
    <t>GPIO_0_16</t>
  </si>
  <si>
    <t>GPIO_0_17</t>
  </si>
  <si>
    <t>GPIO_0_18</t>
  </si>
  <si>
    <t>GPIO_0_19</t>
  </si>
  <si>
    <t>GPIO_0_21</t>
  </si>
  <si>
    <t>GPIO_0_22</t>
  </si>
  <si>
    <t>GPIO_0_23</t>
  </si>
  <si>
    <t>GPIO_0_24</t>
  </si>
  <si>
    <t>gpio0[16]</t>
  </si>
  <si>
    <t>gpio0[17]</t>
  </si>
  <si>
    <t>gpio0[18]</t>
  </si>
  <si>
    <t>gpio0[19]</t>
  </si>
  <si>
    <t>gpio0[20]</t>
  </si>
  <si>
    <t>IOM_CTRL3</t>
  </si>
  <si>
    <t>usim0_ctrl1_1:ios_mf_ctrl1[0]:D0</t>
  </si>
  <si>
    <t>12'hD00</t>
    <phoneticPr fontId="3" type="noConversion"/>
  </si>
  <si>
    <t>0x90010000</t>
    <phoneticPr fontId="3" type="noConversion"/>
  </si>
  <si>
    <t>GPIO_0_11</t>
  </si>
  <si>
    <t>IOS_ADDR_WIDTH{1'b1}-4'h4</t>
    <phoneticPr fontId="39" type="noConversion"/>
  </si>
  <si>
    <r>
      <t>1</t>
    </r>
    <r>
      <rPr>
        <sz val="12"/>
        <rFont val="宋体"/>
        <family val="3"/>
        <charset val="134"/>
      </rPr>
      <t>011 1111 1111</t>
    </r>
    <phoneticPr fontId="39" type="noConversion"/>
  </si>
  <si>
    <r>
      <t>1</t>
    </r>
    <r>
      <rPr>
        <sz val="12"/>
        <rFont val="宋体"/>
        <family val="3"/>
        <charset val="134"/>
      </rPr>
      <t>100 0000 0000</t>
    </r>
    <phoneticPr fontId="39" type="noConversion"/>
  </si>
  <si>
    <t>N</t>
  </si>
  <si>
    <t>12'hC70</t>
    <phoneticPr fontId="3" type="noConversion"/>
  </si>
  <si>
    <t>0x90010000</t>
    <phoneticPr fontId="3" type="noConversion"/>
  </si>
  <si>
    <r>
      <t xml:space="preserve">王润泽 </t>
    </r>
    <r>
      <rPr>
        <sz val="12"/>
        <rFont val="宋体"/>
        <family val="3"/>
        <charset val="134"/>
      </rPr>
      <t>00126104</t>
    </r>
    <phoneticPr fontId="3" type="noConversion"/>
  </si>
  <si>
    <t>SDIO、MMC1_FB_CLK挪至ao；GSBI合入GPIO</t>
    <phoneticPr fontId="3" type="noConversion"/>
  </si>
  <si>
    <t>P3</t>
    <phoneticPr fontId="3" type="noConversion"/>
  </si>
  <si>
    <t>ABB</t>
    <phoneticPr fontId="3" type="noConversion"/>
  </si>
  <si>
    <t>1.8V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</si>
  <si>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</si>
  <si>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1.3V/1.8V</t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</si>
  <si>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</si>
  <si>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</si>
  <si>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</si>
  <si>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GPIO(8)</t>
    <phoneticPr fontId="3" type="noConversion"/>
  </si>
  <si>
    <t>CH1_RF(5)/ET_MODE</t>
    <phoneticPr fontId="3" type="noConversion"/>
  </si>
  <si>
    <t>GPIO(5)</t>
    <phoneticPr fontId="3" type="noConversion"/>
  </si>
  <si>
    <t>NAND(22)</t>
    <phoneticPr fontId="3" type="noConversion"/>
  </si>
  <si>
    <t>GPIO(6)</t>
    <phoneticPr fontId="3" type="noConversion"/>
  </si>
  <si>
    <t>PCIE</t>
    <phoneticPr fontId="3" type="noConversion"/>
  </si>
  <si>
    <t>SSP0(5)</t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</si>
  <si>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</si>
  <si>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</si>
  <si>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</si>
  <si>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</si>
  <si>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</si>
  <si>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</si>
  <si>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</si>
  <si>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</si>
  <si>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1.2V</t>
    <phoneticPr fontId="3" type="noConversion"/>
  </si>
  <si>
    <t>LPDDR2</t>
    <phoneticPr fontId="3" type="noConversion"/>
  </si>
  <si>
    <t>LEFT</t>
    <phoneticPr fontId="3" type="noConversion"/>
  </si>
  <si>
    <t>RIGHT</t>
    <phoneticPr fontId="3" type="noConversion"/>
  </si>
  <si>
    <t>CH0_RF(5)/ET_MODE</t>
    <phoneticPr fontId="3" type="noConversion"/>
  </si>
  <si>
    <t>WIFI共存（6）</t>
    <phoneticPr fontId="3" type="noConversion"/>
  </si>
  <si>
    <t>P1-0</t>
    <phoneticPr fontId="3" type="noConversion"/>
  </si>
  <si>
    <t>GPIO(28)</t>
    <phoneticPr fontId="3" type="noConversion"/>
  </si>
  <si>
    <t>ANTPA_SEL(28)</t>
    <phoneticPr fontId="3" type="noConversion"/>
  </si>
  <si>
    <t>1.8V</t>
  </si>
  <si>
    <t>GPIO(19)</t>
    <phoneticPr fontId="3" type="noConversion"/>
  </si>
  <si>
    <t>PTM(9)/SPI(5)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</si>
  <si>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3" type="noConversion"/>
  </si>
  <si>
    <t>GPIO(7)</t>
    <phoneticPr fontId="3" type="noConversion"/>
  </si>
  <si>
    <t>JTAG0(6)</t>
    <phoneticPr fontId="3" type="noConversion"/>
  </si>
  <si>
    <t>BOTTOM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</si>
  <si>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</si>
  <si>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r>
      <t>P</t>
    </r>
    <r>
      <rPr>
        <sz val="12"/>
        <rFont val="宋体"/>
        <family val="3"/>
        <charset val="134"/>
      </rPr>
      <t>MU(7)</t>
    </r>
    <phoneticPr fontId="3" type="noConversion"/>
  </si>
  <si>
    <t>USIM0(3)</t>
    <phoneticPr fontId="3" type="noConversion"/>
  </si>
  <si>
    <t>UART(2)</t>
    <phoneticPr fontId="3" type="noConversion"/>
  </si>
  <si>
    <t>GSBI(3)</t>
    <phoneticPr fontId="3" type="noConversion"/>
  </si>
  <si>
    <t>gpio(14)</t>
    <phoneticPr fontId="3" type="noConversion"/>
  </si>
  <si>
    <t>AFC_PDM(2)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</si>
  <si>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</si>
  <si>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PMU(6)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</si>
  <si>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</si>
  <si>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USB30(10)</t>
    <phoneticPr fontId="3" type="noConversion"/>
  </si>
  <si>
    <t>GPIO(3)</t>
    <phoneticPr fontId="3" type="noConversion"/>
  </si>
  <si>
    <t>GPIO(2)</t>
    <phoneticPr fontId="3" type="noConversion"/>
  </si>
  <si>
    <t>USIM1</t>
    <phoneticPr fontId="3" type="noConversion"/>
  </si>
  <si>
    <t>MMC1/19p2</t>
    <phoneticPr fontId="3" type="noConversion"/>
  </si>
  <si>
    <t>GPIO(2)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</si>
  <si>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</si>
  <si>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JTAG1(6)</t>
    <phoneticPr fontId="3" type="noConversion"/>
  </si>
  <si>
    <t>PTM(8)</t>
    <phoneticPr fontId="3" type="noConversion"/>
  </si>
  <si>
    <t>AFC_PDM(2)</t>
    <phoneticPr fontId="3" type="noConversion"/>
  </si>
  <si>
    <t>PCM(4)</t>
    <phoneticPr fontId="3" type="noConversion"/>
  </si>
  <si>
    <t>SDIO/SOC_MIPI</t>
    <phoneticPr fontId="3" type="noConversion"/>
  </si>
  <si>
    <t>GPIO(6)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</si>
  <si>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</si>
  <si>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</si>
  <si>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</si>
  <si>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t>1.8V/3.0V</t>
    <phoneticPr fontId="3" type="noConversion"/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</si>
  <si>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</si>
  <si>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</si>
  <si>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</si>
  <si>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</si>
  <si>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USB+ABB</t>
    <phoneticPr fontId="3" type="noConversion"/>
  </si>
  <si>
    <t>alwayson 31</t>
    <phoneticPr fontId="3" type="noConversion"/>
  </si>
  <si>
    <t>P3</t>
    <phoneticPr fontId="3" type="noConversion"/>
  </si>
  <si>
    <r>
      <t xml:space="preserve">王润泽 </t>
    </r>
    <r>
      <rPr>
        <sz val="12"/>
        <rFont val="宋体"/>
        <family val="3"/>
        <charset val="134"/>
      </rPr>
      <t>00126104</t>
    </r>
    <phoneticPr fontId="3" type="noConversion"/>
  </si>
  <si>
    <t>信号数量统计</t>
    <phoneticPr fontId="3" type="noConversion"/>
  </si>
  <si>
    <t>电压域</t>
    <phoneticPr fontId="49" type="noConversion"/>
  </si>
  <si>
    <t>描述</t>
    <phoneticPr fontId="49" type="noConversion"/>
  </si>
  <si>
    <t>电压</t>
    <phoneticPr fontId="49" type="noConversion"/>
  </si>
  <si>
    <t>是否验证</t>
    <phoneticPr fontId="49" type="noConversion"/>
  </si>
  <si>
    <t>备注</t>
    <phoneticPr fontId="49" type="noConversion"/>
  </si>
  <si>
    <t>P3</t>
    <phoneticPr fontId="49" type="noConversion"/>
  </si>
  <si>
    <t>数字IO POST VDD</t>
    <phoneticPr fontId="49" type="noConversion"/>
  </si>
  <si>
    <r>
      <t>1.8</t>
    </r>
    <r>
      <rPr>
        <sz val="12"/>
        <rFont val="宋体"/>
        <family val="3"/>
        <charset val="134"/>
      </rPr>
      <t>V</t>
    </r>
    <phoneticPr fontId="49" type="noConversion"/>
  </si>
  <si>
    <t>core VDD 0.9V，LDO供电</t>
    <phoneticPr fontId="3" type="noConversion"/>
  </si>
  <si>
    <t>ch0_tx_data[0]</t>
  </si>
  <si>
    <t>ch0_tx_data[1]</t>
  </si>
  <si>
    <t>ch0_tx_data[2]</t>
  </si>
  <si>
    <t>ch0_tx_data[3]</t>
  </si>
  <si>
    <t>ch0_tx_data[4]</t>
  </si>
  <si>
    <t>ch0_tx_data[5]</t>
  </si>
  <si>
    <t>ch0_tx_data[6]</t>
  </si>
  <si>
    <t>CC库版本6：
AFC_PDM挪入ao域；修改复用debug信号管脚的最高频率为功能最高频率</t>
    <phoneticPr fontId="3" type="noConversion"/>
  </si>
  <si>
    <t>12'hD00</t>
    <phoneticPr fontId="3" type="noConversion"/>
  </si>
  <si>
    <t>12'hE00</t>
    <phoneticPr fontId="3" type="noConversion"/>
  </si>
  <si>
    <t>19.2MHz</t>
  </si>
  <si>
    <t>IOM_CTRL27</t>
  </si>
  <si>
    <t>IOM_CTRL28</t>
  </si>
  <si>
    <t>IOM_CTRL29</t>
  </si>
  <si>
    <t>gpio0[3]</t>
  </si>
  <si>
    <t>gpio0[6]</t>
  </si>
  <si>
    <t>gpio0_3_ctrl1_1:ios_af_ctrl0[3]:D0</t>
  </si>
  <si>
    <t>gpio0_0_ctrl1_1:ios_af_ctrl0[0]:D0</t>
  </si>
  <si>
    <t>gpio0[8]</t>
  </si>
  <si>
    <t>gpio0[25]</t>
  </si>
  <si>
    <t>GPIO_0_25</t>
  </si>
  <si>
    <t>pmu_auxdac1_ssi_ctrl1_1:ios_af_ctrl0[1]:D0</t>
  </si>
  <si>
    <t>gpio0_2_ctrl1_1:ios_af_ctrl0[2]:D0</t>
  </si>
  <si>
    <t>gpio0_4_ctrl1_1:ios_af_ctrl0[4]:D0</t>
  </si>
  <si>
    <t>gpio0_5_ctrl1_1:ios_af_ctrl0[5]:D0</t>
  </si>
  <si>
    <t>gpio0_6_ctrl1_1:ios_af_ctrl0[6]:D0</t>
  </si>
  <si>
    <t>mmc1_clk_ctrl1_1:ios_af_ctrl5[0]:D0</t>
  </si>
  <si>
    <t>mmc1_ctrl1_1:ios_af_ctrl5[1]:D1</t>
  </si>
  <si>
    <t>sdio_clk_ctrl1_1:ios_af_ctrl5[2]:D0</t>
  </si>
  <si>
    <t>sdio_ctrl1_1:ios_af_ctrl5[3]:D1</t>
  </si>
  <si>
    <t>TSMC_SD3P0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</si>
  <si>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</si>
  <si>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</si>
  <si>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8'h40</t>
    <phoneticPr fontId="3" type="noConversion"/>
  </si>
  <si>
    <t>PU</t>
    <phoneticPr fontId="3" type="noConversion"/>
  </si>
  <si>
    <t>8'h20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</si>
  <si>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</si>
  <si>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</si>
  <si>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8'h0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</si>
  <si>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</si>
  <si>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</si>
  <si>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SL</t>
    <phoneticPr fontId="3" type="noConversion"/>
  </si>
  <si>
    <t>OH</t>
    <phoneticPr fontId="3" type="noConversion"/>
  </si>
  <si>
    <t>8'h80</t>
    <phoneticPr fontId="3" type="noConversion"/>
  </si>
  <si>
    <t>ST</t>
    <phoneticPr fontId="3" type="noConversion"/>
  </si>
  <si>
    <t>OL</t>
    <phoneticPr fontId="3" type="noConversion"/>
  </si>
  <si>
    <t>HISI4D_RET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</si>
  <si>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</si>
  <si>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</si>
  <si>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6'h10</t>
    <phoneticPr fontId="3" type="noConversion"/>
  </si>
  <si>
    <t>PU</t>
    <phoneticPr fontId="3" type="noConversion"/>
  </si>
  <si>
    <t>6'h8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</si>
  <si>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</si>
  <si>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</si>
  <si>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6'h0</t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</si>
  <si>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</si>
  <si>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</si>
  <si>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SR</t>
    <phoneticPr fontId="3" type="noConversion"/>
  </si>
  <si>
    <t>6'h20</t>
    <phoneticPr fontId="3" type="noConversion"/>
  </si>
  <si>
    <t>CC库版本7：
增加一列，标注Die是否出Pillar；调整PMU信号顺序；修改MMC1和SDIO的最高频率；调整USIM1信号顺序与USIM0相同；19.2MHz时钟挪到掉电域；AFC_PDM IO从AO域调回PD域；8线串口信号放入PD；修改ao和iom寄存器的基地址；PMU从PD挪到AO；3个GPIO从AO挪至PD；GPIO不复用WIFI共存；根据硬件命名需求，将PAD名称GPIO_X_X统一改为GPIO_X_XX；8线UART是UART1的扩展，修改8线相关信号名字为uart1_*；</t>
    <phoneticPr fontId="3" type="noConversion"/>
  </si>
  <si>
    <t>IOS_MF_CTRL基地址</t>
    <phoneticPr fontId="3" type="noConversion"/>
  </si>
  <si>
    <t>12'hC00</t>
    <phoneticPr fontId="3" type="noConversion"/>
  </si>
  <si>
    <t>abb_ate_mode_ctrl1_1:ios_af_ctrl63[0]:D0</t>
  </si>
  <si>
    <t>NA_CTRL</t>
  </si>
  <si>
    <t>no_ctrl</t>
  </si>
  <si>
    <t>CC库版本8：
HSIC从PD域挪至AO域；</t>
    <phoneticPr fontId="3" type="noConversion"/>
  </si>
  <si>
    <t>ch1_rxa_data[6]</t>
  </si>
  <si>
    <t>ch1_rxa_data[5]</t>
  </si>
  <si>
    <t>ch1_rxa_data[4]</t>
  </si>
  <si>
    <t>ch1_rxa_data[3]</t>
  </si>
  <si>
    <t>ch1_rxa_data[2]</t>
  </si>
  <si>
    <t>ch1_rxa_data[1]</t>
  </si>
  <si>
    <t>ch1_rxa_data[0]</t>
  </si>
  <si>
    <t>ch1_rxa_data[9]</t>
  </si>
  <si>
    <t>ch1_rxa_data[8]</t>
  </si>
  <si>
    <t>ch1_rxa_data[7]</t>
  </si>
  <si>
    <t>ch1_rxa_data[12]</t>
  </si>
  <si>
    <t>ch1_rxa_data[11]</t>
  </si>
  <si>
    <t>ch1_rxa_data[10]</t>
  </si>
  <si>
    <t>ch1_rxa_data[13]</t>
  </si>
  <si>
    <t>ch0_line_ctrl_mode[2]</t>
  </si>
  <si>
    <t>ch0_line_ctrl_mode[1]</t>
  </si>
  <si>
    <t>徐华春</t>
    <phoneticPr fontId="3" type="noConversion"/>
  </si>
  <si>
    <t>宋占坤</t>
    <phoneticPr fontId="3" type="noConversion"/>
  </si>
  <si>
    <t>P4</t>
    <phoneticPr fontId="49" type="noConversion"/>
  </si>
  <si>
    <r>
      <t>HSIC</t>
    </r>
    <r>
      <rPr>
        <sz val="12"/>
        <rFont val="宋体"/>
        <family val="3"/>
        <charset val="134"/>
      </rPr>
      <t xml:space="preserve"> IO</t>
    </r>
    <phoneticPr fontId="49" type="noConversion"/>
  </si>
  <si>
    <t>0.9/1.2</t>
    <phoneticPr fontId="3" type="noConversion"/>
  </si>
  <si>
    <r>
      <t>P</t>
    </r>
    <r>
      <rPr>
        <sz val="12"/>
        <rFont val="宋体"/>
        <family val="3"/>
        <charset val="134"/>
      </rPr>
      <t>530</t>
    </r>
    <phoneticPr fontId="49" type="noConversion"/>
  </si>
  <si>
    <t>CC库版本9：
增加ABB ATE测试信号et2abb_et_mode_sel</t>
    <phoneticPr fontId="3" type="noConversion"/>
  </si>
  <si>
    <t>宋占坤</t>
    <phoneticPr fontId="3" type="noConversion"/>
  </si>
  <si>
    <t>王少华</t>
    <phoneticPr fontId="3" type="noConversion"/>
  </si>
  <si>
    <t>单封</t>
    <phoneticPr fontId="3" type="noConversion"/>
  </si>
  <si>
    <t>合封</t>
    <phoneticPr fontId="3" type="noConversion"/>
  </si>
  <si>
    <t>1MHz</t>
  </si>
  <si>
    <t>24MHz</t>
  </si>
  <si>
    <t>122.88MHz</t>
  </si>
  <si>
    <t>200MHz</t>
  </si>
  <si>
    <t>26MHz</t>
  </si>
  <si>
    <t>DVDD18_3</t>
  </si>
  <si>
    <t>DVDD18_4</t>
  </si>
  <si>
    <t>DVDD18_5</t>
  </si>
  <si>
    <t>CC库版本10：
1、auxdac接口方向由B改为DO
2、JTAG_DFT_MODE从PD挪至AO
3、ABB ATE测试信号调整，将ch1_rx_clk/vld从PD挪到AO
4、表格加入Powfer&amp;Gnd项</t>
    <phoneticPr fontId="3" type="noConversion"/>
  </si>
  <si>
    <t>sdio_clk</t>
    <phoneticPr fontId="38" type="noConversion"/>
  </si>
  <si>
    <t>GPIO_0_20</t>
  </si>
  <si>
    <t>IOM_CTRL30</t>
  </si>
  <si>
    <t>OZ</t>
  </si>
  <si>
    <r>
      <t xml:space="preserve">王润泽 </t>
    </r>
    <r>
      <rPr>
        <sz val="12"/>
        <rFont val="宋体"/>
        <family val="3"/>
        <charset val="134"/>
      </rPr>
      <t>00126104</t>
    </r>
    <r>
      <rPr>
        <sz val="11"/>
        <color theme="1"/>
        <rFont val="宋体"/>
        <family val="2"/>
        <charset val="134"/>
        <scheme val="minor"/>
      </rPr>
      <t/>
    </r>
  </si>
  <si>
    <t>CC库版本11：
1、增加sdio DFT特殊处理
2、MMC1_CLK_FB_OUT输出使能寄存器可控
3、RSTOUT_N上电默认状态改为OZ</t>
    <phoneticPr fontId="3" type="noConversion"/>
  </si>
  <si>
    <t>CC库版本12：
1、更新Power&amp;Gnd</t>
    <phoneticPr fontId="3" type="noConversion"/>
  </si>
  <si>
    <t>Voltage</t>
    <phoneticPr fontId="3" type="noConversion"/>
  </si>
  <si>
    <r>
      <t>PKG</t>
    </r>
    <r>
      <rPr>
        <sz val="12"/>
        <rFont val="宋体"/>
        <family val="3"/>
        <charset val="134"/>
      </rPr>
      <t>单封</t>
    </r>
    <phoneticPr fontId="3" type="noConversion"/>
  </si>
  <si>
    <r>
      <t>PKG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</si>
  <si>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</si>
  <si>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</si>
  <si>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Pad Name</t>
    <phoneticPr fontId="3" type="noConversion"/>
  </si>
  <si>
    <t>IO Direct</t>
    <phoneticPr fontId="3" type="noConversion"/>
  </si>
  <si>
    <t>Freq. max</t>
    <phoneticPr fontId="3" type="noConversion"/>
  </si>
  <si>
    <t>IO Foundry</t>
    <phoneticPr fontId="3" type="noConversion"/>
  </si>
  <si>
    <t>IO TYPE</t>
    <phoneticPr fontId="3" type="noConversion"/>
  </si>
  <si>
    <t>Drive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</si>
  <si>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</si>
  <si>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</si>
  <si>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</si>
  <si>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</si>
  <si>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comment</t>
    <phoneticPr fontId="3" type="noConversion"/>
  </si>
  <si>
    <t>芯片确认人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</si>
  <si>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</si>
  <si>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</si>
  <si>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</si>
  <si>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</si>
  <si>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</si>
  <si>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</si>
  <si>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</si>
  <si>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Sig name</t>
    <phoneticPr fontId="3" type="noConversion"/>
  </si>
  <si>
    <t>Description</t>
    <phoneticPr fontId="3" type="noConversion"/>
  </si>
  <si>
    <t>PMU(13个pin)</t>
    <phoneticPr fontId="3" type="noConversion"/>
  </si>
  <si>
    <t>1.8VD(P3)</t>
    <phoneticPr fontId="3" type="noConversion"/>
  </si>
  <si>
    <t>32.768KHz</t>
    <phoneticPr fontId="3" type="noConversion"/>
  </si>
  <si>
    <t>HISI4D</t>
    <phoneticPr fontId="3" type="noConversion"/>
  </si>
  <si>
    <t>NA_CTRL</t>
    <phoneticPr fontId="3" type="noConversion"/>
  </si>
  <si>
    <t>no_ctrl</t>
    <phoneticPr fontId="3" type="noConversion"/>
  </si>
  <si>
    <t>32.768KHz</t>
    <phoneticPr fontId="3" type="noConversion"/>
  </si>
  <si>
    <r>
      <t>PMU</t>
    </r>
    <r>
      <rPr>
        <sz val="10"/>
        <rFont val="宋体"/>
        <family val="3"/>
        <charset val="134"/>
      </rPr>
      <t>接口信号</t>
    </r>
    <r>
      <rPr>
        <sz val="10"/>
        <rFont val="Arial"/>
        <family val="2"/>
      </rPr>
      <t>32.768KHz</t>
    </r>
    <r>
      <rPr>
        <sz val="10"/>
        <rFont val="宋体"/>
        <family val="3"/>
        <charset val="134"/>
      </rPr>
      <t>睡眠数字时钟输入</t>
    </r>
    <phoneticPr fontId="3" type="noConversion"/>
  </si>
  <si>
    <t>王少华</t>
    <phoneticPr fontId="3" type="noConversion"/>
  </si>
  <si>
    <t>确认</t>
    <phoneticPr fontId="3" type="noConversion"/>
  </si>
  <si>
    <t>宋占坤</t>
    <phoneticPr fontId="3" type="noConversion"/>
  </si>
  <si>
    <t>确认</t>
    <phoneticPr fontId="3" type="noConversion"/>
  </si>
  <si>
    <t>RSTIN_N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</si>
  <si>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的复位信号</t>
    </r>
    <phoneticPr fontId="3" type="noConversion"/>
  </si>
  <si>
    <t>1.8VD(P3)</t>
    <phoneticPr fontId="3" type="noConversion"/>
  </si>
  <si>
    <t>RSTOUT_N</t>
    <phoneticPr fontId="3" type="noConversion"/>
  </si>
  <si>
    <t>HISI4D</t>
    <phoneticPr fontId="3" type="noConversion"/>
  </si>
  <si>
    <t>IOM_CTRL0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</si>
  <si>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的复位信号，用于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复位自身</t>
    </r>
    <r>
      <rPr>
        <sz val="10"/>
        <rFont val="Arial"/>
        <family val="2"/>
      </rPr>
      <t>,open drain</t>
    </r>
    <r>
      <rPr>
        <sz val="10"/>
        <rFont val="宋体"/>
        <family val="3"/>
        <charset val="134"/>
      </rPr>
      <t>输出</t>
    </r>
    <phoneticPr fontId="3" type="noConversion"/>
  </si>
  <si>
    <t>PMU_IRQ_N</t>
    <phoneticPr fontId="3" type="noConversion"/>
  </si>
  <si>
    <t>24MHz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</si>
  <si>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中断信号</t>
    </r>
    <phoneticPr fontId="3" type="noConversion"/>
  </si>
  <si>
    <t>et2abb_et_mode_sel</t>
    <phoneticPr fontId="3" type="noConversion"/>
  </si>
  <si>
    <t>abb_ate_mode_ctrl1_1:ios_af_ctrl63[0]:D0</t>
    <phoneticPr fontId="3" type="noConversion"/>
  </si>
  <si>
    <t>PMU_SSI</t>
    <phoneticPr fontId="49" type="noConversion"/>
  </si>
  <si>
    <t>122.88MHz</t>
    <phoneticPr fontId="3" type="noConversion"/>
  </si>
  <si>
    <t>pmu_ssi_ctrl1_1:ios_mf_ctrl0[0]:D0</t>
    <phoneticPr fontId="3" type="noConversion"/>
  </si>
  <si>
    <t>ch1_rx_clk</t>
    <phoneticPr fontId="3" type="noConversion"/>
  </si>
  <si>
    <t>PMU_HKADC_SSI</t>
    <phoneticPr fontId="49" type="noConversion"/>
  </si>
  <si>
    <t>pmu_hkadc_ssi_ctrl1_1:ios_mf_ctrl0[1]:D0</t>
    <phoneticPr fontId="3" type="noConversion"/>
  </si>
  <si>
    <t>ch1_rx_vld</t>
    <phoneticPr fontId="3" type="noConversion"/>
  </si>
  <si>
    <t>PMU_AUXDAC0_SSI</t>
    <phoneticPr fontId="49" type="noConversion"/>
  </si>
  <si>
    <t>pmu_auxdac0_ssi_ctrl1_1:ios_mf_ctrl0[2]:D0</t>
    <phoneticPr fontId="3" type="noConversion"/>
  </si>
  <si>
    <t>gpio0[0]</t>
    <phoneticPr fontId="3" type="noConversion"/>
  </si>
  <si>
    <t>GPIO_0_01</t>
    <phoneticPr fontId="49" type="noConversion"/>
  </si>
  <si>
    <t>gpio0[1]</t>
    <phoneticPr fontId="3" type="noConversion"/>
  </si>
  <si>
    <t>gpio0_1_ctrl1_1:ios_mf_ctrl0[3]:D0</t>
    <phoneticPr fontId="3" type="noConversion"/>
  </si>
  <si>
    <t>pmu_auxdac1_ssi</t>
    <phoneticPr fontId="49" type="noConversion"/>
  </si>
  <si>
    <t>PMU_SSI_CLK</t>
    <phoneticPr fontId="3" type="noConversion"/>
  </si>
  <si>
    <t>pmu_ssi_clk_ctrl1_1:ios_mf_ctrl0[4]:D0</t>
    <phoneticPr fontId="3" type="noConversion"/>
  </si>
  <si>
    <t>gpio0[2]</t>
    <phoneticPr fontId="49" type="noConversion"/>
  </si>
  <si>
    <t>CH0_TCXO_EN</t>
    <phoneticPr fontId="3" type="noConversion"/>
  </si>
  <si>
    <t>ch0_tcxo_en_ctrl1_1:ios_mf_ctrl0[5]:D0</t>
    <phoneticPr fontId="3" type="noConversion"/>
  </si>
  <si>
    <r>
      <t>PMU</t>
    </r>
    <r>
      <rPr>
        <sz val="10"/>
        <rFont val="宋体"/>
        <family val="3"/>
        <charset val="134"/>
      </rPr>
      <t>接口信号，用于使能</t>
    </r>
    <r>
      <rPr>
        <sz val="10"/>
        <rFont val="Arial"/>
        <family val="2"/>
      </rPr>
      <t>CH0 TCXO</t>
    </r>
    <r>
      <rPr>
        <sz val="10"/>
        <rFont val="宋体"/>
        <family val="3"/>
        <charset val="134"/>
      </rPr>
      <t>的供电</t>
    </r>
    <phoneticPr fontId="3" type="noConversion"/>
  </si>
  <si>
    <t>CH1_TCXO_EN</t>
    <phoneticPr fontId="3" type="noConversion"/>
  </si>
  <si>
    <t>ch1_tcxo_en_ctrl1_1:ios_mf_ctrl0[6]:D0</t>
    <phoneticPr fontId="3" type="noConversion"/>
  </si>
  <si>
    <r>
      <t>PMU</t>
    </r>
    <r>
      <rPr>
        <sz val="10"/>
        <rFont val="宋体"/>
        <family val="3"/>
        <charset val="134"/>
      </rPr>
      <t>接口信号，用于使能</t>
    </r>
    <r>
      <rPr>
        <sz val="10"/>
        <rFont val="Arial"/>
        <family val="2"/>
      </rPr>
      <t>CH1 TCXO</t>
    </r>
    <r>
      <rPr>
        <sz val="10"/>
        <rFont val="宋体"/>
        <family val="3"/>
        <charset val="134"/>
      </rPr>
      <t>的供电</t>
    </r>
    <phoneticPr fontId="3" type="noConversion"/>
  </si>
  <si>
    <t>PERI_EN</t>
    <phoneticPr fontId="3" type="noConversion"/>
  </si>
  <si>
    <t>peri_en_ctrl1_1:ios_mf_ctrl0[7]:D0</t>
    <phoneticPr fontId="3" type="noConversion"/>
  </si>
  <si>
    <t>PMU接口信号，用于使能BB芯片0.9V供电</t>
    <phoneticPr fontId="3" type="noConversion"/>
  </si>
  <si>
    <t>pmu_hold_ctrl1_1:ios_mf_ctrl0[8]:D0</t>
    <phoneticPr fontId="3" type="noConversion"/>
  </si>
  <si>
    <r>
      <t>PMU</t>
    </r>
    <r>
      <rPr>
        <sz val="10"/>
        <rFont val="宋体"/>
        <family val="3"/>
        <charset val="134"/>
      </rPr>
      <t>接口信号，当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上电后，需要在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秒之内，由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将该引脚置高来通知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保持上电，否则，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会自动下电</t>
    </r>
    <phoneticPr fontId="3" type="noConversion"/>
  </si>
  <si>
    <t>USIM0（3个pin）</t>
    <phoneticPr fontId="3" type="noConversion"/>
  </si>
  <si>
    <t>Y</t>
    <phoneticPr fontId="3" type="noConversion"/>
  </si>
  <si>
    <t>MUX_C</t>
    <phoneticPr fontId="3" type="noConversion"/>
  </si>
  <si>
    <t>USIM0_CLK</t>
    <phoneticPr fontId="3" type="noConversion"/>
  </si>
  <si>
    <t>122.88MHz</t>
    <phoneticPr fontId="3" type="noConversion"/>
  </si>
  <si>
    <t>IOM_CTRL11</t>
    <phoneticPr fontId="3" type="noConversion"/>
  </si>
  <si>
    <t>pull-up/down control</t>
    <phoneticPr fontId="3" type="noConversion"/>
  </si>
  <si>
    <t>PDDUKW4D_V_HI</t>
    <phoneticPr fontId="3" type="noConversion"/>
  </si>
  <si>
    <t>usim0_clk</t>
    <phoneticPr fontId="3" type="noConversion"/>
  </si>
  <si>
    <t>usim0_ctrl1_1:ios_mf_ctrl1[0]:D0</t>
    <phoneticPr fontId="3" type="noConversion"/>
  </si>
  <si>
    <t>12MHz</t>
    <phoneticPr fontId="3" type="noConversion"/>
  </si>
  <si>
    <r>
      <t>SIM卡0的时钟输出信号，输出模式可选Open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</si>
  <si>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gpio0[7]</t>
    <phoneticPr fontId="3" type="noConversion"/>
  </si>
  <si>
    <t>B</t>
    <phoneticPr fontId="3" type="noConversion"/>
  </si>
  <si>
    <t>gpio0_7_ctrl1_1:ios_af_ctrl1[0]:D0</t>
    <phoneticPr fontId="3" type="noConversion"/>
  </si>
  <si>
    <t>孟飚</t>
    <phoneticPr fontId="3" type="noConversion"/>
  </si>
  <si>
    <t>宋占坤</t>
    <phoneticPr fontId="3" type="noConversion"/>
  </si>
  <si>
    <t>MUX_D</t>
    <phoneticPr fontId="3" type="noConversion"/>
  </si>
  <si>
    <t>USIM0_RST</t>
    <phoneticPr fontId="3" type="noConversion"/>
  </si>
  <si>
    <t>usim0_rst</t>
    <phoneticPr fontId="3" type="noConversion"/>
  </si>
  <si>
    <t>DO</t>
    <phoneticPr fontId="3" type="noConversion"/>
  </si>
  <si>
    <t>12MHz</t>
    <phoneticPr fontId="3" type="noConversion"/>
  </si>
  <si>
    <t>SIM卡0的复位信号</t>
    <phoneticPr fontId="3" type="noConversion"/>
  </si>
  <si>
    <t>B</t>
    <phoneticPr fontId="3" type="noConversion"/>
  </si>
  <si>
    <t>gpio0_8_ctrl1_1:ios_af_ctrl1[1]:D0</t>
    <phoneticPr fontId="3" type="noConversion"/>
  </si>
  <si>
    <t>Y</t>
    <phoneticPr fontId="3" type="noConversion"/>
  </si>
  <si>
    <t>MUX_D</t>
    <phoneticPr fontId="3" type="noConversion"/>
  </si>
  <si>
    <t>USIM0_DATA</t>
    <phoneticPr fontId="3" type="noConversion"/>
  </si>
  <si>
    <t>usim0_data</t>
    <phoneticPr fontId="3" type="noConversion"/>
  </si>
  <si>
    <r>
      <t>SIM卡0的数据信号，输出模式可选Open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</si>
  <si>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gpio0_9_ctrl1_1:ios_af_ctrl1[2]:D0</t>
    <phoneticPr fontId="3" type="noConversion"/>
  </si>
  <si>
    <t>USIM1(3个pin）</t>
    <phoneticPr fontId="3" type="noConversion"/>
  </si>
  <si>
    <t>GPIO_0_10</t>
    <phoneticPr fontId="49" type="noConversion"/>
  </si>
  <si>
    <t>PD</t>
    <phoneticPr fontId="3" type="noConversion"/>
  </si>
  <si>
    <t>IOM_CTRL14</t>
    <phoneticPr fontId="3" type="noConversion"/>
  </si>
  <si>
    <t>gpio0[10]</t>
    <phoneticPr fontId="3" type="noConversion"/>
  </si>
  <si>
    <t>gpio0_10_ctrl1_1:ios_mf_ctrl2[0]:D0</t>
    <phoneticPr fontId="3" type="noConversion"/>
  </si>
  <si>
    <t>usim1_clk</t>
    <phoneticPr fontId="3" type="noConversion"/>
  </si>
  <si>
    <t>usim1_ctrl1_1:ios_af_ctrl2[0]:D0</t>
    <phoneticPr fontId="3" type="noConversion"/>
  </si>
  <si>
    <t>gpio0[11]</t>
    <phoneticPr fontId="3" type="noConversion"/>
  </si>
  <si>
    <t>gpio0_11_ctrl1_1:ios_mf_ctrl2[1]:D0</t>
    <phoneticPr fontId="3" type="noConversion"/>
  </si>
  <si>
    <t>usim1_rst</t>
    <phoneticPr fontId="3" type="noConversion"/>
  </si>
  <si>
    <t>usim1_ctrl1_1:ios_af_ctrl2[0]:D0</t>
    <phoneticPr fontId="3" type="noConversion"/>
  </si>
  <si>
    <r>
      <t>SIM卡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的复位信号</t>
    </r>
    <phoneticPr fontId="3" type="noConversion"/>
  </si>
  <si>
    <t>gpio0[12]</t>
    <phoneticPr fontId="3" type="noConversion"/>
  </si>
  <si>
    <t>gpio0_12_ctrl1_1:ios_mf_ctrl2[2]:D0</t>
    <phoneticPr fontId="3" type="noConversion"/>
  </si>
  <si>
    <t>usim1_data</t>
    <phoneticPr fontId="3" type="noConversion"/>
  </si>
  <si>
    <t>UART0（2个pin）</t>
    <phoneticPr fontId="3" type="noConversion"/>
  </si>
  <si>
    <t>UART0_TXD</t>
    <phoneticPr fontId="3" type="noConversion"/>
  </si>
  <si>
    <t>IOM_CTRL17</t>
    <phoneticPr fontId="3" type="noConversion"/>
  </si>
  <si>
    <t>uart0_ctrl1_1:ios_mf_ctrl3[0]:D0</t>
    <phoneticPr fontId="3" type="noConversion"/>
  </si>
  <si>
    <t>1MHz</t>
    <phoneticPr fontId="3" type="noConversion"/>
  </si>
  <si>
    <r>
      <t>UART0</t>
    </r>
    <r>
      <rPr>
        <sz val="10"/>
        <rFont val="宋体"/>
        <family val="3"/>
        <charset val="134"/>
      </rPr>
      <t>的串行输出信号</t>
    </r>
    <phoneticPr fontId="3" type="noConversion"/>
  </si>
  <si>
    <t>gpio0[13]</t>
    <phoneticPr fontId="3" type="noConversion"/>
  </si>
  <si>
    <t>gpio0_13_ctrl1_1:ios_af_ctrl3[0]:D0</t>
    <phoneticPr fontId="3" type="noConversion"/>
  </si>
  <si>
    <t>王少华</t>
    <phoneticPr fontId="3" type="noConversion"/>
  </si>
  <si>
    <t>UART0_RXD</t>
    <phoneticPr fontId="3" type="noConversion"/>
  </si>
  <si>
    <r>
      <t>UART0</t>
    </r>
    <r>
      <rPr>
        <sz val="10"/>
        <rFont val="宋体"/>
        <family val="3"/>
        <charset val="134"/>
      </rPr>
      <t>的串行输入信号</t>
    </r>
    <phoneticPr fontId="3" type="noConversion"/>
  </si>
  <si>
    <t>gpio0[14]</t>
    <phoneticPr fontId="3" type="noConversion"/>
  </si>
  <si>
    <t>gpio0_14_ctrl1_1:ios_af_ctrl3[1]:D0</t>
    <phoneticPr fontId="3" type="noConversion"/>
  </si>
  <si>
    <t>GPIO(5个pin）</t>
    <phoneticPr fontId="3" type="noConversion"/>
  </si>
  <si>
    <t xml:space="preserve">      </t>
    <phoneticPr fontId="3" type="noConversion"/>
  </si>
  <si>
    <t>GPIO_0_15</t>
    <phoneticPr fontId="3" type="noConversion"/>
  </si>
  <si>
    <t>gpio0[15]</t>
    <phoneticPr fontId="3" type="noConversion"/>
  </si>
  <si>
    <t>gpio0_15_ctrl1_1:ios_mf_ctrl4[0]:D0</t>
    <phoneticPr fontId="3" type="noConversion"/>
  </si>
  <si>
    <t>soc_mipi_clk</t>
    <phoneticPr fontId="3" type="noConversion"/>
  </si>
  <si>
    <t>soc_mipi_ctrl1_1:ios_af_ctrl4[0]:D0</t>
    <phoneticPr fontId="3" type="noConversion"/>
  </si>
  <si>
    <t>ch0_tx_clk</t>
    <phoneticPr fontId="3" type="noConversion"/>
  </si>
  <si>
    <t>王润泽</t>
    <phoneticPr fontId="3" type="noConversion"/>
  </si>
  <si>
    <t>gpio0_16_ctrl1_1:ios_mf_ctrl4[1]:D0</t>
    <phoneticPr fontId="3" type="noConversion"/>
  </si>
  <si>
    <t>soc_mipi_data</t>
    <phoneticPr fontId="3" type="noConversion"/>
  </si>
  <si>
    <t>ch0_tx_vld</t>
    <phoneticPr fontId="3" type="noConversion"/>
  </si>
  <si>
    <t>gpio0_17_ctrl1_1:ios_mf_ctrl4[2]:D0</t>
    <phoneticPr fontId="3" type="noConversion"/>
  </si>
  <si>
    <t>ch0_line_ctrl_mode[0]</t>
    <phoneticPr fontId="3" type="noConversion"/>
  </si>
  <si>
    <t>gpio0_18_ctrl1_1:ios_mf_ctrl4[3]:D0</t>
    <phoneticPr fontId="3" type="noConversion"/>
  </si>
  <si>
    <t>gpio0_19_ctrl1_1:ios_mf_ctrl4[4]:D0</t>
    <phoneticPr fontId="3" type="noConversion"/>
  </si>
  <si>
    <t>MMC1(6个pin）</t>
    <phoneticPr fontId="3" type="noConversion"/>
  </si>
  <si>
    <t>GPIO_0_20</t>
    <phoneticPr fontId="3" type="noConversion"/>
  </si>
  <si>
    <t>IOM_CTRL24</t>
    <phoneticPr fontId="3" type="noConversion"/>
  </si>
  <si>
    <t>gpio0_20_ctrl1_1:ios_mf_ctrl5[0]:D0</t>
    <phoneticPr fontId="3" type="noConversion"/>
  </si>
  <si>
    <t>mmc1_clk</t>
    <phoneticPr fontId="3" type="noConversion"/>
  </si>
  <si>
    <t>sdio_clk</t>
    <phoneticPr fontId="3" type="noConversion"/>
  </si>
  <si>
    <t>SDIO的时钟信号</t>
    <phoneticPr fontId="3" type="noConversion"/>
  </si>
  <si>
    <t>李新昌</t>
    <phoneticPr fontId="3" type="noConversion"/>
  </si>
  <si>
    <t>gpio0_21_ctrl1_1:ios_mf_ctrl5[1]:D0</t>
    <phoneticPr fontId="3" type="noConversion"/>
  </si>
  <si>
    <t>mmc1_cmd</t>
    <phoneticPr fontId="3" type="noConversion"/>
  </si>
  <si>
    <t>sdio_cmd</t>
    <phoneticPr fontId="3" type="noConversion"/>
  </si>
  <si>
    <t>SDIO的命令信号</t>
    <phoneticPr fontId="3" type="noConversion"/>
  </si>
  <si>
    <t>gpio0_22_ctrl1_1:ios_mf_ctrl5[2]:D0</t>
    <phoneticPr fontId="3" type="noConversion"/>
  </si>
  <si>
    <t>mmc1_data[0]</t>
    <phoneticPr fontId="3" type="noConversion"/>
  </si>
  <si>
    <t>sdio_data[0]</t>
    <phoneticPr fontId="3" type="noConversion"/>
  </si>
  <si>
    <t>SDIO的第0位数据信号</t>
    <phoneticPr fontId="3" type="noConversion"/>
  </si>
  <si>
    <t>gpio0_23_ctrl1_1:ios_mf_ctrl5[3]:D0</t>
    <phoneticPr fontId="3" type="noConversion"/>
  </si>
  <si>
    <t>sdio_data[1]</t>
    <phoneticPr fontId="3" type="noConversion"/>
  </si>
  <si>
    <t>SDIO的第1位数据信号</t>
    <phoneticPr fontId="3" type="noConversion"/>
  </si>
  <si>
    <t>gpio0_24_ctrl1_1:ios_mf_ctrl5[4]:D0</t>
    <phoneticPr fontId="3" type="noConversion"/>
  </si>
  <si>
    <t>sdio_data[2]</t>
    <phoneticPr fontId="3" type="noConversion"/>
  </si>
  <si>
    <t>SDIO的第2位数据信号</t>
    <phoneticPr fontId="3" type="noConversion"/>
  </si>
  <si>
    <t>gpio0_25_ctrl1_1:ios_mf_ctrl5[5]:D0</t>
    <phoneticPr fontId="3" type="noConversion"/>
  </si>
  <si>
    <t>sdio_data[3]</t>
    <phoneticPr fontId="3" type="noConversion"/>
  </si>
  <si>
    <t>SDIO的第3位数据信号</t>
    <phoneticPr fontId="3" type="noConversion"/>
  </si>
  <si>
    <t>MMC1_CLK_FB_OUT</t>
    <phoneticPr fontId="3" type="noConversion"/>
  </si>
  <si>
    <t>MMC1反馈时钟输出，不出封装</t>
    <phoneticPr fontId="3" type="noConversion"/>
  </si>
  <si>
    <t>MMC1_CLK_FB_IN</t>
    <phoneticPr fontId="3" type="noConversion"/>
  </si>
  <si>
    <t>DI</t>
    <phoneticPr fontId="3" type="noConversion"/>
  </si>
  <si>
    <t>MMC1反馈时钟输入，不出封装</t>
    <phoneticPr fontId="3" type="noConversion"/>
  </si>
  <si>
    <t>JTAG_DFM_MODE(1个pin）</t>
    <phoneticPr fontId="3" type="noConversion"/>
  </si>
  <si>
    <t>JTAG_DFT_MODE</t>
    <phoneticPr fontId="3" type="noConversion"/>
  </si>
  <si>
    <t>4mA</t>
    <phoneticPr fontId="3" type="noConversion"/>
  </si>
  <si>
    <t>JTAG DFT模式选择开关。1：JTAG0 扫描BSD；0：JTAG0按照JTAG 模式开关配置扫描SOC 组件</t>
    <phoneticPr fontId="3" type="noConversion"/>
  </si>
  <si>
    <t>HSIC（2个pin）</t>
    <phoneticPr fontId="3" type="noConversion"/>
  </si>
  <si>
    <t>1.2V(P4)</t>
    <phoneticPr fontId="3" type="noConversion"/>
  </si>
  <si>
    <t>HSIC_STROBE</t>
    <phoneticPr fontId="3" type="noConversion"/>
  </si>
  <si>
    <t>AIO</t>
    <phoneticPr fontId="3" type="noConversion"/>
  </si>
  <si>
    <t>480MHz</t>
    <phoneticPr fontId="3" type="noConversion"/>
  </si>
  <si>
    <t>SYNOPSYS</t>
    <phoneticPr fontId="3" type="noConversion"/>
  </si>
  <si>
    <t>NA</t>
    <phoneticPr fontId="3" type="noConversion"/>
  </si>
  <si>
    <r>
      <t>HSIC PHY</t>
    </r>
    <r>
      <rPr>
        <sz val="10"/>
        <rFont val="宋体"/>
        <family val="3"/>
        <charset val="134"/>
      </rPr>
      <t>自带</t>
    </r>
    <phoneticPr fontId="3" type="noConversion"/>
  </si>
  <si>
    <t>HSIC_STROBE</t>
    <phoneticPr fontId="3" type="noConversion"/>
  </si>
  <si>
    <t>480MHz</t>
    <phoneticPr fontId="3" type="noConversion"/>
  </si>
  <si>
    <t>HISC USB STROBE SIGNAL</t>
    <phoneticPr fontId="3" type="noConversion"/>
  </si>
  <si>
    <t>1.2V(P4)</t>
    <phoneticPr fontId="3" type="noConversion"/>
  </si>
  <si>
    <t>Y</t>
    <phoneticPr fontId="3" type="noConversion"/>
  </si>
  <si>
    <t>HSIC_DATA</t>
    <phoneticPr fontId="3" type="noConversion"/>
  </si>
  <si>
    <t>AIO</t>
    <phoneticPr fontId="3" type="noConversion"/>
  </si>
  <si>
    <t>SYNOPSYS</t>
    <phoneticPr fontId="3" type="noConversion"/>
  </si>
  <si>
    <t>NA</t>
    <phoneticPr fontId="3" type="noConversion"/>
  </si>
  <si>
    <r>
      <t>HSIC PHY</t>
    </r>
    <r>
      <rPr>
        <sz val="10"/>
        <rFont val="宋体"/>
        <family val="3"/>
        <charset val="134"/>
      </rPr>
      <t>自带</t>
    </r>
    <phoneticPr fontId="3" type="noConversion"/>
  </si>
  <si>
    <t>HISC USB DATA SIGNAL</t>
    <phoneticPr fontId="3" type="noConversion"/>
  </si>
  <si>
    <t>P530验证</t>
    <phoneticPr fontId="49" type="noConversion"/>
  </si>
  <si>
    <t>CC库版本13：
1、PMU_AUXDAC0_SSI上电默认管脚状态改为IX
2、驱动能力修改为有效的0mA/4mA/8mA/12mA/16mA
3、更新Power$Gnd表项为powerlist_V3.3版本</t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</si>
  <si>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49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</si>
  <si>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49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</si>
  <si>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49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</si>
  <si>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49" type="noConversion"/>
  </si>
  <si>
    <r>
      <t>Ball</t>
    </r>
    <r>
      <rPr>
        <b/>
        <sz val="12"/>
        <rFont val="宋体"/>
        <family val="3"/>
        <charset val="134"/>
      </rPr>
      <t>名</t>
    </r>
    <phoneticPr fontId="49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</si>
  <si>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49" type="noConversion"/>
  </si>
  <si>
    <r>
      <rPr>
        <b/>
        <sz val="12"/>
        <rFont val="宋体"/>
        <family val="3"/>
        <charset val="134"/>
      </rPr>
      <t>备注</t>
    </r>
    <phoneticPr fontId="49" type="noConversion"/>
  </si>
  <si>
    <t>注：黄色表示需要在封装上合并的</t>
    <phoneticPr fontId="49" type="noConversion"/>
  </si>
  <si>
    <r>
      <t>Alwayson Core</t>
    </r>
    <r>
      <rPr>
        <sz val="12"/>
        <rFont val="宋体"/>
        <family val="3"/>
        <charset val="134"/>
      </rPr>
      <t>电源</t>
    </r>
    <phoneticPr fontId="49" type="noConversion"/>
  </si>
  <si>
    <t>VDD</t>
    <phoneticPr fontId="49" type="noConversion"/>
  </si>
  <si>
    <r>
      <t>Peri Core</t>
    </r>
    <r>
      <rPr>
        <sz val="12"/>
        <rFont val="宋体"/>
        <family val="3"/>
        <charset val="134"/>
      </rPr>
      <t>电源</t>
    </r>
    <phoneticPr fontId="49" type="noConversion"/>
  </si>
  <si>
    <t>VDD_PERI</t>
    <phoneticPr fontId="49" type="noConversion"/>
  </si>
  <si>
    <r>
      <rPr>
        <sz val="12"/>
        <rFont val="宋体"/>
        <family val="3"/>
        <charset val="134"/>
      </rPr>
      <t>数字地</t>
    </r>
    <phoneticPr fontId="49" type="noConversion"/>
  </si>
  <si>
    <t>VSS</t>
    <phoneticPr fontId="49" type="noConversion"/>
  </si>
  <si>
    <r>
      <t>1.8V IO</t>
    </r>
    <r>
      <rPr>
        <sz val="12"/>
        <rFont val="宋体"/>
        <family val="3"/>
        <charset val="134"/>
      </rPr>
      <t>电源</t>
    </r>
    <phoneticPr fontId="49" type="noConversion"/>
  </si>
  <si>
    <t>DVDD18_1</t>
    <phoneticPr fontId="49" type="noConversion"/>
  </si>
  <si>
    <t>DVDD18</t>
    <phoneticPr fontId="49" type="noConversion"/>
  </si>
  <si>
    <t>DVDD18_AO</t>
    <phoneticPr fontId="49" type="noConversion"/>
  </si>
  <si>
    <t>MMC0</t>
    <phoneticPr fontId="49" type="noConversion"/>
  </si>
  <si>
    <t>1.5/0</t>
    <phoneticPr fontId="49" type="noConversion"/>
  </si>
  <si>
    <t>VDDM_MMC0</t>
    <phoneticPr fontId="49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</si>
  <si>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</si>
  <si>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VDD18_MMC0</t>
    <phoneticPr fontId="49" type="noConversion"/>
  </si>
  <si>
    <t>3.0/1.8</t>
    <phoneticPr fontId="49" type="noConversion"/>
  </si>
  <si>
    <t>VDD33_MMC0</t>
    <phoneticPr fontId="49" type="noConversion"/>
  </si>
  <si>
    <t>DDR</t>
    <phoneticPr fontId="49" type="noConversion"/>
  </si>
  <si>
    <t>VDDQ_DDR</t>
    <phoneticPr fontId="49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</si>
  <si>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9" type="noConversion"/>
  </si>
  <si>
    <t>VSSQ_DDR</t>
    <phoneticPr fontId="49" type="noConversion"/>
  </si>
  <si>
    <t>VDDQCA_DDR</t>
    <phoneticPr fontId="49" type="noConversion"/>
  </si>
  <si>
    <t>VSSQCA_DDR</t>
    <phoneticPr fontId="49" type="noConversion"/>
  </si>
  <si>
    <t>AVDD18_DDRCAPLL</t>
    <phoneticPr fontId="49" type="noConversion"/>
  </si>
  <si>
    <t>AVDD18_DDRDXPLL</t>
    <phoneticPr fontId="49" type="noConversion"/>
  </si>
  <si>
    <t>AVDD18_DDRPLL_1/2</t>
    <phoneticPr fontId="49" type="noConversion"/>
  </si>
  <si>
    <t>DDR_VREF0</t>
    <phoneticPr fontId="49" type="noConversion"/>
  </si>
  <si>
    <t>DDR_VREF_ZQ</t>
    <phoneticPr fontId="49" type="noConversion"/>
  </si>
  <si>
    <t>DDR_VREF1</t>
    <phoneticPr fontId="49" type="noConversion"/>
  </si>
  <si>
    <t>DDR_VREF_1/2</t>
    <phoneticPr fontId="49" type="noConversion"/>
  </si>
  <si>
    <t>ABB</t>
    <phoneticPr fontId="49" type="noConversion"/>
  </si>
  <si>
    <t>AVDD18_ET</t>
    <phoneticPr fontId="49" type="noConversion"/>
  </si>
  <si>
    <t>AVDD18</t>
    <phoneticPr fontId="49" type="noConversion"/>
  </si>
  <si>
    <t>AVSS_ABB</t>
    <phoneticPr fontId="49" type="noConversion"/>
  </si>
  <si>
    <t>CH0_AGND09_PLL</t>
  </si>
  <si>
    <t>AGND</t>
    <phoneticPr fontId="49" type="noConversion"/>
  </si>
  <si>
    <t>CH0_AGND13_TX</t>
    <phoneticPr fontId="49" type="noConversion"/>
  </si>
  <si>
    <t>CH0_AGND18_PLL</t>
    <phoneticPr fontId="49" type="noConversion"/>
  </si>
  <si>
    <t>CH0_AGND18_RXA</t>
    <phoneticPr fontId="49" type="noConversion"/>
  </si>
  <si>
    <t>CH0_AGND18_RXB</t>
    <phoneticPr fontId="49" type="noConversion"/>
  </si>
  <si>
    <t>CH0_AGND18_TX</t>
    <phoneticPr fontId="49" type="noConversion"/>
  </si>
  <si>
    <t>CH0_AVDD09_PLL</t>
    <phoneticPr fontId="49" type="noConversion"/>
  </si>
  <si>
    <t>CH0_DVDD09</t>
    <phoneticPr fontId="49" type="noConversion"/>
  </si>
  <si>
    <t>CH0_AVDD13_TX</t>
  </si>
  <si>
    <t>AVDD13</t>
    <phoneticPr fontId="49" type="noConversion"/>
  </si>
  <si>
    <t>CH0_AVDD18_PLL</t>
    <phoneticPr fontId="49" type="noConversion"/>
  </si>
  <si>
    <t>CH0_AVDD18_RXA</t>
    <phoneticPr fontId="49" type="noConversion"/>
  </si>
  <si>
    <t>CH0_AVDD18_RXB</t>
    <phoneticPr fontId="49" type="noConversion"/>
  </si>
  <si>
    <t>CH0_AVDD18_TX</t>
    <phoneticPr fontId="49" type="noConversion"/>
  </si>
  <si>
    <t>CH0_DGND09_RX</t>
    <phoneticPr fontId="49" type="noConversion"/>
  </si>
  <si>
    <t>CH0_DGND09_TX</t>
    <phoneticPr fontId="49" type="noConversion"/>
  </si>
  <si>
    <t>CH0_DVDD09_RX</t>
    <phoneticPr fontId="49" type="noConversion"/>
  </si>
  <si>
    <t>CH0_DVDD09_TX</t>
    <phoneticPr fontId="49" type="noConversion"/>
  </si>
  <si>
    <t>CH1_AGND09_PLL</t>
    <phoneticPr fontId="49" type="noConversion"/>
  </si>
  <si>
    <t>CH1_AGND13_TX</t>
    <phoneticPr fontId="49" type="noConversion"/>
  </si>
  <si>
    <t>CH1_AGND18_PLL</t>
    <phoneticPr fontId="49" type="noConversion"/>
  </si>
  <si>
    <t>CH1_AGND18_RXA</t>
  </si>
  <si>
    <t>CH1_AGND18_RXB</t>
  </si>
  <si>
    <t>CH1_AGND18_TX</t>
  </si>
  <si>
    <t>CH1_AVDD09_PLL</t>
  </si>
  <si>
    <t>CH1_DVDD09</t>
    <phoneticPr fontId="49" type="noConversion"/>
  </si>
  <si>
    <t>CH1_AVDD13_TX</t>
    <phoneticPr fontId="49" type="noConversion"/>
  </si>
  <si>
    <t>CH1_AVDD18_PLL</t>
    <phoneticPr fontId="49" type="noConversion"/>
  </si>
  <si>
    <t>CH1_AVDD18_RXA</t>
  </si>
  <si>
    <t>CH1_AVDD18_RXB</t>
  </si>
  <si>
    <t>CH1_AVDD18_TX</t>
  </si>
  <si>
    <t>CH1_DGND09_RX</t>
    <phoneticPr fontId="49" type="noConversion"/>
  </si>
  <si>
    <t>CH1_DGND09_TX</t>
  </si>
  <si>
    <t>CH1_DVDD09_RX</t>
    <phoneticPr fontId="49" type="noConversion"/>
  </si>
  <si>
    <t>CH1_DVDD09_TX</t>
  </si>
  <si>
    <t>USB3.0</t>
    <phoneticPr fontId="49" type="noConversion"/>
  </si>
  <si>
    <t>DVDD_USB</t>
    <phoneticPr fontId="49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</si>
  <si>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49" type="noConversion"/>
  </si>
  <si>
    <t>VP_USB</t>
    <phoneticPr fontId="49" type="noConversion"/>
  </si>
  <si>
    <t>VPTX0_USB</t>
    <phoneticPr fontId="49" type="noConversion"/>
  </si>
  <si>
    <t>VDD330_USB</t>
    <phoneticPr fontId="49" type="noConversion"/>
  </si>
  <si>
    <t>VDD33_USB</t>
    <phoneticPr fontId="49" type="noConversion"/>
  </si>
  <si>
    <t>VPH_USB</t>
    <phoneticPr fontId="49" type="noConversion"/>
  </si>
  <si>
    <t>GD_USB</t>
    <phoneticPr fontId="49" type="noConversion"/>
  </si>
  <si>
    <t>VSSA0_USB</t>
    <phoneticPr fontId="49" type="noConversion"/>
  </si>
  <si>
    <t>PCIE</t>
    <phoneticPr fontId="49" type="noConversion"/>
  </si>
  <si>
    <t>VP_PCIE</t>
    <phoneticPr fontId="49" type="noConversion"/>
  </si>
  <si>
    <t>VP09_PCIE</t>
    <phoneticPr fontId="49" type="noConversion"/>
  </si>
  <si>
    <t>VPTX0_PCIE</t>
    <phoneticPr fontId="49" type="noConversion"/>
  </si>
  <si>
    <t>VPTX09_PCIE</t>
    <phoneticPr fontId="49" type="noConversion"/>
  </si>
  <si>
    <t>VPH_PCIE</t>
    <phoneticPr fontId="49" type="noConversion"/>
  </si>
  <si>
    <t>VP18_PCIE</t>
    <phoneticPr fontId="49" type="noConversion"/>
  </si>
  <si>
    <t>GD_PCIE</t>
    <phoneticPr fontId="49" type="noConversion"/>
  </si>
  <si>
    <t>HSIC</t>
    <phoneticPr fontId="49" type="noConversion"/>
  </si>
  <si>
    <t>VDD12_HSIC</t>
    <phoneticPr fontId="49" type="noConversion"/>
  </si>
  <si>
    <t>VSS12_HSIC</t>
    <phoneticPr fontId="49" type="noConversion"/>
  </si>
  <si>
    <t>PLL</t>
    <phoneticPr fontId="49" type="noConversion"/>
  </si>
  <si>
    <t>AVDDH_PLL</t>
    <phoneticPr fontId="49" type="noConversion"/>
  </si>
  <si>
    <t>AVDDL_PLL</t>
    <phoneticPr fontId="49" type="noConversion"/>
  </si>
  <si>
    <t>AVSS_PLL</t>
    <phoneticPr fontId="49" type="noConversion"/>
  </si>
  <si>
    <t>PLL_BBP</t>
    <phoneticPr fontId="49" type="noConversion"/>
  </si>
  <si>
    <t>AVDDH_PLL_BBP</t>
    <phoneticPr fontId="49" type="noConversion"/>
  </si>
  <si>
    <t>AVDDH_BBPPLL</t>
    <phoneticPr fontId="49" type="noConversion"/>
  </si>
  <si>
    <t>AVDDL_PLL_BBP</t>
    <phoneticPr fontId="49" type="noConversion"/>
  </si>
  <si>
    <t>AVDDL_BBPPLL</t>
    <phoneticPr fontId="49" type="noConversion"/>
  </si>
  <si>
    <t>AVSS_PLL_BBP</t>
    <phoneticPr fontId="49" type="noConversion"/>
  </si>
  <si>
    <t>AVSS_BBPPLL</t>
    <phoneticPr fontId="49" type="noConversion"/>
  </si>
  <si>
    <t>Tsensor</t>
    <phoneticPr fontId="49" type="noConversion"/>
  </si>
  <si>
    <t>AVDD18_TS</t>
    <phoneticPr fontId="49" type="noConversion"/>
  </si>
  <si>
    <t>AVSS_TS</t>
    <phoneticPr fontId="49" type="noConversion"/>
  </si>
  <si>
    <t>EFUSE</t>
    <phoneticPr fontId="49" type="noConversion"/>
  </si>
  <si>
    <t>VDD_EFUSE</t>
    <phoneticPr fontId="49" type="noConversion"/>
  </si>
  <si>
    <t>TXCO</t>
    <phoneticPr fontId="49" type="noConversion"/>
  </si>
  <si>
    <t>AVDD18_TCXO</t>
    <phoneticPr fontId="49" type="noConversion"/>
  </si>
  <si>
    <t>AVSS_TCXO</t>
    <phoneticPr fontId="49" type="noConversion"/>
  </si>
  <si>
    <t>CC库版本14：
1、更新Power&amp;Gnd</t>
    <phoneticPr fontId="3" type="noConversion"/>
  </si>
  <si>
    <t>DVDD18_2</t>
    <phoneticPr fontId="49" type="noConversion"/>
  </si>
  <si>
    <t>DVDD18_6</t>
    <phoneticPr fontId="49" type="noConversion"/>
  </si>
  <si>
    <t>CC库版本15：
1、更新Power&amp;Gnd：加DVDD18_2，连到VDD18_MMC0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</si>
  <si>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</si>
  <si>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</si>
  <si>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</si>
  <si>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</si>
  <si>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</si>
  <si>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default</t>
    <phoneticPr fontId="3" type="noConversion"/>
  </si>
  <si>
    <t>default</t>
  </si>
  <si>
    <t>Yes</t>
  </si>
  <si>
    <t>Yes</t>
    <phoneticPr fontId="3" type="noConversion"/>
  </si>
  <si>
    <t>default</t>
    <phoneticPr fontId="3" type="noConversion"/>
  </si>
  <si>
    <t>根据硬件设计选填，自动生成IO Share底软初始化代码</t>
    <phoneticPr fontId="3" type="noConversion"/>
  </si>
  <si>
    <t>1、添加G~K列可根据硬件设计选填，自动生成IO Share底软初始化代码
2、添加sheet1表格（已经隐藏，勿动）</t>
    <phoneticPr fontId="3" type="noConversion"/>
  </si>
  <si>
    <r>
      <t xml:space="preserve">余军霞 </t>
    </r>
    <r>
      <rPr>
        <sz val="12"/>
        <rFont val="宋体"/>
        <family val="3"/>
        <charset val="134"/>
      </rPr>
      <t>00114070</t>
    </r>
    <phoneticPr fontId="3" type="noConversion"/>
  </si>
  <si>
    <t>1、添加管脚复用VBA代码
2、去掉了原有芯片代码生产按键，添加生成“生成DRV代码”按键</t>
    <phoneticPr fontId="3" type="noConversion"/>
  </si>
  <si>
    <t>刘文慧 00225826</t>
    <phoneticPr fontId="3" type="noConversion"/>
  </si>
  <si>
    <t>no-pull</t>
  </si>
  <si>
    <t>pull-up</t>
  </si>
  <si>
    <t>管脚上电默认状态</t>
    <phoneticPr fontId="3" type="noConversion"/>
  </si>
  <si>
    <r>
      <t xml:space="preserve">宋永刚 </t>
    </r>
    <r>
      <rPr>
        <sz val="12"/>
        <rFont val="宋体"/>
        <family val="3"/>
        <charset val="134"/>
      </rPr>
      <t>00194148</t>
    </r>
    <phoneticPr fontId="3" type="noConversion"/>
  </si>
  <si>
    <t>1、增加了对UDP平台上的管脚默认复用功能和IO上电状态配置的说明</t>
    <phoneticPr fontId="3" type="noConversion"/>
  </si>
  <si>
    <t>PMU_HOLD</t>
    <phoneticPr fontId="3" type="noConversion"/>
  </si>
  <si>
    <t>No</t>
  </si>
  <si>
    <t>请输入产品名称：</t>
    <phoneticPr fontId="3" type="noConversion"/>
  </si>
  <si>
    <t>生成文件路径：</t>
    <phoneticPr fontId="3" type="noConversion"/>
  </si>
  <si>
    <t>当前目录\xx_ios_ao_config.h</t>
    <phoneticPr fontId="3" type="noConversion"/>
  </si>
  <si>
    <t>E5379</t>
    <phoneticPr fontId="3" type="noConversion"/>
  </si>
</sst>
</file>

<file path=xl/styles.xml><?xml version="1.0" encoding="utf-8"?>
<styleSheet xmlns="http://schemas.openxmlformats.org/spreadsheetml/2006/main">
  <fonts count="6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theme="0" tint="-0.499984740745262"/>
      <name val="Arial"/>
      <family val="2"/>
    </font>
    <font>
      <sz val="12"/>
      <color theme="0" tint="-0.499984740745262"/>
      <name val="宋体"/>
      <family val="3"/>
      <charset val="134"/>
    </font>
  </fonts>
  <fills count="35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3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4" fillId="0" borderId="0">
      <alignment vertical="center"/>
    </xf>
    <xf numFmtId="0" fontId="37" fillId="0" borderId="0">
      <alignment vertical="center"/>
    </xf>
    <xf numFmtId="0" fontId="51" fillId="0" borderId="0">
      <alignment vertical="center"/>
    </xf>
  </cellStyleXfs>
  <cellXfs count="456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7" fillId="0" borderId="1" xfId="0" applyFont="1" applyFill="1" applyBorder="1" applyAlignment="1">
      <alignment horizontal="center" vertical="center" wrapText="1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6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1" fillId="20" borderId="20" xfId="0" applyFont="1" applyFill="1" applyBorder="1" applyAlignment="1">
      <alignment horizontal="center" vertical="top" wrapText="1"/>
    </xf>
    <xf numFmtId="0" fontId="41" fillId="20" borderId="21" xfId="0" applyFont="1" applyFill="1" applyBorder="1" applyAlignment="1">
      <alignment horizontal="center" vertical="top" wrapText="1"/>
    </xf>
    <xf numFmtId="0" fontId="42" fillId="0" borderId="22" xfId="0" applyFont="1" applyBorder="1" applyAlignment="1">
      <alignment vertical="top" wrapText="1"/>
    </xf>
    <xf numFmtId="0" fontId="42" fillId="0" borderId="23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0" xfId="0" applyFont="1" applyAlignment="1">
      <alignment vertical="center"/>
    </xf>
    <xf numFmtId="0" fontId="45" fillId="0" borderId="23" xfId="0" applyFont="1" applyBorder="1" applyAlignment="1">
      <alignment vertical="top" wrapText="1"/>
    </xf>
    <xf numFmtId="0" fontId="45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0" fillId="21" borderId="1" xfId="0" applyFont="1" applyFill="1" applyBorder="1" applyAlignment="1">
      <alignment vertical="center"/>
    </xf>
    <xf numFmtId="0" fontId="40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7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0" fillId="14" borderId="1" xfId="18" applyFont="1" applyFill="1" applyBorder="1">
      <alignment vertical="center"/>
    </xf>
    <xf numFmtId="0" fontId="40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0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vertical="center" wrapText="1"/>
    </xf>
    <xf numFmtId="0" fontId="2" fillId="7" borderId="1" xfId="0" applyFont="1" applyFill="1" applyBorder="1" applyAlignment="1">
      <alignment vertical="center" wrapText="1"/>
    </xf>
    <xf numFmtId="0" fontId="2" fillId="0" borderId="1" xfId="7" applyBorder="1">
      <alignment vertical="center"/>
    </xf>
    <xf numFmtId="0" fontId="18" fillId="27" borderId="1" xfId="10" applyFont="1" applyFill="1" applyBorder="1">
      <alignment vertical="center"/>
    </xf>
    <xf numFmtId="0" fontId="8" fillId="27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2" fillId="27" borderId="1" xfId="7" applyFont="1" applyFill="1" applyBorder="1">
      <alignment vertical="center"/>
    </xf>
    <xf numFmtId="0" fontId="2" fillId="29" borderId="1" xfId="7" applyFont="1" applyFill="1" applyBorder="1">
      <alignment vertical="center"/>
    </xf>
    <xf numFmtId="0" fontId="7" fillId="0" borderId="24" xfId="0" applyFont="1" applyBorder="1" applyAlignment="1">
      <alignment vertical="top" wrapText="1"/>
    </xf>
    <xf numFmtId="0" fontId="0" fillId="0" borderId="0" xfId="0" applyAlignment="1">
      <alignment vertical="center"/>
    </xf>
    <xf numFmtId="0" fontId="2" fillId="27" borderId="6" xfId="7" applyFont="1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8" fillId="27" borderId="3" xfId="0" applyFont="1" applyFill="1" applyBorder="1" applyAlignment="1">
      <alignment vertical="center"/>
    </xf>
    <xf numFmtId="0" fontId="8" fillId="27" borderId="3" xfId="0" applyFont="1" applyFill="1" applyBorder="1" applyAlignment="1">
      <alignment vertical="center" wrapText="1"/>
    </xf>
    <xf numFmtId="0" fontId="8" fillId="27" borderId="1" xfId="10" applyFont="1" applyFill="1" applyBorder="1">
      <alignment vertical="center"/>
    </xf>
    <xf numFmtId="0" fontId="0" fillId="30" borderId="6" xfId="0" applyFill="1" applyBorder="1" applyAlignment="1">
      <alignment horizontal="left" vertical="center"/>
    </xf>
    <xf numFmtId="0" fontId="18" fillId="30" borderId="6" xfId="10" applyFont="1" applyFill="1" applyBorder="1" applyAlignment="1">
      <alignment horizontal="center" vertical="center"/>
    </xf>
    <xf numFmtId="0" fontId="40" fillId="0" borderId="0" xfId="0" applyFont="1" applyBorder="1" applyAlignment="1">
      <alignment vertical="center"/>
    </xf>
    <xf numFmtId="9" fontId="40" fillId="0" borderId="0" xfId="0" applyNumberFormat="1" applyFont="1" applyBorder="1" applyAlignment="1">
      <alignment vertical="center"/>
    </xf>
    <xf numFmtId="0" fontId="40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26" borderId="1" xfId="0" applyFont="1" applyFill="1" applyBorder="1" applyAlignment="1">
      <alignment horizontal="center" vertical="center" wrapText="1"/>
    </xf>
    <xf numFmtId="0" fontId="0" fillId="27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31" borderId="1" xfId="7" applyFill="1" applyBorder="1">
      <alignment vertical="center"/>
    </xf>
    <xf numFmtId="0" fontId="2" fillId="31" borderId="7" xfId="7" applyFill="1" applyBorder="1">
      <alignment vertical="center"/>
    </xf>
    <xf numFmtId="0" fontId="2" fillId="32" borderId="1" xfId="7" applyFill="1" applyBorder="1">
      <alignment vertical="center"/>
    </xf>
    <xf numFmtId="0" fontId="2" fillId="0" borderId="1" xfId="7" applyFont="1" applyBorder="1" applyAlignment="1">
      <alignment horizontal="center" vertical="center"/>
    </xf>
    <xf numFmtId="0" fontId="2" fillId="0" borderId="1" xfId="7" applyFont="1" applyBorder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0" fillId="0" borderId="0" xfId="0" applyAlignment="1">
      <alignment vertical="center"/>
    </xf>
    <xf numFmtId="0" fontId="0" fillId="33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8" fillId="25" borderId="6" xfId="10" applyFont="1" applyFill="1" applyBorder="1" applyAlignment="1">
      <alignment horizontal="left" vertical="center"/>
    </xf>
    <xf numFmtId="0" fontId="8" fillId="25" borderId="3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 wrapText="1"/>
    </xf>
    <xf numFmtId="0" fontId="10" fillId="27" borderId="1" xfId="0" applyFont="1" applyFill="1" applyBorder="1" applyAlignment="1">
      <alignment vertical="center"/>
    </xf>
    <xf numFmtId="0" fontId="8" fillId="27" borderId="1" xfId="10" applyFont="1" applyFill="1" applyBorder="1" applyAlignment="1">
      <alignment horizontal="left" vertical="center"/>
    </xf>
    <xf numFmtId="0" fontId="8" fillId="27" borderId="1" xfId="0" applyFont="1" applyFill="1" applyBorder="1" applyAlignment="1">
      <alignment vertical="center" wrapText="1"/>
    </xf>
    <xf numFmtId="0" fontId="18" fillId="10" borderId="0" xfId="10" applyFont="1" applyFill="1" applyBorder="1" applyAlignment="1">
      <alignment horizontal="left" vertical="center"/>
    </xf>
    <xf numFmtId="0" fontId="8" fillId="7" borderId="1" xfId="0" applyFont="1" applyFill="1" applyBorder="1" applyAlignment="1" applyProtection="1">
      <alignment vertical="center"/>
    </xf>
    <xf numFmtId="0" fontId="8" fillId="7" borderId="3" xfId="0" applyFont="1" applyFill="1" applyBorder="1" applyAlignment="1" applyProtection="1">
      <alignment vertical="center"/>
    </xf>
    <xf numFmtId="0" fontId="2" fillId="7" borderId="1" xfId="0" applyFont="1" applyFill="1" applyBorder="1" applyAlignment="1" applyProtection="1">
      <alignment vertical="center"/>
    </xf>
    <xf numFmtId="0" fontId="2" fillId="7" borderId="1" xfId="0" applyFont="1" applyFill="1" applyBorder="1" applyAlignment="1" applyProtection="1">
      <alignment vertical="center" wrapText="1"/>
    </xf>
    <xf numFmtId="0" fontId="0" fillId="0" borderId="0" xfId="0" applyAlignment="1" applyProtection="1">
      <alignment vertical="center"/>
    </xf>
    <xf numFmtId="0" fontId="8" fillId="12" borderId="1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50" fillId="0" borderId="0" xfId="0" applyFont="1" applyBorder="1" applyAlignment="1">
      <alignment horizontal="left" vertical="center"/>
    </xf>
    <xf numFmtId="0" fontId="50" fillId="0" borderId="0" xfId="0" applyFont="1" applyBorder="1" applyAlignment="1">
      <alignment vertical="center"/>
    </xf>
    <xf numFmtId="0" fontId="18" fillId="10" borderId="4" xfId="10" applyFont="1" applyFill="1" applyBorder="1" applyAlignment="1">
      <alignment horizontal="left" vertical="center"/>
    </xf>
    <xf numFmtId="0" fontId="8" fillId="10" borderId="4" xfId="10" applyFont="1" applyFill="1" applyBorder="1" applyAlignment="1">
      <alignment horizontal="left" vertical="center"/>
    </xf>
    <xf numFmtId="0" fontId="2" fillId="0" borderId="1" xfId="7" applyFont="1" applyBorder="1">
      <alignment vertical="center"/>
    </xf>
    <xf numFmtId="0" fontId="21" fillId="10" borderId="7" xfId="10" applyFont="1" applyFill="1" applyBorder="1" applyAlignment="1">
      <alignment vertical="center"/>
    </xf>
    <xf numFmtId="0" fontId="2" fillId="30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0" fillId="10" borderId="1" xfId="10" applyFont="1" applyFill="1" applyBorder="1" applyAlignment="1">
      <alignment horizontal="left" vertical="center"/>
    </xf>
    <xf numFmtId="0" fontId="8" fillId="10" borderId="1" xfId="10" applyFont="1" applyFill="1" applyBorder="1" applyAlignment="1">
      <alignment horizontal="left" vertical="center"/>
    </xf>
    <xf numFmtId="0" fontId="8" fillId="27" borderId="1" xfId="10" applyFont="1" applyFill="1" applyBorder="1" applyAlignment="1">
      <alignment vertical="center" wrapText="1"/>
    </xf>
    <xf numFmtId="0" fontId="8" fillId="27" borderId="6" xfId="10" applyFont="1" applyFill="1" applyBorder="1">
      <alignment vertical="center"/>
    </xf>
    <xf numFmtId="0" fontId="10" fillId="27" borderId="6" xfId="10" applyFont="1" applyFill="1" applyBorder="1" applyAlignment="1">
      <alignment horizontal="left" vertical="center"/>
    </xf>
    <xf numFmtId="0" fontId="8" fillId="7" borderId="1" xfId="0" applyFont="1" applyFill="1" applyBorder="1" applyAlignment="1">
      <alignment vertical="center" wrapText="1"/>
    </xf>
    <xf numFmtId="0" fontId="2" fillId="0" borderId="0" xfId="0" applyFont="1" applyFill="1" applyAlignment="1">
      <alignment vertical="center"/>
    </xf>
    <xf numFmtId="0" fontId="2" fillId="29" borderId="4" xfId="0" applyFont="1" applyFill="1" applyBorder="1" applyAlignment="1">
      <alignment vertical="center"/>
    </xf>
    <xf numFmtId="0" fontId="2" fillId="29" borderId="5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0" borderId="1" xfId="6" applyFont="1" applyFill="1" applyBorder="1" applyAlignment="1">
      <alignment vertical="center"/>
    </xf>
    <xf numFmtId="0" fontId="7" fillId="30" borderId="1" xfId="0" applyFont="1" applyFill="1" applyBorder="1" applyAlignment="1">
      <alignment vertical="center"/>
    </xf>
    <xf numFmtId="0" fontId="53" fillId="30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54" fillId="30" borderId="1" xfId="0" applyFont="1" applyFill="1" applyBorder="1" applyAlignment="1">
      <alignment vertical="center"/>
    </xf>
    <xf numFmtId="0" fontId="58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6" fillId="9" borderId="4" xfId="0" applyFont="1" applyFill="1" applyBorder="1" applyAlignment="1">
      <alignment vertical="center"/>
    </xf>
    <xf numFmtId="0" fontId="59" fillId="27" borderId="6" xfId="10" applyFont="1" applyFill="1" applyBorder="1" applyAlignment="1">
      <alignment horizontal="left" vertical="center"/>
    </xf>
    <xf numFmtId="0" fontId="18" fillId="27" borderId="6" xfId="10" applyFont="1" applyFill="1" applyBorder="1" applyAlignment="1">
      <alignment horizontal="left" vertical="center"/>
    </xf>
    <xf numFmtId="0" fontId="59" fillId="12" borderId="1" xfId="0" applyFont="1" applyFill="1" applyBorder="1" applyAlignment="1">
      <alignment vertical="center"/>
    </xf>
    <xf numFmtId="0" fontId="60" fillId="0" borderId="1" xfId="19" applyFont="1" applyBorder="1">
      <alignment vertical="center"/>
    </xf>
    <xf numFmtId="0" fontId="0" fillId="0" borderId="1" xfId="19" applyFont="1" applyBorder="1">
      <alignment vertical="center"/>
    </xf>
    <xf numFmtId="0" fontId="0" fillId="0" borderId="9" xfId="17" applyFont="1" applyBorder="1">
      <alignment vertical="center"/>
    </xf>
    <xf numFmtId="0" fontId="0" fillId="0" borderId="10" xfId="17" applyFont="1" applyBorder="1">
      <alignment vertical="center"/>
    </xf>
    <xf numFmtId="0" fontId="0" fillId="0" borderId="11" xfId="17" applyFont="1" applyBorder="1">
      <alignment vertical="center"/>
    </xf>
    <xf numFmtId="0" fontId="0" fillId="0" borderId="13" xfId="17" applyFont="1" applyBorder="1">
      <alignment vertical="center"/>
    </xf>
    <xf numFmtId="0" fontId="0" fillId="0" borderId="12" xfId="17" applyFont="1" applyBorder="1">
      <alignment vertical="center"/>
    </xf>
    <xf numFmtId="0" fontId="0" fillId="0" borderId="0" xfId="17" applyFont="1" applyBorder="1">
      <alignment vertical="center"/>
    </xf>
    <xf numFmtId="0" fontId="2" fillId="0" borderId="0" xfId="17" applyFont="1" applyBorder="1">
      <alignment vertical="center"/>
    </xf>
    <xf numFmtId="0" fontId="0" fillId="0" borderId="14" xfId="17" applyFont="1" applyBorder="1">
      <alignment vertical="center"/>
    </xf>
    <xf numFmtId="0" fontId="0" fillId="0" borderId="15" xfId="17" applyFont="1" applyBorder="1">
      <alignment vertical="center"/>
    </xf>
    <xf numFmtId="0" fontId="2" fillId="0" borderId="28" xfId="17" applyFont="1" applyBorder="1">
      <alignment vertical="center"/>
    </xf>
    <xf numFmtId="0" fontId="36" fillId="34" borderId="0" xfId="0" applyFont="1" applyFill="1" applyBorder="1" applyAlignment="1">
      <alignment horizontal="left" vertical="center"/>
    </xf>
    <xf numFmtId="0" fontId="2" fillId="34" borderId="15" xfId="0" applyFont="1" applyFill="1" applyBorder="1" applyAlignment="1">
      <alignment horizontal="center" vertical="center"/>
    </xf>
    <xf numFmtId="0" fontId="0" fillId="34" borderId="0" xfId="17" applyFont="1" applyFill="1">
      <alignment vertical="center"/>
    </xf>
    <xf numFmtId="0" fontId="2" fillId="34" borderId="0" xfId="0" applyFont="1" applyFill="1" applyBorder="1" applyAlignment="1">
      <alignment horizontal="left" vertical="center"/>
    </xf>
    <xf numFmtId="0" fontId="0" fillId="34" borderId="0" xfId="0" applyFill="1" applyBorder="1" applyAlignment="1">
      <alignment horizontal="left" vertical="center"/>
    </xf>
    <xf numFmtId="0" fontId="36" fillId="34" borderId="15" xfId="0" applyFont="1" applyFill="1" applyBorder="1" applyAlignment="1">
      <alignment horizontal="left" vertical="center"/>
    </xf>
    <xf numFmtId="0" fontId="0" fillId="34" borderId="12" xfId="17" applyFont="1" applyFill="1" applyBorder="1">
      <alignment vertical="center"/>
    </xf>
    <xf numFmtId="0" fontId="0" fillId="34" borderId="0" xfId="17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10" fillId="12" borderId="7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0" fontId="2" fillId="0" borderId="1" xfId="7" applyBorder="1" applyAlignment="1">
      <alignment horizontal="center" vertical="center"/>
    </xf>
    <xf numFmtId="0" fontId="10" fillId="10" borderId="7" xfId="10" applyFont="1" applyFill="1" applyBorder="1" applyAlignment="1">
      <alignment horizontal="center" vertical="center"/>
    </xf>
    <xf numFmtId="0" fontId="8" fillId="10" borderId="3" xfId="10" applyFont="1" applyFill="1" applyBorder="1" applyAlignment="1">
      <alignment horizontal="center" vertical="center"/>
    </xf>
    <xf numFmtId="0" fontId="8" fillId="10" borderId="8" xfId="10" applyFont="1" applyFill="1" applyBorder="1" applyAlignment="1">
      <alignment horizontal="center" vertical="center"/>
    </xf>
    <xf numFmtId="0" fontId="2" fillId="0" borderId="6" xfId="7" applyBorder="1" applyAlignment="1">
      <alignment horizontal="left" vertical="center"/>
    </xf>
    <xf numFmtId="0" fontId="2" fillId="0" borderId="4" xfId="7" applyBorder="1" applyAlignment="1">
      <alignment horizontal="left" vertical="center"/>
    </xf>
    <xf numFmtId="0" fontId="2" fillId="0" borderId="5" xfId="7" applyBorder="1" applyAlignment="1">
      <alignment horizontal="left" vertical="center"/>
    </xf>
    <xf numFmtId="0" fontId="2" fillId="31" borderId="6" xfId="7" applyFill="1" applyBorder="1" applyAlignment="1">
      <alignment horizontal="center" vertical="center"/>
    </xf>
    <xf numFmtId="0" fontId="2" fillId="31" borderId="4" xfId="7" applyFill="1" applyBorder="1" applyAlignment="1">
      <alignment horizontal="center" vertical="center"/>
    </xf>
    <xf numFmtId="0" fontId="2" fillId="31" borderId="5" xfId="7" applyFill="1" applyBorder="1" applyAlignment="1">
      <alignment horizontal="center" vertical="center"/>
    </xf>
    <xf numFmtId="0" fontId="10" fillId="10" borderId="1" xfId="10" applyFont="1" applyFill="1" applyBorder="1" applyAlignment="1">
      <alignment horizontal="center" vertical="center"/>
    </xf>
    <xf numFmtId="0" fontId="8" fillId="10" borderId="1" xfId="10" applyFont="1" applyFill="1" applyBorder="1" applyAlignment="1">
      <alignment horizontal="center" vertical="center"/>
    </xf>
    <xf numFmtId="0" fontId="10" fillId="27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10" fillId="27" borderId="7" xfId="10" applyFont="1" applyFill="1" applyBorder="1" applyAlignment="1">
      <alignment horizontal="center" vertical="center"/>
    </xf>
    <xf numFmtId="0" fontId="8" fillId="27" borderId="8" xfId="10" applyFont="1" applyFill="1" applyBorder="1" applyAlignment="1">
      <alignment horizontal="center" vertical="center"/>
    </xf>
    <xf numFmtId="0" fontId="8" fillId="27" borderId="3" xfId="1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7" fillId="5" borderId="7" xfId="0" applyFont="1" applyFill="1" applyBorder="1" applyAlignment="1">
      <alignment horizontal="center" vertical="center" wrapText="1"/>
    </xf>
    <xf numFmtId="0" fontId="40" fillId="5" borderId="14" xfId="0" applyFont="1" applyFill="1" applyBorder="1" applyAlignment="1">
      <alignment horizontal="center" vertical="center"/>
    </xf>
    <xf numFmtId="0" fontId="40" fillId="5" borderId="15" xfId="0" applyFont="1" applyFill="1" applyBorder="1" applyAlignment="1">
      <alignment horizontal="center" vertical="center"/>
    </xf>
    <xf numFmtId="0" fontId="40" fillId="5" borderId="28" xfId="0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4" fillId="0" borderId="8" xfId="0" applyFont="1" applyBorder="1" applyAlignment="1">
      <alignment vertical="center"/>
    </xf>
    <xf numFmtId="0" fontId="54" fillId="0" borderId="3" xfId="0" applyFont="1" applyBorder="1" applyAlignment="1">
      <alignment vertical="center"/>
    </xf>
    <xf numFmtId="0" fontId="54" fillId="0" borderId="8" xfId="0" applyFont="1" applyBorder="1" applyAlignment="1">
      <alignment vertical="center" wrapText="1"/>
    </xf>
    <xf numFmtId="0" fontId="54" fillId="0" borderId="3" xfId="0" applyFont="1" applyBorder="1" applyAlignment="1">
      <alignment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18" fillId="27" borderId="6" xfId="10" applyFont="1" applyFill="1" applyBorder="1" applyAlignment="1">
      <alignment horizontal="center" vertical="center"/>
    </xf>
    <xf numFmtId="0" fontId="18" fillId="27" borderId="4" xfId="10" applyFont="1" applyFill="1" applyBorder="1" applyAlignment="1">
      <alignment horizontal="center" vertical="center"/>
    </xf>
    <xf numFmtId="0" fontId="18" fillId="27" borderId="5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 wrapText="1"/>
    </xf>
    <xf numFmtId="0" fontId="18" fillId="27" borderId="1" xfId="10" applyFont="1" applyFill="1" applyBorder="1" applyAlignment="1">
      <alignment horizontal="center" vertical="center" wrapText="1"/>
    </xf>
    <xf numFmtId="0" fontId="2" fillId="27" borderId="7" xfId="0" applyFont="1" applyFill="1" applyBorder="1" applyAlignment="1">
      <alignment horizontal="center" vertical="center" wrapText="1"/>
    </xf>
    <xf numFmtId="0" fontId="2" fillId="27" borderId="8" xfId="0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horizontal="center" vertical="center" wrapText="1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0" borderId="9" xfId="0" applyFill="1" applyBorder="1" applyAlignment="1">
      <alignment horizontal="center" vertical="center" wrapText="1"/>
    </xf>
    <xf numFmtId="0" fontId="0" fillId="30" borderId="12" xfId="0" applyFill="1" applyBorder="1" applyAlignment="1">
      <alignment vertical="center"/>
    </xf>
    <xf numFmtId="0" fontId="0" fillId="30" borderId="14" xfId="0" applyFill="1" applyBorder="1" applyAlignment="1">
      <alignment vertical="center"/>
    </xf>
    <xf numFmtId="0" fontId="0" fillId="11" borderId="10" xfId="0" applyFill="1" applyBorder="1" applyAlignment="1">
      <alignment horizontal="center" vertical="center"/>
    </xf>
    <xf numFmtId="0" fontId="8" fillId="28" borderId="6" xfId="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30" borderId="7" xfId="0" applyFill="1" applyBorder="1" applyAlignment="1">
      <alignment horizontal="center" vertical="center" wrapText="1"/>
    </xf>
    <xf numFmtId="0" fontId="0" fillId="30" borderId="8" xfId="0" applyFill="1" applyBorder="1" applyAlignment="1">
      <alignment vertical="center"/>
    </xf>
    <xf numFmtId="0" fontId="0" fillId="30" borderId="3" xfId="0" applyFill="1" applyBorder="1" applyAlignment="1">
      <alignment vertical="center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2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42" fillId="0" borderId="24" xfId="0" applyFont="1" applyBorder="1" applyAlignment="1">
      <alignment horizontal="center" vertical="top" wrapText="1"/>
    </xf>
    <xf numFmtId="0" fontId="42" fillId="0" borderId="25" xfId="0" applyFont="1" applyBorder="1" applyAlignment="1">
      <alignment horizontal="center" vertical="top" wrapText="1"/>
    </xf>
    <xf numFmtId="0" fontId="42" fillId="0" borderId="21" xfId="0" applyFont="1" applyBorder="1" applyAlignment="1">
      <alignment horizontal="center" vertical="top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40" fillId="19" borderId="6" xfId="0" applyFont="1" applyFill="1" applyBorder="1" applyAlignment="1">
      <alignment vertical="center" wrapText="1"/>
    </xf>
    <xf numFmtId="0" fontId="40" fillId="19" borderId="4" xfId="0" applyFont="1" applyFill="1" applyBorder="1" applyAlignment="1">
      <alignment vertical="center" wrapText="1"/>
    </xf>
    <xf numFmtId="0" fontId="40" fillId="19" borderId="5" xfId="0" applyFont="1" applyFill="1" applyBorder="1" applyAlignment="1">
      <alignment vertical="center" wrapText="1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21" xfId="0" applyFont="1" applyBorder="1" applyAlignment="1">
      <alignment vertical="top" wrapText="1"/>
    </xf>
    <xf numFmtId="0" fontId="9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6" fillId="23" borderId="24" xfId="0" applyFont="1" applyFill="1" applyBorder="1" applyAlignment="1">
      <alignment vertical="top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7" fillId="0" borderId="24" xfId="0" applyFont="1" applyBorder="1" applyAlignment="1">
      <alignment vertical="top" wrapText="1"/>
    </xf>
    <xf numFmtId="0" fontId="47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</cellXfs>
  <cellStyles count="20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6" xfId="18"/>
    <cellStyle name="常规 7" xfId="19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FFCC"/>
      <color rgb="FF00CCFF"/>
      <color rgb="FF00FF00"/>
      <color rgb="FFCC99FF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20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9.emf"/><Relationship Id="rId2" Type="http://schemas.openxmlformats.org/officeDocument/2006/relationships/image" Target="../media/image9.emf"/><Relationship Id="rId16" Type="http://schemas.openxmlformats.org/officeDocument/2006/relationships/image" Target="../media/image23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5" Type="http://schemas.openxmlformats.org/officeDocument/2006/relationships/image" Target="../media/image22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13" Type="http://schemas.openxmlformats.org/officeDocument/2006/relationships/oleObject" Target="../embeddings/oleObject11.bin"/><Relationship Id="rId18" Type="http://schemas.openxmlformats.org/officeDocument/2006/relationships/oleObject" Target="../embeddings/oleObject1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12" Type="http://schemas.openxmlformats.org/officeDocument/2006/relationships/oleObject" Target="../embeddings/oleObject10.bin"/><Relationship Id="rId17" Type="http://schemas.openxmlformats.org/officeDocument/2006/relationships/oleObject" Target="../embeddings/oleObject15.bin"/><Relationship Id="rId2" Type="http://schemas.openxmlformats.org/officeDocument/2006/relationships/vmlDrawing" Target="../drawings/vmlDrawing9.vml"/><Relationship Id="rId16" Type="http://schemas.openxmlformats.org/officeDocument/2006/relationships/oleObject" Target="../embeddings/oleObject14.bin"/><Relationship Id="rId1" Type="http://schemas.openxmlformats.org/officeDocument/2006/relationships/printerSettings" Target="../printerSettings/printerSettings12.bin"/><Relationship Id="rId6" Type="http://schemas.openxmlformats.org/officeDocument/2006/relationships/oleObject" Target="../embeddings/oleObject4.bin"/><Relationship Id="rId11" Type="http://schemas.openxmlformats.org/officeDocument/2006/relationships/oleObject" Target="../embeddings/oleObject9.bin"/><Relationship Id="rId5" Type="http://schemas.openxmlformats.org/officeDocument/2006/relationships/oleObject" Target="../embeddings/oleObject3.bin"/><Relationship Id="rId15" Type="http://schemas.openxmlformats.org/officeDocument/2006/relationships/oleObject" Target="../embeddings/oleObject13.bin"/><Relationship Id="rId10" Type="http://schemas.openxmlformats.org/officeDocument/2006/relationships/oleObject" Target="../embeddings/oleObject8.bin"/><Relationship Id="rId19" Type="http://schemas.openxmlformats.org/officeDocument/2006/relationships/oleObject" Target="../embeddings/oleObject17.bin"/><Relationship Id="rId4" Type="http://schemas.openxmlformats.org/officeDocument/2006/relationships/oleObject" Target="../embeddings/oleObject2.bin"/><Relationship Id="rId9" Type="http://schemas.openxmlformats.org/officeDocument/2006/relationships/oleObject" Target="../embeddings/oleObject7.bin"/><Relationship Id="rId14" Type="http://schemas.openxmlformats.org/officeDocument/2006/relationships/oleObject" Target="../embeddings/oleObject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6"/>
  <sheetViews>
    <sheetView workbookViewId="0">
      <selection activeCell="E14" sqref="E14"/>
    </sheetView>
  </sheetViews>
  <sheetFormatPr defaultColWidth="9" defaultRowHeight="14.25"/>
  <cols>
    <col min="1" max="1" width="29.5" style="35" customWidth="1"/>
    <col min="2" max="2" width="46.375" style="35" customWidth="1"/>
    <col min="3" max="3" width="39.625" style="35" customWidth="1"/>
    <col min="4" max="16384" width="9" style="5"/>
  </cols>
  <sheetData>
    <row r="1" spans="1:3" s="45" customFormat="1">
      <c r="A1" s="1" t="s">
        <v>26</v>
      </c>
      <c r="B1" s="1" t="s">
        <v>27</v>
      </c>
      <c r="C1" s="1" t="s">
        <v>28</v>
      </c>
    </row>
    <row r="2" spans="1:3" s="45" customFormat="1">
      <c r="A2" s="46">
        <v>41240</v>
      </c>
      <c r="B2" s="77" t="s">
        <v>541</v>
      </c>
      <c r="C2" s="48" t="s">
        <v>540</v>
      </c>
    </row>
    <row r="3" spans="1:3" s="45" customFormat="1" ht="42.75">
      <c r="A3" s="46">
        <v>41249</v>
      </c>
      <c r="B3" s="77" t="s">
        <v>633</v>
      </c>
      <c r="C3" s="48" t="s">
        <v>615</v>
      </c>
    </row>
    <row r="4" spans="1:3" s="45" customFormat="1" ht="142.5">
      <c r="A4" s="46">
        <v>41261</v>
      </c>
      <c r="B4" s="77" t="s">
        <v>685</v>
      </c>
      <c r="C4" s="48" t="s">
        <v>615</v>
      </c>
    </row>
    <row r="5" spans="1:3" ht="28.5">
      <c r="A5" s="46">
        <v>41271</v>
      </c>
      <c r="B5" s="77" t="s">
        <v>691</v>
      </c>
      <c r="C5" s="48" t="s">
        <v>615</v>
      </c>
    </row>
    <row r="6" spans="1:3" ht="28.5">
      <c r="A6" s="46">
        <v>41286</v>
      </c>
      <c r="B6" s="77" t="s">
        <v>714</v>
      </c>
      <c r="C6" s="48" t="s">
        <v>615</v>
      </c>
    </row>
    <row r="7" spans="1:3" ht="85.5">
      <c r="A7" s="46">
        <v>41290</v>
      </c>
      <c r="B7" s="77" t="s">
        <v>727</v>
      </c>
      <c r="C7" s="48" t="s">
        <v>615</v>
      </c>
    </row>
    <row r="8" spans="1:3" ht="57">
      <c r="A8" s="46">
        <v>41296</v>
      </c>
      <c r="B8" s="77" t="s">
        <v>733</v>
      </c>
      <c r="C8" s="48" t="s">
        <v>732</v>
      </c>
    </row>
    <row r="9" spans="1:3" ht="28.5">
      <c r="A9" s="46">
        <v>41337</v>
      </c>
      <c r="B9" s="77" t="s">
        <v>734</v>
      </c>
      <c r="C9" s="48" t="s">
        <v>732</v>
      </c>
    </row>
    <row r="10" spans="1:3" ht="57">
      <c r="A10" s="46">
        <v>41397</v>
      </c>
      <c r="B10" s="77" t="s">
        <v>943</v>
      </c>
      <c r="C10" s="48" t="s">
        <v>732</v>
      </c>
    </row>
    <row r="11" spans="1:3" ht="28.5">
      <c r="A11" s="46">
        <v>41421</v>
      </c>
      <c r="B11" s="77" t="s">
        <v>1062</v>
      </c>
      <c r="C11" s="48" t="s">
        <v>732</v>
      </c>
    </row>
    <row r="12" spans="1:3" ht="28.5">
      <c r="A12" s="46">
        <v>41430</v>
      </c>
      <c r="B12" s="77" t="s">
        <v>1065</v>
      </c>
      <c r="C12" s="48" t="s">
        <v>732</v>
      </c>
    </row>
    <row r="13" spans="1:3" ht="61.5" customHeight="1">
      <c r="A13" s="46">
        <v>41477</v>
      </c>
      <c r="B13" s="77" t="s">
        <v>1077</v>
      </c>
      <c r="C13" s="48" t="s">
        <v>1078</v>
      </c>
    </row>
    <row r="14" spans="1:3" ht="42.75">
      <c r="A14" s="46">
        <v>41477</v>
      </c>
      <c r="B14" s="77" t="s">
        <v>1079</v>
      </c>
      <c r="C14" s="48" t="s">
        <v>1080</v>
      </c>
    </row>
    <row r="15" spans="1:3" ht="90.75" customHeight="1">
      <c r="A15" s="46">
        <v>41479</v>
      </c>
      <c r="B15" s="77" t="s">
        <v>1085</v>
      </c>
      <c r="C15" s="48" t="s">
        <v>1084</v>
      </c>
    </row>
    <row r="16" spans="1:3" ht="90.75" customHeight="1">
      <c r="A16" s="46"/>
      <c r="B16" s="77"/>
      <c r="C16" s="1"/>
    </row>
    <row r="17" spans="1:3" ht="90.75" customHeight="1">
      <c r="A17" s="46"/>
      <c r="B17" s="77"/>
      <c r="C17" s="1"/>
    </row>
    <row r="18" spans="1:3" ht="90.75" customHeight="1">
      <c r="A18" s="46"/>
      <c r="B18" s="77"/>
      <c r="C18" s="1"/>
    </row>
    <row r="19" spans="1:3" ht="113.45" customHeight="1">
      <c r="A19" s="46"/>
      <c r="B19" s="77"/>
      <c r="C19" s="1"/>
    </row>
    <row r="20" spans="1:3" ht="113.45" customHeight="1">
      <c r="A20" s="46"/>
      <c r="B20" s="77"/>
      <c r="C20" s="1"/>
    </row>
    <row r="21" spans="1:3" ht="113.45" customHeight="1">
      <c r="A21" s="46"/>
      <c r="B21" s="77"/>
      <c r="C21" s="1"/>
    </row>
    <row r="22" spans="1:3" ht="113.45" customHeight="1">
      <c r="A22" s="46"/>
      <c r="B22" s="77"/>
      <c r="C22" s="1"/>
    </row>
    <row r="23" spans="1:3" ht="113.45" customHeight="1">
      <c r="A23" s="46"/>
      <c r="B23" s="77"/>
      <c r="C23" s="1"/>
    </row>
    <row r="24" spans="1:3" ht="113.45" customHeight="1">
      <c r="A24" s="46"/>
      <c r="B24" s="77"/>
      <c r="C24" s="1"/>
    </row>
    <row r="25" spans="1:3" ht="113.45" customHeight="1">
      <c r="A25" s="46"/>
      <c r="B25" s="48"/>
      <c r="C25" s="1"/>
    </row>
    <row r="26" spans="1:3" ht="113.45" customHeight="1">
      <c r="A26" s="46"/>
      <c r="B26" s="48"/>
      <c r="C26" s="1"/>
    </row>
    <row r="27" spans="1:3" ht="113.45" customHeight="1">
      <c r="A27" s="46"/>
      <c r="B27" s="1"/>
      <c r="C27" s="1"/>
    </row>
    <row r="28" spans="1:3" ht="113.45" customHeight="1">
      <c r="A28" s="46"/>
      <c r="B28" s="48"/>
      <c r="C28" s="1"/>
    </row>
    <row r="29" spans="1:3" ht="113.45" customHeight="1">
      <c r="A29" s="46"/>
      <c r="B29" s="1"/>
      <c r="C29" s="1"/>
    </row>
    <row r="30" spans="1:3" ht="113.45" customHeight="1">
      <c r="A30" s="46"/>
      <c r="B30" s="48"/>
      <c r="C30" s="1"/>
    </row>
    <row r="31" spans="1:3" ht="113.45" customHeight="1">
      <c r="A31" s="46"/>
      <c r="B31" s="1"/>
      <c r="C31" s="1"/>
    </row>
    <row r="32" spans="1:3" ht="113.45" customHeight="1">
      <c r="A32" s="46"/>
      <c r="B32" s="58"/>
      <c r="C32" s="1"/>
    </row>
    <row r="33" spans="1:3" ht="113.45" customHeight="1">
      <c r="A33" s="46"/>
      <c r="B33" s="59"/>
      <c r="C33" s="1"/>
    </row>
    <row r="34" spans="1:3" ht="113.45" customHeight="1">
      <c r="A34" s="46"/>
      <c r="B34" s="60"/>
      <c r="C34" s="1"/>
    </row>
    <row r="35" spans="1:3" ht="113.45" customHeight="1">
      <c r="A35" s="46"/>
      <c r="B35" s="48"/>
      <c r="C35" s="1"/>
    </row>
    <row r="36" spans="1:3" s="26" customFormat="1" ht="15">
      <c r="A36" s="41"/>
      <c r="B36" s="43"/>
      <c r="C36" s="43"/>
    </row>
    <row r="37" spans="1:3" s="26" customFormat="1" ht="15">
      <c r="A37" s="46"/>
      <c r="B37" s="48"/>
      <c r="C37" s="1"/>
    </row>
    <row r="38" spans="1:3" s="26" customFormat="1" ht="15">
      <c r="A38" s="46"/>
      <c r="B38" s="61"/>
      <c r="C38" s="1"/>
    </row>
    <row r="39" spans="1:3" s="26" customFormat="1" ht="15">
      <c r="A39" s="46"/>
      <c r="B39" s="48"/>
      <c r="C39" s="1"/>
    </row>
    <row r="40" spans="1:3" s="26" customFormat="1" ht="15">
      <c r="A40" s="46"/>
      <c r="B40" s="1"/>
      <c r="C40" s="1"/>
    </row>
    <row r="41" spans="1:3" s="26" customFormat="1" ht="43.5" customHeight="1">
      <c r="A41" s="46"/>
      <c r="B41" s="1"/>
      <c r="C41" s="1"/>
    </row>
    <row r="42" spans="1:3" s="26" customFormat="1" ht="43.5" customHeight="1">
      <c r="A42" s="46"/>
      <c r="B42" s="1"/>
      <c r="C42" s="1"/>
    </row>
    <row r="43" spans="1:3" s="26" customFormat="1" ht="15">
      <c r="A43" s="46"/>
      <c r="B43" s="63"/>
      <c r="C43" s="1"/>
    </row>
    <row r="44" spans="1:3" s="26" customFormat="1" ht="15">
      <c r="A44" s="46"/>
      <c r="B44" s="1"/>
      <c r="C44" s="1"/>
    </row>
    <row r="45" spans="1:3" s="26" customFormat="1" ht="15">
      <c r="A45" s="46"/>
      <c r="B45" s="1"/>
      <c r="C45" s="1"/>
    </row>
    <row r="46" spans="1:3" s="26" customFormat="1" ht="15">
      <c r="A46" s="46"/>
      <c r="B46" s="1"/>
      <c r="C46" s="1"/>
    </row>
    <row r="47" spans="1:3" s="26" customFormat="1" ht="15">
      <c r="A47" s="46"/>
      <c r="B47" s="1"/>
      <c r="C47" s="1"/>
    </row>
    <row r="48" spans="1:3" s="26" customFormat="1" ht="15">
      <c r="A48" s="46"/>
      <c r="B48" s="1"/>
      <c r="C48" s="1"/>
    </row>
    <row r="49" spans="1:3" s="26" customFormat="1" ht="15">
      <c r="A49" s="46"/>
      <c r="B49" s="48"/>
      <c r="C49" s="1"/>
    </row>
    <row r="50" spans="1:3" s="26" customFormat="1" ht="15">
      <c r="A50" s="46"/>
      <c r="B50" s="64"/>
      <c r="C50" s="1"/>
    </row>
    <row r="51" spans="1:3" s="26" customFormat="1" ht="15">
      <c r="A51" s="46"/>
      <c r="B51" s="48"/>
      <c r="C51" s="1"/>
    </row>
    <row r="52" spans="1:3" s="26" customFormat="1" ht="15">
      <c r="A52" s="46"/>
      <c r="B52" s="1"/>
      <c r="C52" s="1"/>
    </row>
    <row r="53" spans="1:3" s="26" customFormat="1" ht="15">
      <c r="A53" s="46"/>
      <c r="B53" s="1"/>
      <c r="C53" s="1"/>
    </row>
    <row r="54" spans="1:3" s="26" customFormat="1" ht="15">
      <c r="A54" s="46"/>
      <c r="B54" s="1"/>
      <c r="C54" s="1"/>
    </row>
    <row r="55" spans="1:3" s="26" customFormat="1" ht="15">
      <c r="A55" s="46"/>
      <c r="B55" s="65"/>
      <c r="C55" s="1"/>
    </row>
    <row r="56" spans="1:3" s="26" customFormat="1" ht="15">
      <c r="A56" s="46"/>
      <c r="B56" s="48"/>
      <c r="C56" s="1"/>
    </row>
    <row r="57" spans="1:3" s="26" customFormat="1" ht="15">
      <c r="A57" s="46"/>
      <c r="B57" s="42"/>
      <c r="C57" s="42"/>
    </row>
    <row r="58" spans="1:3" s="26" customFormat="1" ht="15">
      <c r="A58" s="46"/>
      <c r="B58" s="65"/>
      <c r="C58" s="1"/>
    </row>
    <row r="59" spans="1:3" s="26" customFormat="1" ht="15">
      <c r="A59" s="46"/>
      <c r="B59" s="65"/>
      <c r="C59" s="1"/>
    </row>
    <row r="60" spans="1:3" s="26" customFormat="1" ht="15">
      <c r="A60" s="46"/>
      <c r="B60" s="65"/>
      <c r="C60" s="1"/>
    </row>
    <row r="61" spans="1:3" s="26" customFormat="1" ht="15">
      <c r="A61" s="46"/>
      <c r="B61" s="65"/>
      <c r="C61" s="1"/>
    </row>
    <row r="62" spans="1:3" s="26" customFormat="1" ht="15">
      <c r="A62" s="46"/>
      <c r="B62" s="65"/>
      <c r="C62" s="1"/>
    </row>
    <row r="63" spans="1:3" s="26" customFormat="1" ht="15">
      <c r="A63" s="46"/>
      <c r="B63" s="65"/>
      <c r="C63" s="1"/>
    </row>
    <row r="64" spans="1:3" s="26" customFormat="1" ht="15">
      <c r="A64" s="46"/>
      <c r="B64" s="65"/>
      <c r="C64" s="1"/>
    </row>
    <row r="65" spans="1:3" s="26" customFormat="1" ht="15">
      <c r="A65" s="46"/>
      <c r="B65" s="48"/>
      <c r="C65" s="1"/>
    </row>
    <row r="66" spans="1:3" s="26" customFormat="1" ht="15">
      <c r="A66" s="46"/>
      <c r="B66" s="48"/>
      <c r="C66" s="1"/>
    </row>
    <row r="67" spans="1:3" s="26" customFormat="1" ht="15">
      <c r="A67" s="44"/>
      <c r="B67" s="42"/>
      <c r="C67" s="42"/>
    </row>
    <row r="68" spans="1:3" s="26" customFormat="1" ht="15">
      <c r="A68" s="44"/>
      <c r="B68" s="42"/>
      <c r="C68" s="42"/>
    </row>
    <row r="69" spans="1:3" s="26" customFormat="1" ht="15">
      <c r="A69" s="44"/>
      <c r="B69" s="42"/>
      <c r="C69" s="42"/>
    </row>
    <row r="70" spans="1:3" s="26" customFormat="1" ht="15">
      <c r="A70" s="44"/>
      <c r="B70" s="42"/>
      <c r="C70" s="42"/>
    </row>
    <row r="71" spans="1:3" s="26" customFormat="1" ht="15">
      <c r="A71" s="44"/>
      <c r="B71" s="42"/>
      <c r="C71" s="42"/>
    </row>
    <row r="72" spans="1:3" s="26" customFormat="1" ht="15">
      <c r="A72" s="44"/>
      <c r="B72" s="42"/>
      <c r="C72" s="42"/>
    </row>
    <row r="73" spans="1:3" s="26" customFormat="1" ht="15">
      <c r="A73" s="44"/>
      <c r="B73" s="42"/>
      <c r="C73" s="42"/>
    </row>
    <row r="74" spans="1:3" s="26" customFormat="1" ht="15">
      <c r="A74" s="44"/>
      <c r="B74" s="42"/>
      <c r="C74" s="42"/>
    </row>
    <row r="75" spans="1:3" s="26" customFormat="1" ht="15">
      <c r="A75" s="44"/>
      <c r="B75" s="42"/>
      <c r="C75" s="42"/>
    </row>
    <row r="76" spans="1:3" ht="15">
      <c r="A76" s="44"/>
      <c r="B76" s="42"/>
      <c r="C76" s="42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workbookViewId="0">
      <selection activeCell="C12" sqref="C12:E12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950000000000003" customHeight="1">
      <c r="A1" s="24" t="s">
        <v>42</v>
      </c>
    </row>
    <row r="2" spans="1:5" ht="26.25" customHeight="1">
      <c r="B2" s="16" t="s">
        <v>24</v>
      </c>
      <c r="C2" s="16" t="s">
        <v>5</v>
      </c>
      <c r="D2" s="16" t="s">
        <v>6</v>
      </c>
      <c r="E2" s="16" t="s">
        <v>7</v>
      </c>
    </row>
    <row r="3" spans="1:5" ht="38.25" customHeight="1">
      <c r="B3" s="3" t="s">
        <v>3</v>
      </c>
      <c r="C3" s="295" t="s">
        <v>421</v>
      </c>
      <c r="D3" s="296"/>
      <c r="E3" s="297"/>
    </row>
    <row r="4" spans="1:5" ht="38.25" customHeight="1">
      <c r="B4" s="3" t="s">
        <v>4</v>
      </c>
      <c r="C4" s="30" t="s">
        <v>422</v>
      </c>
      <c r="D4" s="30" t="s">
        <v>423</v>
      </c>
      <c r="E4" s="30" t="s">
        <v>424</v>
      </c>
    </row>
    <row r="5" spans="1:5" ht="38.25" customHeight="1">
      <c r="B5" s="3" t="s">
        <v>2</v>
      </c>
      <c r="C5" s="30"/>
      <c r="D5" s="30">
        <v>0.65</v>
      </c>
      <c r="E5" s="30"/>
    </row>
    <row r="6" spans="1:5" s="12" customFormat="1" ht="27.2" customHeight="1">
      <c r="B6" s="21" t="s">
        <v>30</v>
      </c>
      <c r="C6" s="298" t="s">
        <v>29</v>
      </c>
      <c r="D6" s="298"/>
      <c r="E6" s="298"/>
    </row>
    <row r="7" spans="1:5" s="12" customFormat="1" ht="12.75" customHeight="1">
      <c r="B7" s="19"/>
      <c r="C7" s="20"/>
      <c r="D7" s="20"/>
      <c r="E7" s="20"/>
    </row>
    <row r="8" spans="1:5" s="12" customFormat="1" ht="37.700000000000003" customHeight="1">
      <c r="B8" s="17" t="s">
        <v>20</v>
      </c>
      <c r="C8" s="18" t="s">
        <v>23</v>
      </c>
      <c r="D8" s="18" t="s">
        <v>21</v>
      </c>
      <c r="E8" s="18" t="s">
        <v>22</v>
      </c>
    </row>
    <row r="9" spans="1:5" ht="29.25" customHeight="1">
      <c r="B9" s="3" t="s">
        <v>13</v>
      </c>
      <c r="C9" s="31"/>
      <c r="D9" s="31"/>
      <c r="E9" s="31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9" t="s">
        <v>33</v>
      </c>
      <c r="B11" s="28"/>
    </row>
    <row r="12" spans="1:5" ht="78" customHeight="1">
      <c r="A12" s="5"/>
      <c r="B12" s="17" t="s">
        <v>34</v>
      </c>
      <c r="C12" s="294"/>
      <c r="D12" s="294"/>
      <c r="E12" s="294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.2" customHeight="1">
      <c r="A17" s="27" t="s">
        <v>36</v>
      </c>
    </row>
    <row r="18" spans="1:9" s="23" customFormat="1" ht="148.5" customHeight="1">
      <c r="B18" s="299" t="s">
        <v>35</v>
      </c>
      <c r="C18" s="301"/>
      <c r="D18" s="301"/>
      <c r="E18" s="301"/>
      <c r="F18" s="301"/>
      <c r="G18" s="302"/>
      <c r="H18" s="26"/>
      <c r="I18" s="26"/>
    </row>
    <row r="19" spans="1:9" s="23" customFormat="1" ht="36.75" customHeight="1" thickBot="1">
      <c r="B19" s="300"/>
      <c r="C19" s="22"/>
      <c r="D19" s="303"/>
      <c r="E19" s="303"/>
      <c r="F19" s="303"/>
      <c r="G19" s="304"/>
      <c r="H19" s="26"/>
      <c r="I19" s="26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46" r:id="rId4" name="OptionButton4"/>
    <control shapeId="5147" r:id="rId5" name="OptionButton5"/>
    <control shapeId="5144" r:id="rId6" name="OptionButton3"/>
    <control shapeId="5137" r:id="rId7" name="OptionButton2"/>
    <control shapeId="5128" r:id="rId8" name="Option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306" t="s">
        <v>420</v>
      </c>
      <c r="D2" s="307"/>
      <c r="E2" s="308"/>
    </row>
    <row r="3" spans="2:5" ht="18.75">
      <c r="B3" s="4" t="s">
        <v>25</v>
      </c>
      <c r="C3" s="306" t="s">
        <v>419</v>
      </c>
      <c r="D3" s="309"/>
      <c r="E3" s="310"/>
    </row>
    <row r="4" spans="2:5" ht="18.75">
      <c r="B4" s="4" t="s">
        <v>31</v>
      </c>
      <c r="C4" s="305" t="s">
        <v>418</v>
      </c>
      <c r="D4" s="305"/>
      <c r="E4" s="305"/>
    </row>
    <row r="5" spans="2:5" ht="18.75">
      <c r="B5" s="4" t="s">
        <v>32</v>
      </c>
      <c r="C5" s="305" t="s">
        <v>43</v>
      </c>
      <c r="D5" s="305"/>
      <c r="E5" s="305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306"/>
      <c r="D8" s="307"/>
      <c r="E8" s="308"/>
    </row>
    <row r="9" spans="2:5" ht="18.75">
      <c r="B9" s="4" t="s">
        <v>25</v>
      </c>
      <c r="C9" s="306"/>
      <c r="D9" s="309"/>
      <c r="E9" s="310"/>
    </row>
    <row r="10" spans="2:5" ht="18.75">
      <c r="B10" s="4" t="s">
        <v>31</v>
      </c>
      <c r="C10" s="305"/>
      <c r="D10" s="305"/>
      <c r="E10" s="305"/>
    </row>
    <row r="11" spans="2:5" ht="18.75">
      <c r="B11" s="4" t="s">
        <v>32</v>
      </c>
      <c r="C11" s="305"/>
      <c r="D11" s="305"/>
      <c r="E11" s="305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B28" sqref="B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.2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311" t="s">
        <v>41</v>
      </c>
      <c r="C4" s="32"/>
      <c r="D4" s="32">
        <v>0.8</v>
      </c>
      <c r="E4" s="32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312"/>
      <c r="C5" s="32"/>
      <c r="D5" s="32"/>
      <c r="E5" s="32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2">
        <v>0</v>
      </c>
      <c r="D6" s="32"/>
      <c r="E6" s="32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2"/>
      <c r="D7" s="32">
        <v>125</v>
      </c>
      <c r="E7" s="32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2">
        <v>-40</v>
      </c>
      <c r="D8" s="32"/>
      <c r="E8" s="32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2"/>
      <c r="D9" s="32"/>
      <c r="E9" s="32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6"/>
      <c r="D10" s="32"/>
      <c r="E10" s="36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2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T64"/>
  <sheetViews>
    <sheetView tabSelected="1" zoomScaleNormal="100" zoomScaleSheetLayoutView="100" workbookViewId="0">
      <pane xSplit="6" ySplit="2" topLeftCell="G18" activePane="bottomRight" state="frozen"/>
      <selection pane="topRight" activeCell="E1" sqref="E1"/>
      <selection pane="bottomLeft" activeCell="A7" sqref="A7"/>
      <selection pane="bottomRight" activeCell="A35" sqref="A35:XFD35"/>
    </sheetView>
  </sheetViews>
  <sheetFormatPr defaultColWidth="9" defaultRowHeight="14.25"/>
  <cols>
    <col min="1" max="1" width="18.25" customWidth="1"/>
    <col min="2" max="2" width="6.25" customWidth="1"/>
    <col min="3" max="3" width="6.125" style="231" customWidth="1"/>
    <col min="4" max="4" width="5.5" style="207" customWidth="1"/>
    <col min="5" max="5" width="7.75" customWidth="1"/>
    <col min="6" max="6" width="21" customWidth="1"/>
    <col min="7" max="9" width="16" style="254" customWidth="1"/>
    <col min="10" max="11" width="11.625" style="254" customWidth="1"/>
    <col min="12" max="12" width="4.875" customWidth="1"/>
    <col min="13" max="13" width="9.125" customWidth="1"/>
    <col min="14" max="14" width="10.375" customWidth="1"/>
    <col min="15" max="15" width="9.375" customWidth="1"/>
    <col min="16" max="16" width="5.5" customWidth="1"/>
    <col min="17" max="17" width="4.625" customWidth="1"/>
    <col min="18" max="18" width="10.625" customWidth="1"/>
    <col min="19" max="19" width="15.875" customWidth="1"/>
    <col min="20" max="20" width="18.125" customWidth="1"/>
    <col min="21" max="21" width="16.5" customWidth="1"/>
    <col min="22" max="22" width="4.75" customWidth="1"/>
    <col min="23" max="23" width="34.25" customWidth="1"/>
    <col min="24" max="24" width="8" customWidth="1"/>
    <col min="25" max="25" width="68.75" style="140" customWidth="1"/>
    <col min="26" max="26" width="18.875" customWidth="1"/>
    <col min="27" max="27" width="5.625" customWidth="1"/>
    <col min="28" max="28" width="34.25" customWidth="1"/>
    <col min="29" max="29" width="10.875" customWidth="1"/>
    <col min="30" max="30" width="29" customWidth="1"/>
    <col min="31" max="31" width="19" customWidth="1"/>
    <col min="32" max="32" width="5.5" customWidth="1"/>
    <col min="33" max="33" width="36.25" customWidth="1"/>
    <col min="34" max="34" width="8" customWidth="1"/>
    <col min="35" max="35" width="30.375" customWidth="1"/>
    <col min="36" max="36" width="19" customWidth="1"/>
    <col min="37" max="37" width="5" customWidth="1"/>
    <col min="38" max="38" width="35.25" customWidth="1"/>
    <col min="39" max="39" width="9.75" bestFit="1" customWidth="1"/>
    <col min="40" max="40" width="24.875" customWidth="1"/>
    <col min="42" max="42" width="12.125" bestFit="1" customWidth="1"/>
  </cols>
  <sheetData>
    <row r="1" spans="1:46" s="13" customFormat="1" ht="15">
      <c r="A1" s="334" t="s">
        <v>735</v>
      </c>
      <c r="B1" s="340" t="s">
        <v>736</v>
      </c>
      <c r="C1" s="340" t="s">
        <v>737</v>
      </c>
      <c r="D1" s="334" t="s">
        <v>738</v>
      </c>
      <c r="E1" s="334" t="s">
        <v>739</v>
      </c>
      <c r="F1" s="334" t="s">
        <v>740</v>
      </c>
      <c r="G1" s="267" t="s">
        <v>1066</v>
      </c>
      <c r="H1" s="268" t="s">
        <v>1067</v>
      </c>
      <c r="I1" s="268" t="s">
        <v>1068</v>
      </c>
      <c r="J1" s="268" t="s">
        <v>1069</v>
      </c>
      <c r="K1" s="269" t="s">
        <v>1070</v>
      </c>
      <c r="L1" s="334" t="s">
        <v>741</v>
      </c>
      <c r="M1" s="334" t="s">
        <v>742</v>
      </c>
      <c r="N1" s="334" t="s">
        <v>743</v>
      </c>
      <c r="O1" s="334" t="s">
        <v>744</v>
      </c>
      <c r="P1" s="334" t="s">
        <v>745</v>
      </c>
      <c r="Q1" s="336" t="s" ph="1">
        <v>1083</v>
      </c>
      <c r="R1" s="336" t="s" ph="1">
        <v>746</v>
      </c>
      <c r="S1" s="336" t="s" ph="1">
        <v>747</v>
      </c>
      <c r="T1" s="334" t="s">
        <v>748</v>
      </c>
      <c r="U1" s="148" t="s">
        <v>749</v>
      </c>
      <c r="V1" s="149"/>
      <c r="W1" s="149"/>
      <c r="X1" s="149"/>
      <c r="Y1" s="150"/>
      <c r="Z1" s="151" t="s">
        <v>506</v>
      </c>
      <c r="AA1" s="149"/>
      <c r="AB1" s="149"/>
      <c r="AC1" s="149"/>
      <c r="AD1" s="152"/>
      <c r="AE1" s="151" t="s">
        <v>507</v>
      </c>
      <c r="AF1" s="149"/>
      <c r="AG1" s="149"/>
      <c r="AH1" s="149"/>
      <c r="AI1" s="152"/>
      <c r="AJ1" s="151" t="s">
        <v>508</v>
      </c>
      <c r="AK1" s="153"/>
      <c r="AL1" s="153"/>
      <c r="AM1" s="153"/>
      <c r="AN1" s="154"/>
      <c r="AO1" s="332" t="s">
        <v>750</v>
      </c>
      <c r="AP1" s="232" t="s">
        <v>751</v>
      </c>
      <c r="AQ1" s="232" t="s">
        <v>752</v>
      </c>
      <c r="AR1" s="233" t="s">
        <v>753</v>
      </c>
      <c r="AS1" s="232" t="s">
        <v>752</v>
      </c>
    </row>
    <row r="2" spans="1:46" s="13" customFormat="1" ht="15">
      <c r="A2" s="335"/>
      <c r="B2" s="337"/>
      <c r="C2" s="337"/>
      <c r="D2" s="335"/>
      <c r="E2" s="335"/>
      <c r="F2" s="335"/>
      <c r="G2" s="341" t="s">
        <v>1076</v>
      </c>
      <c r="H2" s="342"/>
      <c r="I2" s="342"/>
      <c r="J2" s="342"/>
      <c r="K2" s="343"/>
      <c r="L2" s="335"/>
      <c r="M2" s="335"/>
      <c r="N2" s="335"/>
      <c r="O2" s="335"/>
      <c r="P2" s="335"/>
      <c r="Q2" s="337" ph="1"/>
      <c r="R2" s="337" ph="1"/>
      <c r="S2" s="337" ph="1"/>
      <c r="T2" s="335"/>
      <c r="U2" s="155" t="s">
        <v>754</v>
      </c>
      <c r="V2" s="155" t="s">
        <v>755</v>
      </c>
      <c r="W2" s="155" t="s">
        <v>756</v>
      </c>
      <c r="X2" s="155" t="s">
        <v>757</v>
      </c>
      <c r="Y2" s="156" t="s">
        <v>758</v>
      </c>
      <c r="Z2" s="157" t="s">
        <v>759</v>
      </c>
      <c r="AA2" s="157" t="s">
        <v>755</v>
      </c>
      <c r="AB2" s="155" t="s">
        <v>756</v>
      </c>
      <c r="AC2" s="155" t="s">
        <v>757</v>
      </c>
      <c r="AD2" s="157" t="s">
        <v>760</v>
      </c>
      <c r="AE2" s="157" t="s">
        <v>759</v>
      </c>
      <c r="AF2" s="157" t="s">
        <v>755</v>
      </c>
      <c r="AG2" s="157" t="s">
        <v>756</v>
      </c>
      <c r="AH2" s="155" t="s">
        <v>757</v>
      </c>
      <c r="AI2" s="157" t="s">
        <v>760</v>
      </c>
      <c r="AJ2" s="157" t="s">
        <v>759</v>
      </c>
      <c r="AK2" s="157" t="s">
        <v>755</v>
      </c>
      <c r="AL2" s="157" t="s">
        <v>756</v>
      </c>
      <c r="AM2" s="155" t="s">
        <v>757</v>
      </c>
      <c r="AN2" s="157" t="s">
        <v>760</v>
      </c>
      <c r="AO2" s="333"/>
      <c r="AP2" s="243"/>
      <c r="AQ2" s="243"/>
      <c r="AR2" s="243"/>
      <c r="AS2" s="243"/>
    </row>
    <row r="3" spans="1:46" s="213" customFormat="1">
      <c r="A3" s="240" t="s">
        <v>761</v>
      </c>
      <c r="B3" s="241"/>
      <c r="C3" s="241"/>
      <c r="D3" s="241"/>
      <c r="E3" s="241"/>
      <c r="F3" s="241"/>
      <c r="G3" s="270"/>
      <c r="H3" s="270"/>
      <c r="I3" s="270"/>
      <c r="J3" s="270"/>
      <c r="K3" s="270"/>
      <c r="L3" s="39"/>
      <c r="M3" s="39"/>
      <c r="N3" s="39"/>
      <c r="O3" s="39"/>
      <c r="P3" s="39"/>
      <c r="Q3" s="39"/>
      <c r="R3" s="39"/>
      <c r="S3" s="39"/>
      <c r="T3" s="38"/>
      <c r="U3" s="38"/>
      <c r="V3" s="37"/>
      <c r="W3" s="37"/>
      <c r="X3" s="37"/>
      <c r="Y3" s="141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242"/>
      <c r="AQ3" s="242"/>
      <c r="AR3" s="242"/>
      <c r="AS3" s="242"/>
    </row>
    <row r="4" spans="1:46" s="47" customFormat="1" ht="12.75">
      <c r="A4" s="146" t="s">
        <v>762</v>
      </c>
      <c r="B4" s="62" t="s">
        <v>56</v>
      </c>
      <c r="C4" s="62" t="s">
        <v>56</v>
      </c>
      <c r="D4" s="62" t="s">
        <v>56</v>
      </c>
      <c r="E4" s="62" t="s">
        <v>50</v>
      </c>
      <c r="F4" s="146" t="s">
        <v>477</v>
      </c>
      <c r="G4" s="271" t="s">
        <v>1071</v>
      </c>
      <c r="H4" s="271" t="s">
        <v>1071</v>
      </c>
      <c r="I4" s="47" t="s">
        <v>1072</v>
      </c>
      <c r="J4" s="272" t="s">
        <v>1073</v>
      </c>
      <c r="K4" s="272" t="s">
        <v>1073</v>
      </c>
      <c r="L4" s="62" t="s">
        <v>54</v>
      </c>
      <c r="M4" s="62" t="s">
        <v>763</v>
      </c>
      <c r="N4" s="62" t="s">
        <v>764</v>
      </c>
      <c r="O4" s="62" t="s">
        <v>113</v>
      </c>
      <c r="P4" s="62" t="s">
        <v>116</v>
      </c>
      <c r="Q4" s="62" t="s">
        <v>174</v>
      </c>
      <c r="R4" s="62" t="s">
        <v>765</v>
      </c>
      <c r="S4" s="62" t="s">
        <v>12</v>
      </c>
      <c r="T4" s="62" t="s">
        <v>498</v>
      </c>
      <c r="U4" s="62" t="str">
        <f t="shared" ref="U4:U10" si="0">LOWER(F4)</f>
        <v>clkin_sleep</v>
      </c>
      <c r="V4" s="62" t="s">
        <v>54</v>
      </c>
      <c r="W4" s="62" t="s">
        <v>766</v>
      </c>
      <c r="X4" s="62" t="s">
        <v>767</v>
      </c>
      <c r="Y4" s="215" t="s">
        <v>768</v>
      </c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325" t="s">
        <v>769</v>
      </c>
      <c r="AQ4" s="244" t="s">
        <v>770</v>
      </c>
      <c r="AR4" s="325" t="s">
        <v>771</v>
      </c>
      <c r="AS4" s="244" t="s">
        <v>772</v>
      </c>
      <c r="AT4" s="234"/>
    </row>
    <row r="5" spans="1:46" s="62" customFormat="1">
      <c r="A5" s="146" t="s">
        <v>762</v>
      </c>
      <c r="B5" s="62" t="s">
        <v>56</v>
      </c>
      <c r="C5" s="62" t="s">
        <v>56</v>
      </c>
      <c r="D5" s="62" t="s">
        <v>56</v>
      </c>
      <c r="E5" s="62" t="s">
        <v>50</v>
      </c>
      <c r="F5" s="146" t="s">
        <v>773</v>
      </c>
      <c r="G5" s="271" t="s">
        <v>1071</v>
      </c>
      <c r="H5" s="271" t="s">
        <v>1071</v>
      </c>
      <c r="I5" s="47" t="s">
        <v>1072</v>
      </c>
      <c r="J5" s="272" t="s">
        <v>1073</v>
      </c>
      <c r="K5" s="272" t="s">
        <v>1073</v>
      </c>
      <c r="L5" s="62" t="s">
        <v>54</v>
      </c>
      <c r="M5" s="62" t="s">
        <v>719</v>
      </c>
      <c r="N5" s="62" t="s">
        <v>764</v>
      </c>
      <c r="O5" s="62" t="s">
        <v>113</v>
      </c>
      <c r="P5" s="62" t="s">
        <v>116</v>
      </c>
      <c r="Q5" s="62" t="s">
        <v>85</v>
      </c>
      <c r="R5" s="62" t="s">
        <v>765</v>
      </c>
      <c r="S5" s="62" t="s">
        <v>482</v>
      </c>
      <c r="T5" s="62" t="s">
        <v>498</v>
      </c>
      <c r="U5" s="62" t="str">
        <f t="shared" si="0"/>
        <v>rstin_n</v>
      </c>
      <c r="V5" s="62" t="s">
        <v>54</v>
      </c>
      <c r="W5" s="62" t="s">
        <v>766</v>
      </c>
      <c r="X5" s="62" t="s">
        <v>719</v>
      </c>
      <c r="Y5" s="215" t="s">
        <v>774</v>
      </c>
      <c r="Z5" s="162"/>
      <c r="AP5" s="326"/>
      <c r="AQ5" s="244" t="s">
        <v>770</v>
      </c>
      <c r="AR5" s="326"/>
      <c r="AS5" s="244" t="s">
        <v>770</v>
      </c>
      <c r="AT5" s="235"/>
    </row>
    <row r="6" spans="1:46" s="62" customFormat="1">
      <c r="A6" s="146" t="s">
        <v>775</v>
      </c>
      <c r="B6" s="62" t="s">
        <v>56</v>
      </c>
      <c r="C6" s="62" t="s">
        <v>56</v>
      </c>
      <c r="D6" s="62" t="s">
        <v>56</v>
      </c>
      <c r="E6" s="62" t="s">
        <v>50</v>
      </c>
      <c r="F6" s="146" t="s">
        <v>776</v>
      </c>
      <c r="G6" s="271" t="s">
        <v>1071</v>
      </c>
      <c r="H6" s="47" t="s">
        <v>1072</v>
      </c>
      <c r="I6" s="47" t="s">
        <v>1072</v>
      </c>
      <c r="J6" s="272" t="s">
        <v>1073</v>
      </c>
      <c r="K6" s="272" t="s">
        <v>1073</v>
      </c>
      <c r="L6" s="62" t="s">
        <v>115</v>
      </c>
      <c r="M6" s="62" t="s">
        <v>719</v>
      </c>
      <c r="N6" s="62" t="s">
        <v>777</v>
      </c>
      <c r="O6" s="62" t="s">
        <v>113</v>
      </c>
      <c r="P6" s="62" t="s">
        <v>114</v>
      </c>
      <c r="Q6" s="62" t="s">
        <v>731</v>
      </c>
      <c r="R6" s="62" t="s">
        <v>778</v>
      </c>
      <c r="S6" s="62" t="s">
        <v>46</v>
      </c>
      <c r="T6" s="62" t="s">
        <v>499</v>
      </c>
      <c r="U6" s="62" t="str">
        <f t="shared" si="0"/>
        <v>rstout_n</v>
      </c>
      <c r="V6" s="62" t="s">
        <v>115</v>
      </c>
      <c r="W6" s="62" t="s">
        <v>766</v>
      </c>
      <c r="X6" s="62" t="s">
        <v>719</v>
      </c>
      <c r="Y6" s="215" t="s">
        <v>779</v>
      </c>
      <c r="Z6" s="162"/>
      <c r="AP6" s="326"/>
      <c r="AQ6" s="244" t="s">
        <v>770</v>
      </c>
      <c r="AR6" s="326"/>
      <c r="AS6" s="244" t="s">
        <v>770</v>
      </c>
      <c r="AT6" s="235"/>
    </row>
    <row r="7" spans="1:46" s="62" customFormat="1" ht="12.75">
      <c r="A7" s="146" t="s">
        <v>775</v>
      </c>
      <c r="B7" s="62" t="s">
        <v>56</v>
      </c>
      <c r="C7" s="62" t="s">
        <v>56</v>
      </c>
      <c r="D7" s="62" t="s">
        <v>56</v>
      </c>
      <c r="E7" s="62" t="s">
        <v>48</v>
      </c>
      <c r="F7" s="146" t="s">
        <v>780</v>
      </c>
      <c r="G7" s="146" t="s">
        <v>1072</v>
      </c>
      <c r="H7" s="47" t="s">
        <v>1072</v>
      </c>
      <c r="I7" s="47" t="s">
        <v>1072</v>
      </c>
      <c r="J7" s="272" t="s">
        <v>1073</v>
      </c>
      <c r="K7" s="272" t="s">
        <v>1073</v>
      </c>
      <c r="L7" s="62" t="s">
        <v>53</v>
      </c>
      <c r="M7" s="62" t="s">
        <v>781</v>
      </c>
      <c r="N7" s="62" t="s">
        <v>777</v>
      </c>
      <c r="O7" s="62" t="s">
        <v>113</v>
      </c>
      <c r="P7" s="62" t="s">
        <v>116</v>
      </c>
      <c r="Q7" s="62" t="s">
        <v>85</v>
      </c>
      <c r="R7" s="62" t="s">
        <v>478</v>
      </c>
      <c r="S7" s="62" t="s">
        <v>46</v>
      </c>
      <c r="T7" s="62" t="s">
        <v>499</v>
      </c>
      <c r="U7" s="62" t="str">
        <f t="shared" si="0"/>
        <v>pmu_irq_n</v>
      </c>
      <c r="V7" s="62" t="s">
        <v>53</v>
      </c>
      <c r="W7" s="62" t="s">
        <v>766</v>
      </c>
      <c r="X7" s="62" t="s">
        <v>719</v>
      </c>
      <c r="Y7" s="215" t="s">
        <v>782</v>
      </c>
      <c r="AJ7" s="62" t="s">
        <v>783</v>
      </c>
      <c r="AK7" s="146" t="s">
        <v>53</v>
      </c>
      <c r="AL7" s="62" t="s">
        <v>784</v>
      </c>
      <c r="AM7" s="62" t="s">
        <v>781</v>
      </c>
      <c r="AP7" s="326"/>
      <c r="AQ7" s="244" t="s">
        <v>770</v>
      </c>
      <c r="AR7" s="326"/>
      <c r="AS7" s="244" t="s">
        <v>770</v>
      </c>
      <c r="AT7" s="235"/>
    </row>
    <row r="8" spans="1:46" s="47" customFormat="1" ht="12.75">
      <c r="A8" s="146" t="s">
        <v>775</v>
      </c>
      <c r="B8" s="62" t="s">
        <v>56</v>
      </c>
      <c r="C8" s="62" t="s">
        <v>56</v>
      </c>
      <c r="D8" s="62" t="s">
        <v>56</v>
      </c>
      <c r="E8" s="146" t="s">
        <v>48</v>
      </c>
      <c r="F8" s="62" t="s">
        <v>785</v>
      </c>
      <c r="G8" s="146" t="s">
        <v>1072</v>
      </c>
      <c r="H8" s="47" t="s">
        <v>1072</v>
      </c>
      <c r="I8" s="47" t="s">
        <v>1072</v>
      </c>
      <c r="J8" s="272" t="s">
        <v>1073</v>
      </c>
      <c r="K8" s="272" t="s">
        <v>1073</v>
      </c>
      <c r="L8" s="62" t="s">
        <v>51</v>
      </c>
      <c r="M8" s="62" t="s">
        <v>786</v>
      </c>
      <c r="N8" s="62" t="s">
        <v>764</v>
      </c>
      <c r="O8" s="62" t="s">
        <v>113</v>
      </c>
      <c r="P8" s="62" t="s">
        <v>114</v>
      </c>
      <c r="Q8" s="62" t="s">
        <v>179</v>
      </c>
      <c r="R8" s="62" t="s">
        <v>502</v>
      </c>
      <c r="S8" s="62" t="s">
        <v>46</v>
      </c>
      <c r="T8" s="62" t="s">
        <v>499</v>
      </c>
      <c r="U8" s="62" t="str">
        <f t="shared" si="0"/>
        <v>pmu_ssi</v>
      </c>
      <c r="V8" s="62" t="s">
        <v>51</v>
      </c>
      <c r="W8" s="62" t="s">
        <v>787</v>
      </c>
      <c r="X8" s="62" t="s">
        <v>636</v>
      </c>
      <c r="Y8" s="215"/>
      <c r="Z8" s="146"/>
      <c r="AA8" s="62"/>
      <c r="AB8" s="62"/>
      <c r="AC8" s="62"/>
      <c r="AD8" s="62"/>
      <c r="AE8" s="62"/>
      <c r="AF8" s="62"/>
      <c r="AG8" s="62"/>
      <c r="AH8" s="62"/>
      <c r="AI8" s="62"/>
      <c r="AJ8" s="62" t="s">
        <v>788</v>
      </c>
      <c r="AK8" s="62" t="s">
        <v>52</v>
      </c>
      <c r="AL8" s="62" t="s">
        <v>688</v>
      </c>
      <c r="AM8" s="62" t="s">
        <v>786</v>
      </c>
      <c r="AN8" s="62"/>
      <c r="AO8" s="62"/>
      <c r="AP8" s="326"/>
      <c r="AQ8" s="244" t="s">
        <v>770</v>
      </c>
      <c r="AR8" s="326"/>
      <c r="AS8" s="244" t="s">
        <v>770</v>
      </c>
      <c r="AT8" s="234"/>
    </row>
    <row r="9" spans="1:46" s="47" customFormat="1" ht="12.75">
      <c r="A9" s="146" t="s">
        <v>775</v>
      </c>
      <c r="B9" s="62" t="s">
        <v>56</v>
      </c>
      <c r="C9" s="62" t="s">
        <v>56</v>
      </c>
      <c r="D9" s="62" t="s">
        <v>56</v>
      </c>
      <c r="E9" s="146" t="s">
        <v>48</v>
      </c>
      <c r="F9" s="62" t="s">
        <v>789</v>
      </c>
      <c r="G9" s="146" t="s">
        <v>1072</v>
      </c>
      <c r="H9" s="47" t="s">
        <v>1072</v>
      </c>
      <c r="I9" s="47" t="s">
        <v>1072</v>
      </c>
      <c r="J9" s="272" t="s">
        <v>1073</v>
      </c>
      <c r="K9" s="272" t="s">
        <v>1073</v>
      </c>
      <c r="L9" s="62" t="s">
        <v>51</v>
      </c>
      <c r="M9" s="62" t="s">
        <v>786</v>
      </c>
      <c r="N9" s="62" t="s">
        <v>777</v>
      </c>
      <c r="O9" s="62" t="s">
        <v>113</v>
      </c>
      <c r="P9" s="62" t="s">
        <v>114</v>
      </c>
      <c r="Q9" s="62" t="s">
        <v>179</v>
      </c>
      <c r="R9" s="62" t="s">
        <v>529</v>
      </c>
      <c r="S9" s="62" t="s">
        <v>46</v>
      </c>
      <c r="T9" s="62" t="s">
        <v>499</v>
      </c>
      <c r="U9" s="62" t="str">
        <f t="shared" si="0"/>
        <v>pmu_hkadc_ssi</v>
      </c>
      <c r="V9" s="62" t="s">
        <v>51</v>
      </c>
      <c r="W9" s="62" t="s">
        <v>790</v>
      </c>
      <c r="X9" s="62" t="s">
        <v>636</v>
      </c>
      <c r="Y9" s="215"/>
      <c r="Z9" s="146"/>
      <c r="AA9" s="62"/>
      <c r="AB9" s="62"/>
      <c r="AC9" s="62"/>
      <c r="AD9" s="62"/>
      <c r="AE9" s="62"/>
      <c r="AF9" s="62"/>
      <c r="AG9" s="62"/>
      <c r="AH9" s="62"/>
      <c r="AI9" s="62"/>
      <c r="AJ9" s="62" t="s">
        <v>791</v>
      </c>
      <c r="AK9" s="62" t="s">
        <v>52</v>
      </c>
      <c r="AL9" s="62" t="s">
        <v>688</v>
      </c>
      <c r="AM9" s="62" t="s">
        <v>786</v>
      </c>
      <c r="AN9" s="62"/>
      <c r="AO9" s="62"/>
      <c r="AP9" s="326"/>
      <c r="AQ9" s="244" t="s">
        <v>770</v>
      </c>
      <c r="AR9" s="326"/>
      <c r="AS9" s="244" t="s">
        <v>770</v>
      </c>
      <c r="AT9" s="234"/>
    </row>
    <row r="10" spans="1:46" s="47" customFormat="1" ht="12.75">
      <c r="A10" s="146" t="s">
        <v>775</v>
      </c>
      <c r="B10" s="62" t="s">
        <v>56</v>
      </c>
      <c r="C10" s="62" t="s">
        <v>56</v>
      </c>
      <c r="D10" s="62" t="s">
        <v>56</v>
      </c>
      <c r="E10" s="146" t="s">
        <v>48</v>
      </c>
      <c r="F10" s="62" t="s">
        <v>792</v>
      </c>
      <c r="G10" s="146" t="s">
        <v>1071</v>
      </c>
      <c r="H10" s="47" t="s">
        <v>1072</v>
      </c>
      <c r="I10" s="47" t="s">
        <v>1072</v>
      </c>
      <c r="J10" s="272" t="s">
        <v>1073</v>
      </c>
      <c r="K10" s="272" t="s">
        <v>1073</v>
      </c>
      <c r="L10" s="62" t="s">
        <v>51</v>
      </c>
      <c r="M10" s="62" t="s">
        <v>786</v>
      </c>
      <c r="N10" s="62" t="s">
        <v>777</v>
      </c>
      <c r="O10" s="62" t="s">
        <v>113</v>
      </c>
      <c r="P10" s="62" t="s">
        <v>114</v>
      </c>
      <c r="Q10" s="216" t="s">
        <v>174</v>
      </c>
      <c r="R10" s="62" t="s">
        <v>479</v>
      </c>
      <c r="S10" s="62" t="s">
        <v>46</v>
      </c>
      <c r="T10" s="62" t="s">
        <v>499</v>
      </c>
      <c r="U10" s="62" t="str">
        <f t="shared" si="0"/>
        <v>pmu_auxdac0_ssi</v>
      </c>
      <c r="V10" s="62" t="s">
        <v>52</v>
      </c>
      <c r="W10" s="62" t="s">
        <v>793</v>
      </c>
      <c r="X10" s="62" t="s">
        <v>636</v>
      </c>
      <c r="Y10" s="215"/>
      <c r="Z10" s="146" t="s">
        <v>794</v>
      </c>
      <c r="AA10" s="62" t="s">
        <v>51</v>
      </c>
      <c r="AB10" s="62" t="s">
        <v>643</v>
      </c>
      <c r="AC10" s="62" t="s">
        <v>720</v>
      </c>
      <c r="AD10" s="62"/>
      <c r="AE10" s="62"/>
      <c r="AF10" s="62"/>
      <c r="AG10" s="62"/>
      <c r="AH10" s="62"/>
      <c r="AI10" s="62"/>
      <c r="AJ10" s="146" t="s">
        <v>698</v>
      </c>
      <c r="AK10" s="146" t="s">
        <v>52</v>
      </c>
      <c r="AL10" s="62" t="s">
        <v>784</v>
      </c>
      <c r="AM10" s="62" t="s">
        <v>786</v>
      </c>
      <c r="AN10" s="62"/>
      <c r="AO10" s="62"/>
      <c r="AP10" s="326"/>
      <c r="AQ10" s="244" t="s">
        <v>770</v>
      </c>
      <c r="AR10" s="326"/>
      <c r="AS10" s="244" t="s">
        <v>770</v>
      </c>
      <c r="AT10" s="234"/>
    </row>
    <row r="11" spans="1:46" s="47" customFormat="1" ht="12.75">
      <c r="A11" s="146" t="s">
        <v>775</v>
      </c>
      <c r="B11" s="62" t="s">
        <v>56</v>
      </c>
      <c r="C11" s="62" t="s">
        <v>56</v>
      </c>
      <c r="D11" s="62" t="s">
        <v>56</v>
      </c>
      <c r="E11" s="62" t="s">
        <v>48</v>
      </c>
      <c r="F11" s="62" t="s">
        <v>795</v>
      </c>
      <c r="G11" s="146" t="s">
        <v>1071</v>
      </c>
      <c r="H11" s="47" t="s">
        <v>1082</v>
      </c>
      <c r="I11" s="47" t="s">
        <v>1072</v>
      </c>
      <c r="J11" s="272" t="s">
        <v>1073</v>
      </c>
      <c r="K11" s="272" t="s">
        <v>1073</v>
      </c>
      <c r="L11" s="62" t="s">
        <v>51</v>
      </c>
      <c r="M11" s="62" t="s">
        <v>786</v>
      </c>
      <c r="N11" s="62" t="s">
        <v>777</v>
      </c>
      <c r="O11" s="62" t="s">
        <v>113</v>
      </c>
      <c r="P11" s="62" t="s">
        <v>114</v>
      </c>
      <c r="Q11" s="62" t="s">
        <v>83</v>
      </c>
      <c r="R11" s="62" t="s">
        <v>480</v>
      </c>
      <c r="S11" s="62" t="s">
        <v>46</v>
      </c>
      <c r="T11" s="62" t="s">
        <v>499</v>
      </c>
      <c r="U11" s="62" t="s">
        <v>796</v>
      </c>
      <c r="V11" s="62" t="s">
        <v>51</v>
      </c>
      <c r="W11" s="62" t="s">
        <v>797</v>
      </c>
      <c r="X11" s="62" t="s">
        <v>720</v>
      </c>
      <c r="Y11" s="215"/>
      <c r="Z11" s="146" t="s">
        <v>798</v>
      </c>
      <c r="AA11" s="62" t="s">
        <v>52</v>
      </c>
      <c r="AB11" s="62" t="s">
        <v>647</v>
      </c>
      <c r="AC11" s="62" t="s">
        <v>720</v>
      </c>
      <c r="AD11" s="62"/>
      <c r="AE11" s="62"/>
      <c r="AF11" s="62"/>
      <c r="AG11" s="62"/>
      <c r="AH11" s="62"/>
      <c r="AI11" s="62"/>
      <c r="AJ11" s="146" t="s">
        <v>697</v>
      </c>
      <c r="AK11" s="146" t="s">
        <v>52</v>
      </c>
      <c r="AL11" s="62" t="s">
        <v>688</v>
      </c>
      <c r="AM11" s="62" t="s">
        <v>786</v>
      </c>
      <c r="AN11" s="62"/>
      <c r="AO11" s="62"/>
      <c r="AP11" s="326"/>
      <c r="AQ11" s="244" t="s">
        <v>770</v>
      </c>
      <c r="AR11" s="326"/>
      <c r="AS11" s="244" t="s">
        <v>770</v>
      </c>
      <c r="AT11" s="234"/>
    </row>
    <row r="12" spans="1:46" s="222" customFormat="1" ht="12.75">
      <c r="A12" s="146" t="s">
        <v>775</v>
      </c>
      <c r="B12" s="62" t="s">
        <v>56</v>
      </c>
      <c r="C12" s="62" t="s">
        <v>56</v>
      </c>
      <c r="D12" s="62" t="s">
        <v>56</v>
      </c>
      <c r="E12" s="62" t="s">
        <v>49</v>
      </c>
      <c r="F12" s="62" t="s">
        <v>799</v>
      </c>
      <c r="G12" s="146" t="s">
        <v>1071</v>
      </c>
      <c r="H12" s="47" t="s">
        <v>1072</v>
      </c>
      <c r="I12" s="47" t="s">
        <v>1072</v>
      </c>
      <c r="J12" s="272" t="s">
        <v>1073</v>
      </c>
      <c r="K12" s="272" t="s">
        <v>1073</v>
      </c>
      <c r="L12" s="62" t="s">
        <v>51</v>
      </c>
      <c r="M12" s="62" t="s">
        <v>786</v>
      </c>
      <c r="N12" s="62" t="s">
        <v>777</v>
      </c>
      <c r="O12" s="62" t="s">
        <v>113</v>
      </c>
      <c r="P12" s="62" t="s">
        <v>114</v>
      </c>
      <c r="Q12" s="216" t="s">
        <v>179</v>
      </c>
      <c r="R12" s="62" t="s">
        <v>57</v>
      </c>
      <c r="S12" s="62" t="s">
        <v>46</v>
      </c>
      <c r="T12" s="62" t="s">
        <v>499</v>
      </c>
      <c r="U12" s="62" t="str">
        <f>LOWER(F12)</f>
        <v>pmu_ssi_clk</v>
      </c>
      <c r="V12" s="62" t="s">
        <v>52</v>
      </c>
      <c r="W12" s="146" t="s">
        <v>800</v>
      </c>
      <c r="X12" s="62" t="s">
        <v>636</v>
      </c>
      <c r="Y12" s="215"/>
      <c r="Z12" s="146" t="s">
        <v>801</v>
      </c>
      <c r="AA12" s="62" t="s">
        <v>51</v>
      </c>
      <c r="AB12" s="62" t="s">
        <v>648</v>
      </c>
      <c r="AC12" s="62" t="s">
        <v>720</v>
      </c>
      <c r="AD12" s="62"/>
      <c r="AE12" s="62"/>
      <c r="AF12" s="62"/>
      <c r="AG12" s="62"/>
      <c r="AH12" s="62"/>
      <c r="AI12" s="62"/>
      <c r="AJ12" s="146" t="s">
        <v>696</v>
      </c>
      <c r="AK12" s="146" t="s">
        <v>52</v>
      </c>
      <c r="AL12" s="62" t="s">
        <v>688</v>
      </c>
      <c r="AM12" s="62" t="s">
        <v>786</v>
      </c>
      <c r="AN12" s="245"/>
      <c r="AO12" s="245"/>
      <c r="AP12" s="326"/>
      <c r="AQ12" s="244" t="s">
        <v>770</v>
      </c>
      <c r="AR12" s="326"/>
      <c r="AS12" s="244" t="s">
        <v>770</v>
      </c>
    </row>
    <row r="13" spans="1:46" s="47" customFormat="1" ht="12.75">
      <c r="A13" s="146" t="s">
        <v>775</v>
      </c>
      <c r="B13" s="62" t="s">
        <v>56</v>
      </c>
      <c r="C13" s="62" t="s">
        <v>56</v>
      </c>
      <c r="D13" s="62" t="s">
        <v>56</v>
      </c>
      <c r="E13" s="62" t="s">
        <v>48</v>
      </c>
      <c r="F13" s="146" t="s">
        <v>802</v>
      </c>
      <c r="G13" s="146" t="s">
        <v>1071</v>
      </c>
      <c r="H13" s="47" t="s">
        <v>1072</v>
      </c>
      <c r="I13" s="47" t="s">
        <v>1072</v>
      </c>
      <c r="J13" s="272" t="s">
        <v>1073</v>
      </c>
      <c r="K13" s="272" t="s">
        <v>1073</v>
      </c>
      <c r="L13" s="62" t="s">
        <v>51</v>
      </c>
      <c r="M13" s="62" t="s">
        <v>786</v>
      </c>
      <c r="N13" s="62" t="s">
        <v>777</v>
      </c>
      <c r="O13" s="62" t="s">
        <v>113</v>
      </c>
      <c r="P13" s="62" t="s">
        <v>114</v>
      </c>
      <c r="Q13" s="216" t="s">
        <v>177</v>
      </c>
      <c r="R13" s="62" t="s">
        <v>58</v>
      </c>
      <c r="S13" s="62" t="s">
        <v>46</v>
      </c>
      <c r="T13" s="62" t="s">
        <v>499</v>
      </c>
      <c r="U13" s="62" t="str">
        <f>LOWER(F13)</f>
        <v>ch0_tcxo_en</v>
      </c>
      <c r="V13" s="62" t="s">
        <v>52</v>
      </c>
      <c r="W13" s="62" t="s">
        <v>803</v>
      </c>
      <c r="X13" s="62" t="s">
        <v>719</v>
      </c>
      <c r="Y13" s="215" t="s">
        <v>804</v>
      </c>
      <c r="Z13" s="146" t="s">
        <v>640</v>
      </c>
      <c r="AA13" s="62" t="s">
        <v>51</v>
      </c>
      <c r="AB13" s="62" t="s">
        <v>642</v>
      </c>
      <c r="AC13" s="62" t="s">
        <v>720</v>
      </c>
      <c r="AD13" s="62"/>
      <c r="AE13" s="62"/>
      <c r="AF13" s="62"/>
      <c r="AG13" s="62"/>
      <c r="AH13" s="62"/>
      <c r="AI13" s="62"/>
      <c r="AJ13" s="146" t="s">
        <v>695</v>
      </c>
      <c r="AK13" s="146" t="s">
        <v>52</v>
      </c>
      <c r="AL13" s="62" t="s">
        <v>688</v>
      </c>
      <c r="AM13" s="62" t="s">
        <v>786</v>
      </c>
      <c r="AN13" s="62"/>
      <c r="AO13" s="62"/>
      <c r="AP13" s="326"/>
      <c r="AQ13" s="244" t="s">
        <v>770</v>
      </c>
      <c r="AR13" s="326"/>
      <c r="AS13" s="244" t="s">
        <v>770</v>
      </c>
      <c r="AT13" s="234"/>
    </row>
    <row r="14" spans="1:46" s="47" customFormat="1" ht="12.75">
      <c r="A14" s="146" t="s">
        <v>775</v>
      </c>
      <c r="B14" s="62" t="s">
        <v>56</v>
      </c>
      <c r="C14" s="62" t="s">
        <v>56</v>
      </c>
      <c r="D14" s="62" t="s">
        <v>56</v>
      </c>
      <c r="E14" s="62" t="s">
        <v>48</v>
      </c>
      <c r="F14" s="146" t="s">
        <v>805</v>
      </c>
      <c r="G14" s="146" t="s">
        <v>489</v>
      </c>
      <c r="H14" s="47" t="s">
        <v>1072</v>
      </c>
      <c r="I14" s="47" t="s">
        <v>1072</v>
      </c>
      <c r="J14" s="272" t="s">
        <v>1073</v>
      </c>
      <c r="K14" s="272" t="s">
        <v>1073</v>
      </c>
      <c r="L14" s="62" t="s">
        <v>51</v>
      </c>
      <c r="M14" s="62" t="s">
        <v>786</v>
      </c>
      <c r="N14" s="62" t="s">
        <v>777</v>
      </c>
      <c r="O14" s="62" t="s">
        <v>113</v>
      </c>
      <c r="P14" s="62" t="s">
        <v>114</v>
      </c>
      <c r="Q14" s="216" t="s">
        <v>177</v>
      </c>
      <c r="R14" s="62" t="s">
        <v>112</v>
      </c>
      <c r="S14" s="62" t="s">
        <v>46</v>
      </c>
      <c r="T14" s="62" t="s">
        <v>499</v>
      </c>
      <c r="U14" s="62" t="str">
        <f>LOWER(F14)</f>
        <v>ch1_tcxo_en</v>
      </c>
      <c r="V14" s="62" t="s">
        <v>52</v>
      </c>
      <c r="W14" s="62" t="s">
        <v>806</v>
      </c>
      <c r="X14" s="62" t="s">
        <v>719</v>
      </c>
      <c r="Y14" s="215" t="s">
        <v>807</v>
      </c>
      <c r="Z14" s="146" t="s">
        <v>489</v>
      </c>
      <c r="AA14" s="62" t="s">
        <v>51</v>
      </c>
      <c r="AB14" s="62" t="s">
        <v>649</v>
      </c>
      <c r="AC14" s="62" t="s">
        <v>720</v>
      </c>
      <c r="AD14" s="62"/>
      <c r="AE14" s="62"/>
      <c r="AF14" s="62"/>
      <c r="AG14" s="62"/>
      <c r="AH14" s="62"/>
      <c r="AI14" s="62"/>
      <c r="AJ14" s="146" t="s">
        <v>694</v>
      </c>
      <c r="AK14" s="146" t="s">
        <v>52</v>
      </c>
      <c r="AL14" s="62" t="s">
        <v>688</v>
      </c>
      <c r="AM14" s="62" t="s">
        <v>786</v>
      </c>
      <c r="AN14" s="62"/>
      <c r="AO14" s="62"/>
      <c r="AP14" s="326"/>
      <c r="AQ14" s="244" t="s">
        <v>770</v>
      </c>
      <c r="AR14" s="326"/>
      <c r="AS14" s="244" t="s">
        <v>770</v>
      </c>
      <c r="AT14" s="234"/>
    </row>
    <row r="15" spans="1:46" s="47" customFormat="1" ht="12.75">
      <c r="A15" s="146" t="s">
        <v>775</v>
      </c>
      <c r="B15" s="62" t="s">
        <v>56</v>
      </c>
      <c r="C15" s="62" t="s">
        <v>56</v>
      </c>
      <c r="D15" s="62" t="s">
        <v>56</v>
      </c>
      <c r="E15" s="62" t="s">
        <v>48</v>
      </c>
      <c r="F15" s="146" t="s">
        <v>808</v>
      </c>
      <c r="G15" s="146" t="s">
        <v>1071</v>
      </c>
      <c r="H15" s="47" t="s">
        <v>1072</v>
      </c>
      <c r="I15" s="47" t="s">
        <v>1072</v>
      </c>
      <c r="J15" s="272" t="s">
        <v>1073</v>
      </c>
      <c r="K15" s="272" t="s">
        <v>1073</v>
      </c>
      <c r="L15" s="62" t="s">
        <v>51</v>
      </c>
      <c r="M15" s="62" t="s">
        <v>786</v>
      </c>
      <c r="N15" s="62" t="s">
        <v>777</v>
      </c>
      <c r="O15" s="62" t="s">
        <v>113</v>
      </c>
      <c r="P15" s="62" t="s">
        <v>114</v>
      </c>
      <c r="Q15" s="216" t="s">
        <v>177</v>
      </c>
      <c r="R15" s="62" t="s">
        <v>103</v>
      </c>
      <c r="S15" s="62" t="s">
        <v>46</v>
      </c>
      <c r="T15" s="62" t="s">
        <v>499</v>
      </c>
      <c r="U15" s="62" t="str">
        <f>LOWER(F15)</f>
        <v>peri_en</v>
      </c>
      <c r="V15" s="62" t="s">
        <v>52</v>
      </c>
      <c r="W15" s="146" t="s">
        <v>809</v>
      </c>
      <c r="X15" s="62" t="s">
        <v>719</v>
      </c>
      <c r="Y15" s="218" t="s">
        <v>810</v>
      </c>
      <c r="Z15" s="146" t="s">
        <v>490</v>
      </c>
      <c r="AA15" s="146" t="s">
        <v>51</v>
      </c>
      <c r="AB15" s="62" t="s">
        <v>650</v>
      </c>
      <c r="AC15" s="62" t="s">
        <v>720</v>
      </c>
      <c r="AD15" s="62"/>
      <c r="AE15" s="62"/>
      <c r="AF15" s="62"/>
      <c r="AG15" s="62"/>
      <c r="AH15" s="62"/>
      <c r="AI15" s="62"/>
      <c r="AJ15" s="146" t="s">
        <v>693</v>
      </c>
      <c r="AK15" s="146" t="s">
        <v>52</v>
      </c>
      <c r="AL15" s="62" t="s">
        <v>688</v>
      </c>
      <c r="AM15" s="62" t="s">
        <v>786</v>
      </c>
      <c r="AN15" s="62"/>
      <c r="AO15" s="62"/>
      <c r="AP15" s="326"/>
      <c r="AQ15" s="244" t="s">
        <v>770</v>
      </c>
      <c r="AR15" s="326"/>
      <c r="AS15" s="244" t="s">
        <v>770</v>
      </c>
      <c r="AT15" s="234"/>
    </row>
    <row r="16" spans="1:46" s="47" customFormat="1" ht="25.5">
      <c r="A16" s="146" t="s">
        <v>775</v>
      </c>
      <c r="B16" s="62" t="s">
        <v>56</v>
      </c>
      <c r="C16" s="62" t="s">
        <v>56</v>
      </c>
      <c r="D16" s="62" t="s">
        <v>56</v>
      </c>
      <c r="E16" s="62" t="s">
        <v>48</v>
      </c>
      <c r="F16" s="62" t="s">
        <v>1086</v>
      </c>
      <c r="G16" s="146" t="s">
        <v>1071</v>
      </c>
      <c r="H16" s="47" t="s">
        <v>1072</v>
      </c>
      <c r="I16" s="47" t="s">
        <v>1072</v>
      </c>
      <c r="J16" s="272" t="s">
        <v>1073</v>
      </c>
      <c r="K16" s="272" t="s">
        <v>1073</v>
      </c>
      <c r="L16" s="62" t="s">
        <v>51</v>
      </c>
      <c r="M16" s="62" t="s">
        <v>786</v>
      </c>
      <c r="N16" s="62" t="s">
        <v>777</v>
      </c>
      <c r="O16" s="62" t="s">
        <v>113</v>
      </c>
      <c r="P16" s="62" t="s">
        <v>114</v>
      </c>
      <c r="Q16" s="216" t="s">
        <v>179</v>
      </c>
      <c r="R16" s="62" t="s">
        <v>503</v>
      </c>
      <c r="S16" s="62" t="s">
        <v>46</v>
      </c>
      <c r="T16" s="62" t="s">
        <v>499</v>
      </c>
      <c r="U16" s="62" t="str">
        <f>LOWER(F16)</f>
        <v>pmu_hold</v>
      </c>
      <c r="V16" s="62" t="s">
        <v>52</v>
      </c>
      <c r="W16" s="62" t="s">
        <v>811</v>
      </c>
      <c r="X16" s="62" t="s">
        <v>719</v>
      </c>
      <c r="Y16" s="215" t="s">
        <v>812</v>
      </c>
      <c r="Z16" s="146" t="s">
        <v>641</v>
      </c>
      <c r="AA16" s="62" t="s">
        <v>51</v>
      </c>
      <c r="AB16" s="62" t="s">
        <v>651</v>
      </c>
      <c r="AC16" s="62" t="s">
        <v>720</v>
      </c>
      <c r="AD16" s="62"/>
      <c r="AE16" s="62"/>
      <c r="AF16" s="62"/>
      <c r="AG16" s="62"/>
      <c r="AH16" s="62"/>
      <c r="AI16" s="62"/>
      <c r="AJ16" s="146" t="s">
        <v>692</v>
      </c>
      <c r="AK16" s="146" t="s">
        <v>52</v>
      </c>
      <c r="AL16" s="62" t="s">
        <v>688</v>
      </c>
      <c r="AM16" s="62" t="s">
        <v>786</v>
      </c>
      <c r="AN16" s="62"/>
      <c r="AO16" s="62"/>
      <c r="AP16" s="326"/>
      <c r="AQ16" s="244" t="s">
        <v>770</v>
      </c>
      <c r="AR16" s="326"/>
      <c r="AS16" s="244" t="s">
        <v>770</v>
      </c>
      <c r="AT16" s="234"/>
    </row>
    <row r="17" spans="1:46" s="213" customFormat="1">
      <c r="A17" s="240" t="s">
        <v>813</v>
      </c>
      <c r="B17" s="241"/>
      <c r="C17" s="241"/>
      <c r="D17" s="241"/>
      <c r="E17" s="241"/>
      <c r="F17" s="241"/>
      <c r="G17" s="253"/>
      <c r="H17" s="253"/>
      <c r="I17" s="253"/>
      <c r="J17" s="253"/>
      <c r="K17" s="253"/>
      <c r="L17" s="39"/>
      <c r="M17" s="39"/>
      <c r="N17" s="39"/>
      <c r="O17" s="39"/>
      <c r="P17" s="39"/>
      <c r="Q17" s="39"/>
      <c r="R17" s="39"/>
      <c r="S17" s="39"/>
      <c r="T17" s="37"/>
      <c r="U17" s="37"/>
      <c r="V17" s="37"/>
      <c r="W17" s="37"/>
      <c r="X17" s="37"/>
      <c r="Y17" s="141"/>
      <c r="Z17" s="37"/>
      <c r="AA17" s="37"/>
      <c r="AB17" s="37"/>
      <c r="AC17" s="39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242"/>
      <c r="AQ17" s="242"/>
      <c r="AR17" s="242"/>
      <c r="AS17" s="242"/>
    </row>
    <row r="18" spans="1:46" s="166" customFormat="1" ht="12.75">
      <c r="A18" s="166" t="s">
        <v>762</v>
      </c>
      <c r="B18" s="166" t="s">
        <v>814</v>
      </c>
      <c r="C18" s="166" t="s">
        <v>814</v>
      </c>
      <c r="D18" s="166" t="s">
        <v>814</v>
      </c>
      <c r="E18" s="166" t="s">
        <v>815</v>
      </c>
      <c r="F18" s="166" t="s">
        <v>816</v>
      </c>
      <c r="G18" s="146" t="s">
        <v>1071</v>
      </c>
      <c r="H18" s="47" t="s">
        <v>1072</v>
      </c>
      <c r="I18" s="47" t="s">
        <v>1072</v>
      </c>
      <c r="J18" s="272" t="s">
        <v>1073</v>
      </c>
      <c r="K18" s="272" t="s">
        <v>1073</v>
      </c>
      <c r="L18" s="146" t="s">
        <v>51</v>
      </c>
      <c r="M18" s="62" t="s">
        <v>817</v>
      </c>
      <c r="N18" s="166" t="s">
        <v>764</v>
      </c>
      <c r="O18" s="146" t="s">
        <v>113</v>
      </c>
      <c r="P18" s="62" t="s">
        <v>114</v>
      </c>
      <c r="Q18" s="217" t="s">
        <v>179</v>
      </c>
      <c r="R18" s="146" t="s">
        <v>818</v>
      </c>
      <c r="S18" s="166" t="s">
        <v>819</v>
      </c>
      <c r="T18" s="166" t="s">
        <v>820</v>
      </c>
      <c r="U18" s="166" t="s">
        <v>821</v>
      </c>
      <c r="V18" s="166" t="s">
        <v>501</v>
      </c>
      <c r="W18" s="166" t="s">
        <v>822</v>
      </c>
      <c r="X18" s="166" t="s">
        <v>823</v>
      </c>
      <c r="Y18" s="167" t="s">
        <v>824</v>
      </c>
      <c r="Z18" s="62" t="s">
        <v>825</v>
      </c>
      <c r="AA18" s="166" t="s">
        <v>826</v>
      </c>
      <c r="AB18" s="166" t="s">
        <v>827</v>
      </c>
      <c r="AC18" s="166" t="s">
        <v>720</v>
      </c>
      <c r="AJ18" s="146" t="s">
        <v>701</v>
      </c>
      <c r="AK18" s="146" t="s">
        <v>52</v>
      </c>
      <c r="AL18" s="62" t="s">
        <v>688</v>
      </c>
      <c r="AM18" s="62" t="s">
        <v>817</v>
      </c>
      <c r="AP18" s="327" t="s">
        <v>828</v>
      </c>
      <c r="AQ18" s="244" t="s">
        <v>772</v>
      </c>
      <c r="AR18" s="327" t="s">
        <v>829</v>
      </c>
      <c r="AS18" s="244" t="s">
        <v>772</v>
      </c>
    </row>
    <row r="19" spans="1:46" s="166" customFormat="1" ht="12.75">
      <c r="A19" s="166" t="s">
        <v>762</v>
      </c>
      <c r="B19" s="166" t="s">
        <v>814</v>
      </c>
      <c r="C19" s="166" t="s">
        <v>814</v>
      </c>
      <c r="D19" s="166" t="s">
        <v>814</v>
      </c>
      <c r="E19" s="166" t="s">
        <v>830</v>
      </c>
      <c r="F19" s="166" t="s">
        <v>831</v>
      </c>
      <c r="G19" s="146" t="s">
        <v>1071</v>
      </c>
      <c r="H19" s="47" t="s">
        <v>1072</v>
      </c>
      <c r="I19" s="47" t="s">
        <v>1072</v>
      </c>
      <c r="J19" s="272" t="s">
        <v>1073</v>
      </c>
      <c r="K19" s="272" t="s">
        <v>1073</v>
      </c>
      <c r="L19" s="146" t="s">
        <v>51</v>
      </c>
      <c r="M19" s="62" t="s">
        <v>817</v>
      </c>
      <c r="N19" s="166" t="s">
        <v>764</v>
      </c>
      <c r="O19" s="146" t="s">
        <v>113</v>
      </c>
      <c r="P19" s="62" t="s">
        <v>114</v>
      </c>
      <c r="Q19" s="217" t="s">
        <v>179</v>
      </c>
      <c r="R19" s="146" t="s">
        <v>486</v>
      </c>
      <c r="S19" s="166" t="s">
        <v>819</v>
      </c>
      <c r="T19" s="166" t="s">
        <v>820</v>
      </c>
      <c r="U19" s="166" t="s">
        <v>832</v>
      </c>
      <c r="V19" s="166" t="s">
        <v>833</v>
      </c>
      <c r="W19" s="166" t="s">
        <v>530</v>
      </c>
      <c r="X19" s="166" t="s">
        <v>834</v>
      </c>
      <c r="Y19" s="167" t="s">
        <v>835</v>
      </c>
      <c r="Z19" s="62" t="s">
        <v>644</v>
      </c>
      <c r="AA19" s="166" t="s">
        <v>836</v>
      </c>
      <c r="AB19" s="166" t="s">
        <v>837</v>
      </c>
      <c r="AC19" s="166" t="s">
        <v>720</v>
      </c>
      <c r="AJ19" s="146" t="s">
        <v>700</v>
      </c>
      <c r="AK19" s="146" t="s">
        <v>52</v>
      </c>
      <c r="AL19" s="62" t="s">
        <v>688</v>
      </c>
      <c r="AM19" s="62" t="s">
        <v>786</v>
      </c>
      <c r="AP19" s="328"/>
      <c r="AQ19" s="244" t="s">
        <v>770</v>
      </c>
      <c r="AR19" s="328"/>
      <c r="AS19" s="244" t="s">
        <v>770</v>
      </c>
    </row>
    <row r="20" spans="1:46" s="166" customFormat="1" ht="12.75">
      <c r="A20" s="166" t="s">
        <v>775</v>
      </c>
      <c r="B20" s="166" t="s">
        <v>838</v>
      </c>
      <c r="C20" s="166" t="s">
        <v>838</v>
      </c>
      <c r="D20" s="166" t="s">
        <v>838</v>
      </c>
      <c r="E20" s="166" t="s">
        <v>839</v>
      </c>
      <c r="F20" s="166" t="s">
        <v>840</v>
      </c>
      <c r="G20" s="146" t="s">
        <v>1071</v>
      </c>
      <c r="H20" s="47" t="s">
        <v>1072</v>
      </c>
      <c r="I20" s="47" t="s">
        <v>1072</v>
      </c>
      <c r="J20" s="272" t="s">
        <v>1073</v>
      </c>
      <c r="K20" s="272" t="s">
        <v>1073</v>
      </c>
      <c r="L20" s="146" t="s">
        <v>51</v>
      </c>
      <c r="M20" s="62" t="s">
        <v>786</v>
      </c>
      <c r="N20" s="166" t="s">
        <v>777</v>
      </c>
      <c r="O20" s="146" t="s">
        <v>113</v>
      </c>
      <c r="P20" s="62" t="s">
        <v>114</v>
      </c>
      <c r="Q20" s="166" t="s">
        <v>174</v>
      </c>
      <c r="R20" s="146" t="s">
        <v>59</v>
      </c>
      <c r="S20" s="166" t="s">
        <v>819</v>
      </c>
      <c r="T20" s="166" t="s">
        <v>820</v>
      </c>
      <c r="U20" s="166" t="s">
        <v>841</v>
      </c>
      <c r="V20" s="166" t="s">
        <v>51</v>
      </c>
      <c r="W20" s="166" t="s">
        <v>530</v>
      </c>
      <c r="X20" s="166" t="s">
        <v>834</v>
      </c>
      <c r="Y20" s="167" t="s">
        <v>842</v>
      </c>
      <c r="Z20" s="62" t="s">
        <v>491</v>
      </c>
      <c r="AA20" s="166" t="s">
        <v>836</v>
      </c>
      <c r="AB20" s="166" t="s">
        <v>843</v>
      </c>
      <c r="AC20" s="166" t="s">
        <v>720</v>
      </c>
      <c r="AJ20" s="146" t="s">
        <v>699</v>
      </c>
      <c r="AK20" s="146" t="s">
        <v>52</v>
      </c>
      <c r="AL20" s="62" t="s">
        <v>688</v>
      </c>
      <c r="AM20" s="62" t="s">
        <v>786</v>
      </c>
      <c r="AP20" s="328"/>
      <c r="AQ20" s="244" t="s">
        <v>770</v>
      </c>
      <c r="AR20" s="328"/>
      <c r="AS20" s="244" t="s">
        <v>770</v>
      </c>
    </row>
    <row r="21" spans="1:46" s="213" customFormat="1">
      <c r="A21" s="240" t="s">
        <v>844</v>
      </c>
      <c r="B21" s="241"/>
      <c r="C21" s="241"/>
      <c r="D21" s="241"/>
      <c r="E21" s="241"/>
      <c r="F21" s="241"/>
      <c r="G21" s="253"/>
      <c r="H21" s="253"/>
      <c r="I21" s="253"/>
      <c r="J21" s="253"/>
      <c r="K21" s="253"/>
      <c r="L21" s="39"/>
      <c r="M21" s="39"/>
      <c r="N21" s="39"/>
      <c r="O21" s="39"/>
      <c r="P21" s="39"/>
      <c r="Q21" s="39"/>
      <c r="R21" s="39"/>
      <c r="S21" s="39"/>
      <c r="T21" s="37"/>
      <c r="U21" s="37"/>
      <c r="V21" s="37"/>
      <c r="W21" s="37"/>
      <c r="X21" s="37"/>
      <c r="Y21" s="37"/>
      <c r="Z21" s="242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</row>
    <row r="22" spans="1:46" s="143" customFormat="1" ht="12.75">
      <c r="A22" s="168" t="s">
        <v>484</v>
      </c>
      <c r="B22" s="168" t="s">
        <v>838</v>
      </c>
      <c r="C22" s="168" t="s">
        <v>838</v>
      </c>
      <c r="D22" s="62" t="s">
        <v>838</v>
      </c>
      <c r="E22" s="168" t="s">
        <v>49</v>
      </c>
      <c r="F22" s="146" t="s">
        <v>845</v>
      </c>
      <c r="G22" s="146" t="s">
        <v>1071</v>
      </c>
      <c r="H22" s="47" t="s">
        <v>1072</v>
      </c>
      <c r="I22" s="47" t="s">
        <v>1072</v>
      </c>
      <c r="J22" s="272" t="s">
        <v>1073</v>
      </c>
      <c r="K22" s="272" t="s">
        <v>1073</v>
      </c>
      <c r="L22" s="146" t="s">
        <v>51</v>
      </c>
      <c r="M22" s="62" t="s">
        <v>786</v>
      </c>
      <c r="N22" s="168" t="s">
        <v>777</v>
      </c>
      <c r="O22" s="146" t="s">
        <v>113</v>
      </c>
      <c r="P22" s="168" t="s">
        <v>114</v>
      </c>
      <c r="Q22" s="168" t="s">
        <v>846</v>
      </c>
      <c r="R22" s="146" t="s">
        <v>847</v>
      </c>
      <c r="S22" s="168" t="s">
        <v>819</v>
      </c>
      <c r="T22" s="166" t="s">
        <v>499</v>
      </c>
      <c r="U22" s="168" t="s">
        <v>848</v>
      </c>
      <c r="V22" s="168" t="s">
        <v>836</v>
      </c>
      <c r="W22" s="168" t="s">
        <v>849</v>
      </c>
      <c r="X22" s="168" t="s">
        <v>720</v>
      </c>
      <c r="Y22" s="246"/>
      <c r="Z22" s="168" t="s">
        <v>850</v>
      </c>
      <c r="AA22" s="166" t="s">
        <v>501</v>
      </c>
      <c r="AB22" s="168" t="s">
        <v>851</v>
      </c>
      <c r="AC22" s="168" t="s">
        <v>823</v>
      </c>
      <c r="AD22" s="168"/>
      <c r="AE22" s="247"/>
      <c r="AF22" s="247"/>
      <c r="AG22" s="247"/>
      <c r="AH22" s="247"/>
      <c r="AI22" s="247"/>
      <c r="AJ22" s="146" t="s">
        <v>704</v>
      </c>
      <c r="AK22" s="146" t="s">
        <v>52</v>
      </c>
      <c r="AL22" s="62" t="s">
        <v>688</v>
      </c>
      <c r="AM22" s="62" t="s">
        <v>817</v>
      </c>
      <c r="AN22" s="247"/>
      <c r="AO22" s="168"/>
      <c r="AP22" s="329" t="s">
        <v>828</v>
      </c>
      <c r="AQ22" s="244" t="s">
        <v>772</v>
      </c>
      <c r="AR22" s="329" t="s">
        <v>829</v>
      </c>
      <c r="AS22" s="244" t="s">
        <v>772</v>
      </c>
    </row>
    <row r="23" spans="1:46" s="143" customFormat="1" ht="12.75">
      <c r="A23" s="168" t="s">
        <v>484</v>
      </c>
      <c r="B23" s="168" t="s">
        <v>814</v>
      </c>
      <c r="C23" s="168" t="s">
        <v>814</v>
      </c>
      <c r="D23" s="62" t="s">
        <v>814</v>
      </c>
      <c r="E23" s="168" t="s">
        <v>830</v>
      </c>
      <c r="F23" s="146" t="s">
        <v>533</v>
      </c>
      <c r="G23" s="146" t="s">
        <v>1071</v>
      </c>
      <c r="H23" s="47" t="s">
        <v>1072</v>
      </c>
      <c r="I23" s="47" t="s">
        <v>1072</v>
      </c>
      <c r="J23" s="272" t="s">
        <v>1073</v>
      </c>
      <c r="K23" s="272" t="s">
        <v>1073</v>
      </c>
      <c r="L23" s="146" t="s">
        <v>51</v>
      </c>
      <c r="M23" s="62" t="s">
        <v>817</v>
      </c>
      <c r="N23" s="168" t="s">
        <v>764</v>
      </c>
      <c r="O23" s="146" t="s">
        <v>113</v>
      </c>
      <c r="P23" s="168" t="s">
        <v>114</v>
      </c>
      <c r="Q23" s="168" t="s">
        <v>846</v>
      </c>
      <c r="R23" s="146" t="s">
        <v>60</v>
      </c>
      <c r="S23" s="168" t="s">
        <v>819</v>
      </c>
      <c r="T23" s="166" t="s">
        <v>499</v>
      </c>
      <c r="U23" s="168" t="s">
        <v>852</v>
      </c>
      <c r="V23" s="168" t="s">
        <v>836</v>
      </c>
      <c r="W23" s="168" t="s">
        <v>853</v>
      </c>
      <c r="X23" s="168" t="s">
        <v>720</v>
      </c>
      <c r="Y23" s="246"/>
      <c r="Z23" s="146" t="s">
        <v>854</v>
      </c>
      <c r="AA23" s="166" t="s">
        <v>833</v>
      </c>
      <c r="AB23" s="168" t="s">
        <v>855</v>
      </c>
      <c r="AC23" s="168" t="s">
        <v>834</v>
      </c>
      <c r="AD23" s="248" t="s">
        <v>856</v>
      </c>
      <c r="AE23" s="247"/>
      <c r="AF23" s="247"/>
      <c r="AG23" s="247"/>
      <c r="AH23" s="247"/>
      <c r="AI23" s="247"/>
      <c r="AJ23" s="146" t="s">
        <v>703</v>
      </c>
      <c r="AK23" s="146" t="s">
        <v>52</v>
      </c>
      <c r="AL23" s="62" t="s">
        <v>688</v>
      </c>
      <c r="AM23" s="62" t="s">
        <v>786</v>
      </c>
      <c r="AN23" s="247"/>
      <c r="AO23" s="168"/>
      <c r="AP23" s="330"/>
      <c r="AQ23" s="244" t="s">
        <v>770</v>
      </c>
      <c r="AR23" s="330"/>
      <c r="AS23" s="244" t="s">
        <v>770</v>
      </c>
    </row>
    <row r="24" spans="1:46" s="143" customFormat="1" ht="12.75">
      <c r="A24" s="168" t="s">
        <v>484</v>
      </c>
      <c r="B24" s="168" t="s">
        <v>838</v>
      </c>
      <c r="C24" s="168" t="s">
        <v>838</v>
      </c>
      <c r="D24" s="62" t="s">
        <v>838</v>
      </c>
      <c r="E24" s="168" t="s">
        <v>48</v>
      </c>
      <c r="F24" s="146" t="s">
        <v>488</v>
      </c>
      <c r="G24" s="146" t="s">
        <v>1071</v>
      </c>
      <c r="H24" s="47" t="s">
        <v>1072</v>
      </c>
      <c r="I24" s="47" t="s">
        <v>1072</v>
      </c>
      <c r="J24" s="272" t="s">
        <v>1087</v>
      </c>
      <c r="K24" s="272" t="s">
        <v>1073</v>
      </c>
      <c r="L24" s="146" t="s">
        <v>51</v>
      </c>
      <c r="M24" s="62" t="s">
        <v>786</v>
      </c>
      <c r="N24" s="168" t="s">
        <v>777</v>
      </c>
      <c r="O24" s="146" t="s">
        <v>113</v>
      </c>
      <c r="P24" s="168" t="s">
        <v>114</v>
      </c>
      <c r="Q24" s="168" t="s">
        <v>846</v>
      </c>
      <c r="R24" s="146" t="s">
        <v>487</v>
      </c>
      <c r="S24" s="168" t="s">
        <v>819</v>
      </c>
      <c r="T24" s="166" t="s">
        <v>499</v>
      </c>
      <c r="U24" s="168" t="s">
        <v>857</v>
      </c>
      <c r="V24" s="168" t="s">
        <v>836</v>
      </c>
      <c r="W24" s="168" t="s">
        <v>858</v>
      </c>
      <c r="X24" s="168" t="s">
        <v>720</v>
      </c>
      <c r="Y24" s="246"/>
      <c r="Z24" s="168" t="s">
        <v>859</v>
      </c>
      <c r="AA24" s="166" t="s">
        <v>51</v>
      </c>
      <c r="AB24" s="168" t="s">
        <v>855</v>
      </c>
      <c r="AC24" s="168" t="s">
        <v>834</v>
      </c>
      <c r="AD24" s="168"/>
      <c r="AE24" s="247"/>
      <c r="AF24" s="247"/>
      <c r="AG24" s="247"/>
      <c r="AH24" s="247"/>
      <c r="AI24" s="247"/>
      <c r="AJ24" s="146" t="s">
        <v>702</v>
      </c>
      <c r="AK24" s="146" t="s">
        <v>52</v>
      </c>
      <c r="AL24" s="62" t="s">
        <v>688</v>
      </c>
      <c r="AM24" s="62" t="s">
        <v>786</v>
      </c>
      <c r="AN24" s="247"/>
      <c r="AO24" s="168"/>
      <c r="AP24" s="331"/>
      <c r="AQ24" s="244" t="s">
        <v>770</v>
      </c>
      <c r="AR24" s="331"/>
      <c r="AS24" s="244" t="s">
        <v>770</v>
      </c>
    </row>
    <row r="25" spans="1:46" s="34" customFormat="1">
      <c r="A25" s="338" t="s">
        <v>860</v>
      </c>
      <c r="B25" s="339"/>
      <c r="C25" s="339"/>
      <c r="D25" s="339"/>
      <c r="E25" s="339"/>
      <c r="F25" s="339"/>
      <c r="G25" s="253"/>
      <c r="H25" s="253"/>
      <c r="I25" s="253"/>
      <c r="J25" s="253"/>
      <c r="K25" s="253"/>
      <c r="L25" s="251"/>
      <c r="M25" s="251"/>
      <c r="N25" s="251"/>
      <c r="O25" s="251"/>
      <c r="P25" s="251"/>
      <c r="Q25" s="252"/>
      <c r="R25" s="39"/>
      <c r="S25" s="39"/>
      <c r="T25" s="38"/>
      <c r="U25" s="39"/>
      <c r="V25" s="38"/>
      <c r="W25" s="38"/>
      <c r="X25" s="39"/>
      <c r="Y25" s="249"/>
      <c r="Z25" s="159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250"/>
      <c r="AP25" s="250"/>
      <c r="AQ25" s="250"/>
      <c r="AR25" s="250"/>
      <c r="AS25" s="250"/>
    </row>
    <row r="26" spans="1:46" s="47" customFormat="1" ht="12.75">
      <c r="A26" s="146" t="s">
        <v>775</v>
      </c>
      <c r="B26" s="62" t="s">
        <v>838</v>
      </c>
      <c r="C26" s="62" t="s">
        <v>838</v>
      </c>
      <c r="D26" s="62" t="s">
        <v>838</v>
      </c>
      <c r="E26" s="168" t="s">
        <v>48</v>
      </c>
      <c r="F26" s="146" t="s">
        <v>861</v>
      </c>
      <c r="G26" s="146" t="s">
        <v>1071</v>
      </c>
      <c r="H26" s="47" t="s">
        <v>1072</v>
      </c>
      <c r="I26" s="47" t="s">
        <v>1072</v>
      </c>
      <c r="J26" s="272" t="s">
        <v>1073</v>
      </c>
      <c r="K26" s="272" t="s">
        <v>1073</v>
      </c>
      <c r="L26" s="62" t="s">
        <v>51</v>
      </c>
      <c r="M26" s="62" t="s">
        <v>721</v>
      </c>
      <c r="N26" s="62" t="s">
        <v>777</v>
      </c>
      <c r="O26" s="62" t="s">
        <v>113</v>
      </c>
      <c r="P26" s="62" t="s">
        <v>114</v>
      </c>
      <c r="Q26" s="216" t="s">
        <v>177</v>
      </c>
      <c r="R26" s="146" t="s">
        <v>862</v>
      </c>
      <c r="S26" s="62" t="s">
        <v>46</v>
      </c>
      <c r="T26" s="166" t="s">
        <v>499</v>
      </c>
      <c r="U26" s="62" t="str">
        <f>LOWER(F26)</f>
        <v>uart0_txd</v>
      </c>
      <c r="V26" s="62" t="s">
        <v>52</v>
      </c>
      <c r="W26" s="62" t="s">
        <v>863</v>
      </c>
      <c r="X26" s="62" t="s">
        <v>864</v>
      </c>
      <c r="Y26" s="62" t="s">
        <v>865</v>
      </c>
      <c r="Z26" s="62" t="s">
        <v>866</v>
      </c>
      <c r="AA26" s="62" t="s">
        <v>51</v>
      </c>
      <c r="AB26" s="62" t="s">
        <v>867</v>
      </c>
      <c r="AC26" s="62" t="s">
        <v>720</v>
      </c>
      <c r="AD26" s="62"/>
      <c r="AE26" s="62"/>
      <c r="AF26" s="62"/>
      <c r="AG26" s="62"/>
      <c r="AH26" s="62"/>
      <c r="AI26" s="62"/>
      <c r="AJ26" s="146" t="s">
        <v>705</v>
      </c>
      <c r="AK26" s="146" t="s">
        <v>52</v>
      </c>
      <c r="AL26" s="62" t="s">
        <v>688</v>
      </c>
      <c r="AM26" s="62" t="s">
        <v>817</v>
      </c>
      <c r="AN26" s="62"/>
      <c r="AO26" s="62"/>
      <c r="AP26" s="316" t="s">
        <v>868</v>
      </c>
      <c r="AQ26" s="244" t="s">
        <v>772</v>
      </c>
      <c r="AR26" s="316" t="s">
        <v>829</v>
      </c>
      <c r="AS26" s="244" t="s">
        <v>772</v>
      </c>
    </row>
    <row r="27" spans="1:46" s="47" customFormat="1" ht="12.75">
      <c r="A27" s="146" t="s">
        <v>762</v>
      </c>
      <c r="B27" s="62" t="s">
        <v>814</v>
      </c>
      <c r="C27" s="62" t="s">
        <v>814</v>
      </c>
      <c r="D27" s="62" t="s">
        <v>814</v>
      </c>
      <c r="E27" s="168" t="s">
        <v>48</v>
      </c>
      <c r="F27" s="146" t="s">
        <v>869</v>
      </c>
      <c r="G27" s="146" t="s">
        <v>1071</v>
      </c>
      <c r="H27" s="47" t="s">
        <v>1072</v>
      </c>
      <c r="I27" s="47" t="s">
        <v>1072</v>
      </c>
      <c r="J27" s="272" t="s">
        <v>1073</v>
      </c>
      <c r="K27" s="272" t="s">
        <v>1073</v>
      </c>
      <c r="L27" s="62" t="s">
        <v>51</v>
      </c>
      <c r="M27" s="62" t="s">
        <v>721</v>
      </c>
      <c r="N27" s="62" t="s">
        <v>764</v>
      </c>
      <c r="O27" s="62" t="s">
        <v>113</v>
      </c>
      <c r="P27" s="62" t="s">
        <v>114</v>
      </c>
      <c r="Q27" s="62" t="s">
        <v>85</v>
      </c>
      <c r="R27" s="146" t="s">
        <v>61</v>
      </c>
      <c r="S27" s="62" t="s">
        <v>46</v>
      </c>
      <c r="T27" s="166" t="s">
        <v>499</v>
      </c>
      <c r="U27" s="62" t="str">
        <f>LOWER(F27)</f>
        <v>uart0_rxd</v>
      </c>
      <c r="V27" s="62" t="s">
        <v>53</v>
      </c>
      <c r="W27" s="62" t="s">
        <v>863</v>
      </c>
      <c r="X27" s="62" t="s">
        <v>864</v>
      </c>
      <c r="Y27" s="62" t="s">
        <v>870</v>
      </c>
      <c r="Z27" s="62" t="s">
        <v>871</v>
      </c>
      <c r="AA27" s="62" t="s">
        <v>51</v>
      </c>
      <c r="AB27" s="62" t="s">
        <v>872</v>
      </c>
      <c r="AC27" s="62" t="s">
        <v>720</v>
      </c>
      <c r="AD27" s="62"/>
      <c r="AE27" s="62"/>
      <c r="AF27" s="62"/>
      <c r="AG27" s="62"/>
      <c r="AH27" s="62"/>
      <c r="AI27" s="62"/>
      <c r="AJ27" s="62" t="s">
        <v>632</v>
      </c>
      <c r="AK27" s="62" t="s">
        <v>53</v>
      </c>
      <c r="AL27" s="62" t="s">
        <v>688</v>
      </c>
      <c r="AM27" s="62" t="s">
        <v>817</v>
      </c>
      <c r="AN27" s="62"/>
      <c r="AO27" s="62"/>
      <c r="AP27" s="317"/>
      <c r="AQ27" s="244" t="s">
        <v>772</v>
      </c>
      <c r="AR27" s="317"/>
      <c r="AS27" s="244" t="s">
        <v>772</v>
      </c>
    </row>
    <row r="28" spans="1:46" s="213" customFormat="1">
      <c r="A28" s="240" t="s">
        <v>873</v>
      </c>
      <c r="B28" s="241"/>
      <c r="C28" s="241"/>
      <c r="D28" s="241"/>
      <c r="E28" s="241"/>
      <c r="F28" s="241"/>
      <c r="G28" s="253"/>
      <c r="H28" s="253"/>
      <c r="I28" s="253"/>
      <c r="J28" s="253"/>
      <c r="K28" s="253"/>
      <c r="L28" s="39"/>
      <c r="M28" s="39"/>
      <c r="N28" s="39"/>
      <c r="O28" s="39"/>
      <c r="P28" s="39"/>
      <c r="Q28" s="39"/>
      <c r="R28" s="39"/>
      <c r="S28" s="39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 t="s">
        <v>874</v>
      </c>
      <c r="AQ28" s="37"/>
      <c r="AR28" s="37"/>
      <c r="AS28" s="37"/>
      <c r="AT28" s="37"/>
    </row>
    <row r="29" spans="1:46" s="47" customFormat="1" ht="12.75">
      <c r="A29" s="146" t="s">
        <v>484</v>
      </c>
      <c r="B29" s="62" t="s">
        <v>56</v>
      </c>
      <c r="C29" s="62" t="s">
        <v>56</v>
      </c>
      <c r="D29" s="62" t="s">
        <v>56</v>
      </c>
      <c r="E29" s="62" t="s">
        <v>49</v>
      </c>
      <c r="F29" s="146" t="s">
        <v>875</v>
      </c>
      <c r="G29" s="146" t="s">
        <v>1071</v>
      </c>
      <c r="H29" s="47" t="s">
        <v>1081</v>
      </c>
      <c r="I29" s="47" t="s">
        <v>1072</v>
      </c>
      <c r="J29" s="272" t="s">
        <v>1073</v>
      </c>
      <c r="K29" s="272" t="s">
        <v>1073</v>
      </c>
      <c r="L29" s="144" t="s">
        <v>826</v>
      </c>
      <c r="M29" s="62" t="s">
        <v>721</v>
      </c>
      <c r="N29" s="62" t="s">
        <v>483</v>
      </c>
      <c r="O29" s="62" t="s">
        <v>113</v>
      </c>
      <c r="P29" s="62" t="s">
        <v>114</v>
      </c>
      <c r="Q29" s="62" t="s">
        <v>83</v>
      </c>
      <c r="R29" s="146" t="s">
        <v>62</v>
      </c>
      <c r="S29" s="62" t="s">
        <v>819</v>
      </c>
      <c r="T29" s="166" t="s">
        <v>499</v>
      </c>
      <c r="U29" s="62" t="s">
        <v>876</v>
      </c>
      <c r="V29" s="62" t="s">
        <v>836</v>
      </c>
      <c r="W29" s="62" t="s">
        <v>877</v>
      </c>
      <c r="X29" s="62" t="s">
        <v>720</v>
      </c>
      <c r="Y29" s="145"/>
      <c r="Z29" s="62" t="s">
        <v>878</v>
      </c>
      <c r="AA29" s="168" t="s">
        <v>52</v>
      </c>
      <c r="AB29" s="168" t="s">
        <v>879</v>
      </c>
      <c r="AC29" s="62" t="s">
        <v>723</v>
      </c>
      <c r="AD29" s="218"/>
      <c r="AE29" s="62"/>
      <c r="AF29" s="62"/>
      <c r="AG29" s="62"/>
      <c r="AH29" s="62"/>
      <c r="AI29" s="62"/>
      <c r="AJ29" s="62" t="s">
        <v>880</v>
      </c>
      <c r="AK29" s="62" t="s">
        <v>53</v>
      </c>
      <c r="AL29" s="62" t="s">
        <v>688</v>
      </c>
      <c r="AM29" s="62" t="s">
        <v>786</v>
      </c>
      <c r="AN29" s="62"/>
      <c r="AO29" s="62"/>
      <c r="AP29" s="316" t="s">
        <v>881</v>
      </c>
      <c r="AQ29" s="244" t="s">
        <v>770</v>
      </c>
      <c r="AR29" s="316" t="s">
        <v>771</v>
      </c>
      <c r="AS29" s="244" t="s">
        <v>770</v>
      </c>
    </row>
    <row r="30" spans="1:46" s="47" customFormat="1" ht="12.75">
      <c r="A30" s="146" t="s">
        <v>484</v>
      </c>
      <c r="B30" s="62" t="s">
        <v>56</v>
      </c>
      <c r="C30" s="62" t="s">
        <v>56</v>
      </c>
      <c r="D30" s="62" t="s">
        <v>56</v>
      </c>
      <c r="E30" s="62" t="s">
        <v>49</v>
      </c>
      <c r="F30" s="146" t="s">
        <v>516</v>
      </c>
      <c r="G30" s="146" t="s">
        <v>1071</v>
      </c>
      <c r="H30" s="47" t="s">
        <v>1072</v>
      </c>
      <c r="I30" s="47" t="s">
        <v>1072</v>
      </c>
      <c r="J30" s="272" t="s">
        <v>1087</v>
      </c>
      <c r="K30" s="272" t="s">
        <v>1073</v>
      </c>
      <c r="L30" s="144" t="s">
        <v>836</v>
      </c>
      <c r="M30" s="62" t="s">
        <v>721</v>
      </c>
      <c r="N30" s="62" t="s">
        <v>483</v>
      </c>
      <c r="O30" s="62" t="s">
        <v>113</v>
      </c>
      <c r="P30" s="62" t="s">
        <v>114</v>
      </c>
      <c r="Q30" s="62" t="s">
        <v>83</v>
      </c>
      <c r="R30" s="146" t="s">
        <v>104</v>
      </c>
      <c r="S30" s="62" t="s">
        <v>819</v>
      </c>
      <c r="T30" s="166" t="s">
        <v>499</v>
      </c>
      <c r="U30" s="62" t="s">
        <v>524</v>
      </c>
      <c r="V30" s="62" t="s">
        <v>836</v>
      </c>
      <c r="W30" s="62" t="s">
        <v>882</v>
      </c>
      <c r="X30" s="62" t="s">
        <v>720</v>
      </c>
      <c r="Y30" s="145"/>
      <c r="Z30" s="62" t="s">
        <v>883</v>
      </c>
      <c r="AA30" s="168" t="s">
        <v>51</v>
      </c>
      <c r="AB30" s="168" t="s">
        <v>879</v>
      </c>
      <c r="AC30" s="62" t="s">
        <v>723</v>
      </c>
      <c r="AD30" s="219"/>
      <c r="AE30" s="62"/>
      <c r="AF30" s="62"/>
      <c r="AG30" s="62"/>
      <c r="AH30" s="62"/>
      <c r="AI30" s="62"/>
      <c r="AJ30" s="62" t="s">
        <v>884</v>
      </c>
      <c r="AK30" s="62" t="s">
        <v>53</v>
      </c>
      <c r="AL30" s="62" t="s">
        <v>688</v>
      </c>
      <c r="AM30" s="62" t="s">
        <v>786</v>
      </c>
      <c r="AN30" s="62"/>
      <c r="AO30" s="62"/>
      <c r="AP30" s="318"/>
      <c r="AQ30" s="244" t="s">
        <v>770</v>
      </c>
      <c r="AR30" s="318"/>
      <c r="AS30" s="244" t="s">
        <v>770</v>
      </c>
    </row>
    <row r="31" spans="1:46" s="47" customFormat="1" ht="12.75">
      <c r="A31" s="146" t="s">
        <v>484</v>
      </c>
      <c r="B31" s="62" t="s">
        <v>56</v>
      </c>
      <c r="C31" s="62" t="s">
        <v>56</v>
      </c>
      <c r="D31" s="62" t="s">
        <v>56</v>
      </c>
      <c r="E31" s="62" t="s">
        <v>839</v>
      </c>
      <c r="F31" s="146" t="s">
        <v>517</v>
      </c>
      <c r="G31" s="146" t="s">
        <v>1071</v>
      </c>
      <c r="H31" s="47" t="s">
        <v>1082</v>
      </c>
      <c r="I31" s="47" t="s">
        <v>1072</v>
      </c>
      <c r="J31" s="272" t="s">
        <v>1073</v>
      </c>
      <c r="K31" s="272" t="s">
        <v>1073</v>
      </c>
      <c r="L31" s="144" t="s">
        <v>836</v>
      </c>
      <c r="M31" s="62" t="s">
        <v>720</v>
      </c>
      <c r="N31" s="62" t="s">
        <v>483</v>
      </c>
      <c r="O31" s="62" t="s">
        <v>113</v>
      </c>
      <c r="P31" s="62" t="s">
        <v>114</v>
      </c>
      <c r="Q31" s="62" t="s">
        <v>83</v>
      </c>
      <c r="R31" s="146" t="s">
        <v>63</v>
      </c>
      <c r="S31" s="62" t="s">
        <v>819</v>
      </c>
      <c r="T31" s="166" t="s">
        <v>499</v>
      </c>
      <c r="U31" s="62" t="s">
        <v>525</v>
      </c>
      <c r="V31" s="62" t="s">
        <v>836</v>
      </c>
      <c r="W31" s="62" t="s">
        <v>885</v>
      </c>
      <c r="X31" s="62" t="s">
        <v>720</v>
      </c>
      <c r="Y31" s="145"/>
      <c r="Z31" s="144"/>
      <c r="AA31" s="146"/>
      <c r="AB31" s="168"/>
      <c r="AC31" s="144"/>
      <c r="AD31" s="219"/>
      <c r="AE31" s="62"/>
      <c r="AF31" s="62"/>
      <c r="AG31" s="62"/>
      <c r="AH31" s="62"/>
      <c r="AI31" s="62"/>
      <c r="AJ31" s="62" t="s">
        <v>886</v>
      </c>
      <c r="AK31" s="146" t="s">
        <v>53</v>
      </c>
      <c r="AL31" s="62" t="s">
        <v>688</v>
      </c>
      <c r="AM31" s="62" t="s">
        <v>781</v>
      </c>
      <c r="AN31" s="62"/>
      <c r="AO31" s="62"/>
      <c r="AP31" s="318"/>
      <c r="AQ31" s="244" t="s">
        <v>770</v>
      </c>
      <c r="AR31" s="318"/>
      <c r="AS31" s="244" t="s">
        <v>770</v>
      </c>
    </row>
    <row r="32" spans="1:46" s="47" customFormat="1" ht="12.75">
      <c r="A32" s="146" t="s">
        <v>484</v>
      </c>
      <c r="B32" s="62" t="s">
        <v>56</v>
      </c>
      <c r="C32" s="62" t="s">
        <v>56</v>
      </c>
      <c r="D32" s="62" t="s">
        <v>56</v>
      </c>
      <c r="E32" s="62" t="s">
        <v>839</v>
      </c>
      <c r="F32" s="146" t="s">
        <v>518</v>
      </c>
      <c r="G32" s="146" t="s">
        <v>1071</v>
      </c>
      <c r="H32" s="47" t="s">
        <v>1082</v>
      </c>
      <c r="I32" s="47" t="s">
        <v>1072</v>
      </c>
      <c r="J32" s="272" t="s">
        <v>1073</v>
      </c>
      <c r="K32" s="272" t="s">
        <v>1073</v>
      </c>
      <c r="L32" s="144" t="s">
        <v>836</v>
      </c>
      <c r="M32" s="62" t="s">
        <v>720</v>
      </c>
      <c r="N32" s="62" t="s">
        <v>483</v>
      </c>
      <c r="O32" s="62" t="s">
        <v>113</v>
      </c>
      <c r="P32" s="62" t="s">
        <v>114</v>
      </c>
      <c r="Q32" s="62" t="s">
        <v>83</v>
      </c>
      <c r="R32" s="146" t="s">
        <v>64</v>
      </c>
      <c r="S32" s="62" t="s">
        <v>819</v>
      </c>
      <c r="T32" s="166" t="s">
        <v>499</v>
      </c>
      <c r="U32" s="62" t="s">
        <v>526</v>
      </c>
      <c r="V32" s="62" t="s">
        <v>836</v>
      </c>
      <c r="W32" s="62" t="s">
        <v>887</v>
      </c>
      <c r="X32" s="62" t="s">
        <v>720</v>
      </c>
      <c r="Y32" s="145"/>
      <c r="Z32" s="220"/>
      <c r="AA32" s="146"/>
      <c r="AB32" s="168"/>
      <c r="AC32" s="144"/>
      <c r="AD32" s="221"/>
      <c r="AE32" s="62"/>
      <c r="AF32" s="62"/>
      <c r="AG32" s="62"/>
      <c r="AH32" s="62"/>
      <c r="AI32" s="62"/>
      <c r="AJ32" s="62" t="s">
        <v>707</v>
      </c>
      <c r="AK32" s="146" t="s">
        <v>53</v>
      </c>
      <c r="AL32" s="62" t="s">
        <v>688</v>
      </c>
      <c r="AM32" s="62" t="s">
        <v>781</v>
      </c>
      <c r="AN32" s="62"/>
      <c r="AO32" s="62"/>
      <c r="AP32" s="318"/>
      <c r="AQ32" s="244" t="s">
        <v>770</v>
      </c>
      <c r="AR32" s="318"/>
      <c r="AS32" s="244" t="s">
        <v>770</v>
      </c>
    </row>
    <row r="33" spans="1:124" s="47" customFormat="1" ht="12.75">
      <c r="A33" s="146" t="s">
        <v>775</v>
      </c>
      <c r="B33" s="62" t="s">
        <v>56</v>
      </c>
      <c r="C33" s="62" t="s">
        <v>56</v>
      </c>
      <c r="D33" s="62" t="s">
        <v>56</v>
      </c>
      <c r="E33" s="62" t="s">
        <v>48</v>
      </c>
      <c r="F33" s="146" t="s">
        <v>519</v>
      </c>
      <c r="G33" s="146" t="s">
        <v>1071</v>
      </c>
      <c r="H33" s="47" t="s">
        <v>1072</v>
      </c>
      <c r="I33" s="47" t="s">
        <v>1072</v>
      </c>
      <c r="J33" s="272" t="s">
        <v>1073</v>
      </c>
      <c r="K33" s="272" t="s">
        <v>1073</v>
      </c>
      <c r="L33" s="144" t="s">
        <v>836</v>
      </c>
      <c r="M33" s="62" t="s">
        <v>720</v>
      </c>
      <c r="N33" s="62" t="s">
        <v>483</v>
      </c>
      <c r="O33" s="62" t="s">
        <v>113</v>
      </c>
      <c r="P33" s="62" t="s">
        <v>114</v>
      </c>
      <c r="Q33" s="62" t="s">
        <v>83</v>
      </c>
      <c r="R33" s="146" t="s">
        <v>105</v>
      </c>
      <c r="S33" s="62" t="s">
        <v>819</v>
      </c>
      <c r="T33" s="166" t="s">
        <v>499</v>
      </c>
      <c r="U33" s="62" t="s">
        <v>527</v>
      </c>
      <c r="V33" s="62" t="s">
        <v>836</v>
      </c>
      <c r="W33" s="62" t="s">
        <v>888</v>
      </c>
      <c r="X33" s="62" t="s">
        <v>720</v>
      </c>
      <c r="Y33" s="145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 t="s">
        <v>706</v>
      </c>
      <c r="AK33" s="146" t="s">
        <v>53</v>
      </c>
      <c r="AL33" s="62" t="s">
        <v>688</v>
      </c>
      <c r="AM33" s="62" t="s">
        <v>781</v>
      </c>
      <c r="AN33" s="62"/>
      <c r="AO33" s="62"/>
      <c r="AP33" s="317"/>
      <c r="AQ33" s="244" t="s">
        <v>770</v>
      </c>
      <c r="AR33" s="317"/>
      <c r="AS33" s="244" t="s">
        <v>770</v>
      </c>
    </row>
    <row r="34" spans="1:124" s="213" customFormat="1">
      <c r="A34" s="240" t="s">
        <v>889</v>
      </c>
      <c r="B34" s="241"/>
      <c r="C34" s="241"/>
      <c r="D34" s="241"/>
      <c r="E34" s="241"/>
      <c r="F34" s="241"/>
      <c r="G34" s="253"/>
      <c r="H34" s="253"/>
      <c r="I34" s="253"/>
      <c r="J34" s="253"/>
      <c r="K34" s="253"/>
      <c r="L34" s="39"/>
      <c r="M34" s="39"/>
      <c r="N34" s="39"/>
      <c r="O34" s="39"/>
      <c r="P34" s="39"/>
      <c r="Q34" s="39"/>
      <c r="R34" s="39"/>
      <c r="S34" s="39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</row>
    <row r="35" spans="1:124" s="62" customFormat="1" ht="12.75">
      <c r="A35" s="146" t="s">
        <v>762</v>
      </c>
      <c r="B35" s="62" t="s">
        <v>56</v>
      </c>
      <c r="C35" s="62" t="s">
        <v>56</v>
      </c>
      <c r="D35" s="62" t="s">
        <v>56</v>
      </c>
      <c r="E35" s="62" t="s">
        <v>49</v>
      </c>
      <c r="F35" s="146" t="s">
        <v>890</v>
      </c>
      <c r="G35" s="146" t="s">
        <v>1072</v>
      </c>
      <c r="H35" s="47" t="s">
        <v>1072</v>
      </c>
      <c r="I35" s="47" t="s">
        <v>1072</v>
      </c>
      <c r="J35" s="272" t="s">
        <v>1087</v>
      </c>
      <c r="K35" s="272" t="s">
        <v>1073</v>
      </c>
      <c r="L35" s="144" t="s">
        <v>826</v>
      </c>
      <c r="M35" s="62" t="s">
        <v>722</v>
      </c>
      <c r="N35" s="62" t="s">
        <v>483</v>
      </c>
      <c r="O35" s="62" t="s">
        <v>113</v>
      </c>
      <c r="P35" s="62" t="s">
        <v>114</v>
      </c>
      <c r="Q35" s="62" t="s">
        <v>83</v>
      </c>
      <c r="R35" s="146" t="s">
        <v>891</v>
      </c>
      <c r="S35" s="62" t="s">
        <v>819</v>
      </c>
      <c r="T35" s="166" t="s">
        <v>499</v>
      </c>
      <c r="U35" s="62" t="s">
        <v>528</v>
      </c>
      <c r="V35" s="62" t="s">
        <v>836</v>
      </c>
      <c r="W35" s="62" t="s">
        <v>892</v>
      </c>
      <c r="X35" s="62" t="s">
        <v>720</v>
      </c>
      <c r="Y35" s="145"/>
      <c r="Z35" s="62" t="s">
        <v>893</v>
      </c>
      <c r="AA35" s="146" t="s">
        <v>52</v>
      </c>
      <c r="AB35" s="62" t="s">
        <v>652</v>
      </c>
      <c r="AC35" s="62" t="s">
        <v>722</v>
      </c>
      <c r="AE35" s="62" t="s">
        <v>894</v>
      </c>
      <c r="AF35" s="146" t="s">
        <v>53</v>
      </c>
      <c r="AG35" s="146" t="s">
        <v>654</v>
      </c>
      <c r="AH35" s="146" t="s">
        <v>722</v>
      </c>
      <c r="AI35" s="62" t="s">
        <v>895</v>
      </c>
      <c r="AJ35" s="62" t="s">
        <v>626</v>
      </c>
      <c r="AK35" s="62" t="s">
        <v>53</v>
      </c>
      <c r="AL35" s="62" t="s">
        <v>688</v>
      </c>
      <c r="AM35" s="62" t="s">
        <v>786</v>
      </c>
      <c r="AN35" s="248"/>
      <c r="AP35" s="316" t="s">
        <v>896</v>
      </c>
      <c r="AQ35" s="244" t="s">
        <v>770</v>
      </c>
      <c r="AR35" s="316" t="s">
        <v>771</v>
      </c>
      <c r="AS35" s="244" t="s">
        <v>770</v>
      </c>
    </row>
    <row r="36" spans="1:124" s="47" customFormat="1" ht="12.75">
      <c r="A36" s="146" t="s">
        <v>775</v>
      </c>
      <c r="B36" s="62" t="s">
        <v>56</v>
      </c>
      <c r="C36" s="62" t="s">
        <v>56</v>
      </c>
      <c r="D36" s="62" t="s">
        <v>56</v>
      </c>
      <c r="E36" s="62" t="s">
        <v>839</v>
      </c>
      <c r="F36" s="146" t="s">
        <v>520</v>
      </c>
      <c r="G36" s="146" t="s">
        <v>1072</v>
      </c>
      <c r="H36" s="47" t="s">
        <v>1072</v>
      </c>
      <c r="I36" s="47" t="s">
        <v>1072</v>
      </c>
      <c r="J36" s="272" t="s">
        <v>1087</v>
      </c>
      <c r="K36" s="272" t="s">
        <v>1073</v>
      </c>
      <c r="L36" s="144" t="s">
        <v>836</v>
      </c>
      <c r="M36" s="62" t="s">
        <v>722</v>
      </c>
      <c r="N36" s="62" t="s">
        <v>483</v>
      </c>
      <c r="O36" s="62" t="s">
        <v>113</v>
      </c>
      <c r="P36" s="62" t="s">
        <v>114</v>
      </c>
      <c r="Q36" s="62" t="s">
        <v>83</v>
      </c>
      <c r="R36" s="146" t="s">
        <v>106</v>
      </c>
      <c r="S36" s="62" t="s">
        <v>819</v>
      </c>
      <c r="T36" s="166" t="s">
        <v>499</v>
      </c>
      <c r="U36" s="62" t="s">
        <v>492</v>
      </c>
      <c r="V36" s="62" t="s">
        <v>836</v>
      </c>
      <c r="W36" s="62" t="s">
        <v>897</v>
      </c>
      <c r="X36" s="62" t="s">
        <v>720</v>
      </c>
      <c r="Y36" s="145"/>
      <c r="Z36" s="62" t="s">
        <v>898</v>
      </c>
      <c r="AA36" s="146" t="s">
        <v>51</v>
      </c>
      <c r="AB36" s="62" t="s">
        <v>653</v>
      </c>
      <c r="AC36" s="62" t="s">
        <v>722</v>
      </c>
      <c r="AD36" s="62"/>
      <c r="AE36" s="62" t="s">
        <v>899</v>
      </c>
      <c r="AF36" s="146" t="s">
        <v>51</v>
      </c>
      <c r="AG36" s="146" t="s">
        <v>655</v>
      </c>
      <c r="AH36" s="146" t="s">
        <v>722</v>
      </c>
      <c r="AI36" s="62" t="s">
        <v>900</v>
      </c>
      <c r="AJ36" s="62" t="s">
        <v>627</v>
      </c>
      <c r="AK36" s="62" t="s">
        <v>53</v>
      </c>
      <c r="AL36" s="62" t="s">
        <v>688</v>
      </c>
      <c r="AM36" s="62" t="s">
        <v>786</v>
      </c>
      <c r="AN36" s="248"/>
      <c r="AO36" s="62"/>
      <c r="AP36" s="318"/>
      <c r="AQ36" s="244" t="s">
        <v>770</v>
      </c>
      <c r="AR36" s="318"/>
      <c r="AS36" s="244" t="s">
        <v>770</v>
      </c>
    </row>
    <row r="37" spans="1:124" s="47" customFormat="1" ht="12.75">
      <c r="A37" s="146" t="s">
        <v>775</v>
      </c>
      <c r="B37" s="62" t="s">
        <v>56</v>
      </c>
      <c r="C37" s="62" t="s">
        <v>56</v>
      </c>
      <c r="D37" s="62" t="s">
        <v>56</v>
      </c>
      <c r="E37" s="62" t="s">
        <v>48</v>
      </c>
      <c r="F37" s="146" t="s">
        <v>521</v>
      </c>
      <c r="G37" s="146" t="s">
        <v>1072</v>
      </c>
      <c r="H37" s="47" t="s">
        <v>1072</v>
      </c>
      <c r="I37" s="47" t="s">
        <v>1072</v>
      </c>
      <c r="J37" s="272" t="s">
        <v>1087</v>
      </c>
      <c r="K37" s="272" t="s">
        <v>1073</v>
      </c>
      <c r="L37" s="144" t="s">
        <v>836</v>
      </c>
      <c r="M37" s="62" t="s">
        <v>722</v>
      </c>
      <c r="N37" s="62" t="s">
        <v>483</v>
      </c>
      <c r="O37" s="62" t="s">
        <v>113</v>
      </c>
      <c r="P37" s="62" t="s">
        <v>114</v>
      </c>
      <c r="Q37" s="62" t="s">
        <v>83</v>
      </c>
      <c r="R37" s="146" t="s">
        <v>65</v>
      </c>
      <c r="S37" s="62" t="s">
        <v>819</v>
      </c>
      <c r="T37" s="166" t="s">
        <v>499</v>
      </c>
      <c r="U37" s="62" t="s">
        <v>493</v>
      </c>
      <c r="V37" s="62" t="s">
        <v>836</v>
      </c>
      <c r="W37" s="62" t="s">
        <v>901</v>
      </c>
      <c r="X37" s="62" t="s">
        <v>720</v>
      </c>
      <c r="Y37" s="145"/>
      <c r="Z37" s="62" t="s">
        <v>902</v>
      </c>
      <c r="AA37" s="146" t="s">
        <v>51</v>
      </c>
      <c r="AB37" s="62" t="s">
        <v>653</v>
      </c>
      <c r="AC37" s="62" t="s">
        <v>722</v>
      </c>
      <c r="AD37" s="62"/>
      <c r="AE37" s="62" t="s">
        <v>903</v>
      </c>
      <c r="AF37" s="146" t="s">
        <v>51</v>
      </c>
      <c r="AG37" s="146" t="s">
        <v>655</v>
      </c>
      <c r="AH37" s="146" t="s">
        <v>722</v>
      </c>
      <c r="AI37" s="62" t="s">
        <v>904</v>
      </c>
      <c r="AJ37" s="62" t="s">
        <v>628</v>
      </c>
      <c r="AK37" s="62" t="s">
        <v>53</v>
      </c>
      <c r="AL37" s="62" t="s">
        <v>688</v>
      </c>
      <c r="AM37" s="62" t="s">
        <v>786</v>
      </c>
      <c r="AN37" s="248"/>
      <c r="AO37" s="62"/>
      <c r="AP37" s="318"/>
      <c r="AQ37" s="244" t="s">
        <v>770</v>
      </c>
      <c r="AR37" s="318"/>
      <c r="AS37" s="244" t="s">
        <v>770</v>
      </c>
    </row>
    <row r="38" spans="1:124" s="47" customFormat="1" ht="12.75">
      <c r="A38" s="146" t="s">
        <v>775</v>
      </c>
      <c r="B38" s="62" t="s">
        <v>56</v>
      </c>
      <c r="C38" s="62" t="s">
        <v>56</v>
      </c>
      <c r="D38" s="62" t="s">
        <v>56</v>
      </c>
      <c r="E38" s="62" t="s">
        <v>839</v>
      </c>
      <c r="F38" s="146" t="s">
        <v>522</v>
      </c>
      <c r="G38" s="146" t="s">
        <v>1072</v>
      </c>
      <c r="H38" s="47" t="s">
        <v>1072</v>
      </c>
      <c r="I38" s="47" t="s">
        <v>1072</v>
      </c>
      <c r="J38" s="272" t="s">
        <v>1087</v>
      </c>
      <c r="K38" s="272" t="s">
        <v>1073</v>
      </c>
      <c r="L38" s="144" t="s">
        <v>836</v>
      </c>
      <c r="M38" s="62" t="s">
        <v>722</v>
      </c>
      <c r="N38" s="62" t="s">
        <v>483</v>
      </c>
      <c r="O38" s="62" t="s">
        <v>113</v>
      </c>
      <c r="P38" s="62" t="s">
        <v>114</v>
      </c>
      <c r="Q38" s="62" t="s">
        <v>83</v>
      </c>
      <c r="R38" s="146" t="s">
        <v>637</v>
      </c>
      <c r="S38" s="62" t="s">
        <v>819</v>
      </c>
      <c r="T38" s="166" t="s">
        <v>499</v>
      </c>
      <c r="U38" s="62" t="s">
        <v>494</v>
      </c>
      <c r="V38" s="62" t="s">
        <v>836</v>
      </c>
      <c r="W38" s="62" t="s">
        <v>905</v>
      </c>
      <c r="X38" s="62" t="s">
        <v>720</v>
      </c>
      <c r="Y38" s="145"/>
      <c r="Z38" s="62" t="s">
        <v>512</v>
      </c>
      <c r="AA38" s="146" t="s">
        <v>51</v>
      </c>
      <c r="AB38" s="62" t="s">
        <v>653</v>
      </c>
      <c r="AC38" s="62" t="s">
        <v>722</v>
      </c>
      <c r="AD38" s="62"/>
      <c r="AE38" s="62" t="s">
        <v>906</v>
      </c>
      <c r="AF38" s="146" t="s">
        <v>51</v>
      </c>
      <c r="AG38" s="146" t="s">
        <v>655</v>
      </c>
      <c r="AH38" s="146" t="s">
        <v>722</v>
      </c>
      <c r="AI38" s="62" t="s">
        <v>907</v>
      </c>
      <c r="AJ38" s="62" t="s">
        <v>629</v>
      </c>
      <c r="AK38" s="62" t="s">
        <v>53</v>
      </c>
      <c r="AL38" s="62" t="s">
        <v>688</v>
      </c>
      <c r="AM38" s="62" t="s">
        <v>817</v>
      </c>
      <c r="AN38" s="248"/>
      <c r="AO38" s="62"/>
      <c r="AP38" s="318"/>
      <c r="AQ38" s="244" t="s">
        <v>772</v>
      </c>
      <c r="AR38" s="318"/>
      <c r="AS38" s="244" t="s">
        <v>772</v>
      </c>
    </row>
    <row r="39" spans="1:124" s="47" customFormat="1" ht="12.75">
      <c r="A39" s="146" t="s">
        <v>762</v>
      </c>
      <c r="B39" s="62" t="s">
        <v>56</v>
      </c>
      <c r="C39" s="62" t="s">
        <v>56</v>
      </c>
      <c r="D39" s="62" t="s">
        <v>56</v>
      </c>
      <c r="E39" s="62" t="s">
        <v>830</v>
      </c>
      <c r="F39" s="146" t="s">
        <v>523</v>
      </c>
      <c r="G39" s="146" t="s">
        <v>1072</v>
      </c>
      <c r="H39" s="47" t="s">
        <v>1072</v>
      </c>
      <c r="I39" s="47" t="s">
        <v>1072</v>
      </c>
      <c r="J39" s="272" t="s">
        <v>1087</v>
      </c>
      <c r="K39" s="272" t="s">
        <v>1073</v>
      </c>
      <c r="L39" s="144" t="s">
        <v>826</v>
      </c>
      <c r="M39" s="62" t="s">
        <v>722</v>
      </c>
      <c r="N39" s="62" t="s">
        <v>483</v>
      </c>
      <c r="O39" s="62" t="s">
        <v>113</v>
      </c>
      <c r="P39" s="62" t="s">
        <v>114</v>
      </c>
      <c r="Q39" s="62" t="s">
        <v>83</v>
      </c>
      <c r="R39" s="146" t="s">
        <v>638</v>
      </c>
      <c r="S39" s="62" t="s">
        <v>819</v>
      </c>
      <c r="T39" s="166" t="s">
        <v>499</v>
      </c>
      <c r="U39" s="62" t="s">
        <v>495</v>
      </c>
      <c r="V39" s="62" t="s">
        <v>836</v>
      </c>
      <c r="W39" s="62" t="s">
        <v>908</v>
      </c>
      <c r="X39" s="62" t="s">
        <v>720</v>
      </c>
      <c r="Y39" s="145"/>
      <c r="Z39" s="62" t="s">
        <v>513</v>
      </c>
      <c r="AA39" s="146" t="s">
        <v>51</v>
      </c>
      <c r="AB39" s="62" t="s">
        <v>653</v>
      </c>
      <c r="AC39" s="62" t="s">
        <v>722</v>
      </c>
      <c r="AD39" s="62"/>
      <c r="AE39" s="62" t="s">
        <v>909</v>
      </c>
      <c r="AF39" s="146" t="s">
        <v>51</v>
      </c>
      <c r="AG39" s="146" t="s">
        <v>655</v>
      </c>
      <c r="AH39" s="146" t="s">
        <v>722</v>
      </c>
      <c r="AI39" s="62" t="s">
        <v>910</v>
      </c>
      <c r="AJ39" s="62" t="s">
        <v>630</v>
      </c>
      <c r="AK39" s="62" t="s">
        <v>53</v>
      </c>
      <c r="AL39" s="62" t="s">
        <v>688</v>
      </c>
      <c r="AM39" s="62" t="s">
        <v>786</v>
      </c>
      <c r="AN39" s="248"/>
      <c r="AO39" s="62"/>
      <c r="AP39" s="318"/>
      <c r="AQ39" s="244" t="s">
        <v>770</v>
      </c>
      <c r="AR39" s="318"/>
      <c r="AS39" s="244" t="s">
        <v>770</v>
      </c>
    </row>
    <row r="40" spans="1:124" s="47" customFormat="1" ht="12.75">
      <c r="A40" s="146" t="s">
        <v>775</v>
      </c>
      <c r="B40" s="62" t="s">
        <v>56</v>
      </c>
      <c r="C40" s="62" t="s">
        <v>56</v>
      </c>
      <c r="D40" s="62" t="s">
        <v>56</v>
      </c>
      <c r="E40" s="62" t="s">
        <v>839</v>
      </c>
      <c r="F40" s="146" t="s">
        <v>646</v>
      </c>
      <c r="G40" s="146" t="s">
        <v>1072</v>
      </c>
      <c r="H40" s="47" t="s">
        <v>1072</v>
      </c>
      <c r="I40" s="47" t="s">
        <v>1072</v>
      </c>
      <c r="J40" s="272" t="s">
        <v>1087</v>
      </c>
      <c r="K40" s="272" t="s">
        <v>1073</v>
      </c>
      <c r="L40" s="144" t="s">
        <v>836</v>
      </c>
      <c r="M40" s="62" t="s">
        <v>722</v>
      </c>
      <c r="N40" s="62" t="s">
        <v>483</v>
      </c>
      <c r="O40" s="62" t="s">
        <v>113</v>
      </c>
      <c r="P40" s="62" t="s">
        <v>114</v>
      </c>
      <c r="Q40" s="62" t="s">
        <v>83</v>
      </c>
      <c r="R40" s="146" t="s">
        <v>639</v>
      </c>
      <c r="S40" s="62" t="s">
        <v>819</v>
      </c>
      <c r="T40" s="166" t="s">
        <v>499</v>
      </c>
      <c r="U40" s="62" t="s">
        <v>645</v>
      </c>
      <c r="V40" s="62" t="s">
        <v>836</v>
      </c>
      <c r="W40" s="62" t="s">
        <v>911</v>
      </c>
      <c r="X40" s="62" t="s">
        <v>720</v>
      </c>
      <c r="Y40" s="145"/>
      <c r="Z40" s="62" t="s">
        <v>514</v>
      </c>
      <c r="AA40" s="146" t="s">
        <v>51</v>
      </c>
      <c r="AB40" s="62" t="s">
        <v>653</v>
      </c>
      <c r="AC40" s="62" t="s">
        <v>722</v>
      </c>
      <c r="AD40" s="62"/>
      <c r="AE40" s="62" t="s">
        <v>912</v>
      </c>
      <c r="AF40" s="146" t="s">
        <v>51</v>
      </c>
      <c r="AG40" s="146" t="s">
        <v>655</v>
      </c>
      <c r="AH40" s="146" t="s">
        <v>722</v>
      </c>
      <c r="AI40" s="62" t="s">
        <v>913</v>
      </c>
      <c r="AJ40" s="62" t="s">
        <v>631</v>
      </c>
      <c r="AK40" s="62" t="s">
        <v>53</v>
      </c>
      <c r="AL40" s="62" t="s">
        <v>688</v>
      </c>
      <c r="AM40" s="62" t="s">
        <v>786</v>
      </c>
      <c r="AN40" s="248"/>
      <c r="AO40" s="62"/>
      <c r="AP40" s="318"/>
      <c r="AQ40" s="244" t="s">
        <v>770</v>
      </c>
      <c r="AR40" s="318"/>
      <c r="AS40" s="244" t="s">
        <v>770</v>
      </c>
    </row>
    <row r="41" spans="1:124" s="47" customFormat="1">
      <c r="A41" s="146" t="s">
        <v>775</v>
      </c>
      <c r="B41" s="62" t="s">
        <v>537</v>
      </c>
      <c r="C41" s="62" t="s">
        <v>537</v>
      </c>
      <c r="D41" s="62" t="s">
        <v>56</v>
      </c>
      <c r="E41" s="62" t="s">
        <v>48</v>
      </c>
      <c r="F41" s="62" t="s">
        <v>914</v>
      </c>
      <c r="G41" s="271" t="s">
        <v>1071</v>
      </c>
      <c r="H41" s="271" t="s">
        <v>1071</v>
      </c>
      <c r="I41" s="271" t="s">
        <v>1071</v>
      </c>
      <c r="J41" s="271" t="s">
        <v>1071</v>
      </c>
      <c r="K41" s="271" t="s">
        <v>1071</v>
      </c>
      <c r="L41" s="62" t="s">
        <v>833</v>
      </c>
      <c r="M41" s="62" t="s">
        <v>722</v>
      </c>
      <c r="N41" s="62" t="s">
        <v>483</v>
      </c>
      <c r="O41" s="146" t="s">
        <v>113</v>
      </c>
      <c r="P41" s="62" t="s">
        <v>114</v>
      </c>
      <c r="Q41" s="62" t="s">
        <v>179</v>
      </c>
      <c r="R41" s="146" t="s">
        <v>730</v>
      </c>
      <c r="S41" s="62" t="s">
        <v>12</v>
      </c>
      <c r="T41" s="62" t="s">
        <v>499</v>
      </c>
      <c r="U41" s="62" t="str">
        <f>LOWER(F41)</f>
        <v>mmc1_clk_fb_out</v>
      </c>
      <c r="V41" s="62" t="s">
        <v>52</v>
      </c>
      <c r="W41" s="62" t="s">
        <v>766</v>
      </c>
      <c r="X41" s="62" t="s">
        <v>722</v>
      </c>
      <c r="Y41" s="145" t="s">
        <v>915</v>
      </c>
      <c r="Z41" s="158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318"/>
      <c r="AQ41" s="244" t="s">
        <v>770</v>
      </c>
      <c r="AR41" s="318"/>
      <c r="AS41" s="244" t="s">
        <v>770</v>
      </c>
    </row>
    <row r="42" spans="1:124" s="47" customFormat="1">
      <c r="A42" s="146" t="s">
        <v>775</v>
      </c>
      <c r="B42" s="62" t="s">
        <v>537</v>
      </c>
      <c r="C42" s="62" t="s">
        <v>537</v>
      </c>
      <c r="D42" s="62" t="s">
        <v>56</v>
      </c>
      <c r="E42" s="62" t="s">
        <v>50</v>
      </c>
      <c r="F42" s="62" t="s">
        <v>916</v>
      </c>
      <c r="G42" s="271" t="s">
        <v>1071</v>
      </c>
      <c r="H42" s="271" t="s">
        <v>1071</v>
      </c>
      <c r="I42" s="271" t="s">
        <v>1071</v>
      </c>
      <c r="J42" s="271" t="s">
        <v>1071</v>
      </c>
      <c r="K42" s="271" t="s">
        <v>1071</v>
      </c>
      <c r="L42" s="62" t="s">
        <v>917</v>
      </c>
      <c r="M42" s="62" t="s">
        <v>722</v>
      </c>
      <c r="N42" s="62" t="s">
        <v>483</v>
      </c>
      <c r="O42" s="146" t="s">
        <v>113</v>
      </c>
      <c r="P42" s="62" t="s">
        <v>116</v>
      </c>
      <c r="Q42" s="62" t="s">
        <v>174</v>
      </c>
      <c r="R42" s="62" t="s">
        <v>765</v>
      </c>
      <c r="S42" s="62" t="s">
        <v>12</v>
      </c>
      <c r="T42" s="62" t="s">
        <v>499</v>
      </c>
      <c r="U42" s="62" t="str">
        <f>LOWER(F42)</f>
        <v>mmc1_clk_fb_in</v>
      </c>
      <c r="V42" s="62" t="s">
        <v>53</v>
      </c>
      <c r="W42" s="62" t="s">
        <v>766</v>
      </c>
      <c r="X42" s="62" t="s">
        <v>722</v>
      </c>
      <c r="Y42" s="145" t="s">
        <v>918</v>
      </c>
      <c r="Z42" s="158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317"/>
      <c r="AQ42" s="244" t="s">
        <v>770</v>
      </c>
      <c r="AR42" s="317"/>
      <c r="AS42" s="244" t="s">
        <v>770</v>
      </c>
    </row>
    <row r="43" spans="1:124" s="231" customFormat="1">
      <c r="A43" s="240" t="s">
        <v>919</v>
      </c>
      <c r="B43" s="241"/>
      <c r="C43" s="241"/>
      <c r="D43" s="241"/>
      <c r="E43" s="241"/>
      <c r="F43" s="241"/>
      <c r="G43" s="253"/>
      <c r="H43" s="253"/>
      <c r="I43" s="253"/>
      <c r="J43" s="253"/>
      <c r="K43" s="253"/>
      <c r="L43" s="39"/>
      <c r="M43" s="39"/>
      <c r="N43" s="39"/>
      <c r="O43" s="39"/>
      <c r="P43" s="39"/>
      <c r="Q43" s="39"/>
      <c r="R43" s="39"/>
      <c r="S43" s="39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</row>
    <row r="44" spans="1:124" s="47" customFormat="1" ht="12.75">
      <c r="A44" s="146" t="s">
        <v>775</v>
      </c>
      <c r="B44" s="62" t="s">
        <v>56</v>
      </c>
      <c r="C44" s="62" t="s">
        <v>56</v>
      </c>
      <c r="D44" s="62" t="s">
        <v>56</v>
      </c>
      <c r="E44" s="62" t="s">
        <v>48</v>
      </c>
      <c r="F44" s="62" t="s">
        <v>920</v>
      </c>
      <c r="G44" s="271" t="s">
        <v>1071</v>
      </c>
      <c r="H44" s="271" t="s">
        <v>1071</v>
      </c>
      <c r="I44" s="271" t="s">
        <v>1071</v>
      </c>
      <c r="J44" s="272" t="s">
        <v>1074</v>
      </c>
      <c r="K44" s="272" t="s">
        <v>1073</v>
      </c>
      <c r="L44" s="62" t="s">
        <v>53</v>
      </c>
      <c r="M44" s="62" t="s">
        <v>864</v>
      </c>
      <c r="N44" s="62" t="s">
        <v>777</v>
      </c>
      <c r="O44" s="62" t="s">
        <v>113</v>
      </c>
      <c r="P44" s="62" t="s">
        <v>921</v>
      </c>
      <c r="Q44" s="62" t="s">
        <v>83</v>
      </c>
      <c r="R44" s="62" t="s">
        <v>765</v>
      </c>
      <c r="S44" s="62" t="s">
        <v>12</v>
      </c>
      <c r="T44" s="62" t="s">
        <v>499</v>
      </c>
      <c r="U44" s="62" t="str">
        <f>LOWER(F44)</f>
        <v>jtag_dft_mode</v>
      </c>
      <c r="V44" s="62" t="s">
        <v>53</v>
      </c>
      <c r="W44" s="62" t="s">
        <v>766</v>
      </c>
      <c r="X44" s="62" t="s">
        <v>864</v>
      </c>
      <c r="Y44" s="145" t="s">
        <v>922</v>
      </c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DR44" s="237" t="s">
        <v>716</v>
      </c>
      <c r="DT44" s="237" t="s">
        <v>715</v>
      </c>
    </row>
    <row r="45" spans="1:124" s="227" customFormat="1">
      <c r="A45" s="240" t="s">
        <v>923</v>
      </c>
      <c r="B45" s="241"/>
      <c r="C45" s="241"/>
      <c r="D45" s="241"/>
      <c r="E45" s="241"/>
      <c r="F45" s="241"/>
      <c r="G45" s="253"/>
      <c r="H45" s="253"/>
      <c r="I45" s="253"/>
      <c r="J45" s="253"/>
      <c r="K45" s="253"/>
      <c r="L45" s="241"/>
      <c r="M45" s="223"/>
      <c r="N45" s="223"/>
      <c r="O45" s="223"/>
      <c r="P45" s="223"/>
      <c r="Q45" s="223"/>
      <c r="R45" s="223"/>
      <c r="S45" s="223"/>
      <c r="T45" s="223"/>
      <c r="U45" s="224"/>
      <c r="V45" s="224"/>
      <c r="W45" s="225"/>
      <c r="X45" s="225"/>
      <c r="Y45" s="225"/>
      <c r="Z45" s="226"/>
      <c r="AA45" s="225"/>
      <c r="AB45" s="225"/>
      <c r="AC45" s="225"/>
      <c r="AD45" s="225"/>
      <c r="AE45" s="225"/>
      <c r="AF45" s="225"/>
      <c r="AG45" s="225"/>
      <c r="AH45" s="225"/>
      <c r="AI45" s="225"/>
      <c r="AJ45" s="225"/>
      <c r="AK45" s="225"/>
      <c r="AL45" s="225"/>
      <c r="AM45" s="225"/>
      <c r="AN45" s="225"/>
      <c r="AO45" s="225"/>
      <c r="AP45" s="225"/>
      <c r="AQ45" s="225"/>
      <c r="AR45" s="225"/>
      <c r="AS45" s="225"/>
      <c r="AT45" s="225"/>
      <c r="AU45" s="225"/>
      <c r="AV45" s="225"/>
      <c r="AW45" s="225"/>
      <c r="AX45" s="225"/>
      <c r="AY45" s="225"/>
      <c r="AZ45" s="225"/>
      <c r="BA45" s="225"/>
      <c r="BB45" s="225"/>
      <c r="BC45" s="225"/>
      <c r="BD45" s="225"/>
      <c r="BE45" s="225"/>
      <c r="BF45" s="225"/>
      <c r="BG45" s="225"/>
      <c r="BH45" s="225"/>
      <c r="BI45" s="225"/>
      <c r="BJ45" s="225"/>
      <c r="BK45" s="225"/>
      <c r="BL45" s="225"/>
      <c r="BM45" s="225"/>
      <c r="BN45" s="225"/>
      <c r="BO45" s="225"/>
      <c r="BP45" s="225"/>
      <c r="BQ45" s="225"/>
      <c r="BR45" s="225"/>
      <c r="BS45" s="225"/>
      <c r="BT45" s="225"/>
      <c r="BU45" s="225"/>
      <c r="BV45" s="225"/>
      <c r="BW45" s="225"/>
      <c r="BX45" s="225"/>
      <c r="BY45" s="225"/>
      <c r="BZ45" s="225"/>
      <c r="CA45" s="225"/>
      <c r="CB45" s="225"/>
      <c r="CC45" s="225"/>
      <c r="CD45" s="225"/>
      <c r="CE45" s="225"/>
      <c r="CF45" s="225"/>
      <c r="CG45" s="225"/>
      <c r="CH45" s="225"/>
      <c r="CI45" s="225"/>
      <c r="CJ45" s="225"/>
      <c r="CK45" s="225"/>
      <c r="CL45" s="225"/>
      <c r="CM45" s="225"/>
      <c r="CN45" s="225"/>
      <c r="CO45" s="225"/>
      <c r="CP45" s="225"/>
      <c r="CQ45" s="225"/>
      <c r="CR45" s="225"/>
      <c r="CS45" s="225"/>
      <c r="CT45" s="225"/>
      <c r="CU45" s="225"/>
      <c r="CV45" s="225"/>
      <c r="CW45" s="225"/>
      <c r="CX45" s="225"/>
      <c r="CY45" s="225"/>
      <c r="CZ45" s="225"/>
      <c r="DA45" s="225"/>
      <c r="DB45" s="225"/>
      <c r="DC45" s="225"/>
      <c r="DD45" s="225"/>
      <c r="DE45" s="225"/>
      <c r="DF45" s="225"/>
      <c r="DG45" s="225"/>
      <c r="DH45" s="225"/>
      <c r="DI45" s="225"/>
      <c r="DJ45" s="225"/>
      <c r="DK45" s="225"/>
      <c r="DL45" s="225"/>
      <c r="DM45" s="225"/>
      <c r="DN45" s="225"/>
      <c r="DO45" s="225"/>
      <c r="DP45" s="225"/>
      <c r="DQ45" s="225"/>
      <c r="DR45" s="225"/>
    </row>
    <row r="46" spans="1:124" s="228" customFormat="1" ht="12.75">
      <c r="A46" s="228" t="s">
        <v>924</v>
      </c>
      <c r="B46" s="228" t="s">
        <v>838</v>
      </c>
      <c r="C46" s="228" t="s">
        <v>838</v>
      </c>
      <c r="D46" s="228" t="s">
        <v>838</v>
      </c>
      <c r="E46" s="228" t="s">
        <v>50</v>
      </c>
      <c r="F46" s="228" t="s">
        <v>925</v>
      </c>
      <c r="G46" s="273" t="s">
        <v>1071</v>
      </c>
      <c r="H46" s="273" t="s">
        <v>1071</v>
      </c>
      <c r="I46" s="273" t="s">
        <v>1071</v>
      </c>
      <c r="J46" s="273" t="s">
        <v>1071</v>
      </c>
      <c r="K46" s="273" t="s">
        <v>1071</v>
      </c>
      <c r="L46" s="228" t="s">
        <v>926</v>
      </c>
      <c r="M46" s="228" t="s">
        <v>927</v>
      </c>
      <c r="N46" s="228" t="s">
        <v>928</v>
      </c>
      <c r="Q46" s="228" t="s">
        <v>929</v>
      </c>
      <c r="R46" s="228" t="s">
        <v>689</v>
      </c>
      <c r="T46" s="228" t="s">
        <v>930</v>
      </c>
      <c r="U46" s="228" t="s">
        <v>931</v>
      </c>
      <c r="V46" s="228" t="s">
        <v>110</v>
      </c>
      <c r="W46" s="228" t="s">
        <v>690</v>
      </c>
      <c r="X46" s="228" t="s">
        <v>932</v>
      </c>
      <c r="Y46" s="229" t="s">
        <v>933</v>
      </c>
      <c r="DR46" s="313" t="s">
        <v>708</v>
      </c>
      <c r="DT46" s="313" t="s">
        <v>709</v>
      </c>
    </row>
    <row r="47" spans="1:124" s="228" customFormat="1" ht="12.75">
      <c r="A47" s="228" t="s">
        <v>934</v>
      </c>
      <c r="B47" s="228" t="s">
        <v>935</v>
      </c>
      <c r="C47" s="228" t="s">
        <v>935</v>
      </c>
      <c r="D47" s="228" t="s">
        <v>935</v>
      </c>
      <c r="E47" s="228" t="s">
        <v>50</v>
      </c>
      <c r="F47" s="228" t="s">
        <v>936</v>
      </c>
      <c r="G47" s="273" t="s">
        <v>1071</v>
      </c>
      <c r="H47" s="273" t="s">
        <v>1071</v>
      </c>
      <c r="I47" s="273" t="s">
        <v>1071</v>
      </c>
      <c r="J47" s="273" t="s">
        <v>1071</v>
      </c>
      <c r="K47" s="273" t="s">
        <v>1071</v>
      </c>
      <c r="L47" s="228" t="s">
        <v>937</v>
      </c>
      <c r="M47" s="228" t="s">
        <v>932</v>
      </c>
      <c r="N47" s="228" t="s">
        <v>938</v>
      </c>
      <c r="Q47" s="228" t="s">
        <v>939</v>
      </c>
      <c r="R47" s="228" t="s">
        <v>689</v>
      </c>
      <c r="T47" s="228" t="s">
        <v>940</v>
      </c>
      <c r="U47" s="228" t="s">
        <v>936</v>
      </c>
      <c r="V47" s="228" t="s">
        <v>110</v>
      </c>
      <c r="W47" s="228" t="s">
        <v>690</v>
      </c>
      <c r="X47" s="228" t="s">
        <v>932</v>
      </c>
      <c r="Y47" s="229" t="s">
        <v>941</v>
      </c>
      <c r="DR47" s="314"/>
      <c r="DT47" s="314"/>
    </row>
    <row r="51" spans="1:25" s="213" customFormat="1">
      <c r="C51" s="231"/>
      <c r="G51" s="254"/>
      <c r="H51" s="254"/>
      <c r="I51" s="254"/>
      <c r="J51" s="254"/>
      <c r="K51" s="254"/>
      <c r="Y51" s="211"/>
    </row>
    <row r="52" spans="1:25" s="213" customFormat="1">
      <c r="B52" s="212"/>
      <c r="C52" s="230"/>
      <c r="D52" s="212"/>
      <c r="G52" s="254"/>
      <c r="H52" s="254"/>
      <c r="I52" s="254"/>
      <c r="J52" s="254"/>
      <c r="K52" s="254"/>
      <c r="Y52" s="211"/>
    </row>
    <row r="53" spans="1:25" s="213" customFormat="1">
      <c r="B53" s="230" t="s">
        <v>717</v>
      </c>
      <c r="C53" s="230" t="s">
        <v>718</v>
      </c>
      <c r="G53" s="254"/>
      <c r="H53" s="254"/>
      <c r="I53" s="254"/>
      <c r="J53" s="254"/>
      <c r="K53" s="254"/>
      <c r="Y53" s="211"/>
    </row>
    <row r="54" spans="1:25" s="213" customFormat="1">
      <c r="A54" s="214" t="s">
        <v>616</v>
      </c>
      <c r="B54" s="210">
        <f>COUNTIF(B1:B52,"Y")</f>
        <v>35</v>
      </c>
      <c r="C54" s="210">
        <f>COUNTIF(C1:C52,"Y")</f>
        <v>35</v>
      </c>
      <c r="D54" s="210">
        <f>COUNTIF(D1:D52,"Y")</f>
        <v>37</v>
      </c>
      <c r="E54" s="210">
        <f>COUNTIF(E1:E52,"MUX_C")+COUNTIF(E1:E52,"MUX_D")</f>
        <v>31</v>
      </c>
      <c r="G54" s="254"/>
      <c r="H54" s="254"/>
      <c r="I54" s="254"/>
      <c r="J54" s="254"/>
      <c r="K54" s="254"/>
      <c r="M54" s="187" t="s">
        <v>617</v>
      </c>
      <c r="N54" s="187" t="s">
        <v>618</v>
      </c>
      <c r="O54" s="188" t="s">
        <v>619</v>
      </c>
      <c r="P54" s="188" t="s">
        <v>620</v>
      </c>
      <c r="Q54" s="322" t="s">
        <v>621</v>
      </c>
      <c r="R54" s="323"/>
      <c r="S54" s="324"/>
      <c r="Y54" s="211"/>
    </row>
    <row r="55" spans="1:25" s="213" customFormat="1">
      <c r="C55" s="231"/>
      <c r="G55" s="254"/>
      <c r="H55" s="254"/>
      <c r="I55" s="254"/>
      <c r="J55" s="254"/>
      <c r="K55" s="254"/>
      <c r="M55" s="189" t="s">
        <v>622</v>
      </c>
      <c r="N55" s="142" t="s">
        <v>623</v>
      </c>
      <c r="O55" s="191" t="s">
        <v>624</v>
      </c>
      <c r="P55" s="190" t="s">
        <v>942</v>
      </c>
      <c r="Q55" s="319" t="s">
        <v>625</v>
      </c>
      <c r="R55" s="320"/>
      <c r="S55" s="321"/>
      <c r="Y55" s="211"/>
    </row>
    <row r="56" spans="1:25" s="213" customFormat="1">
      <c r="C56" s="231"/>
      <c r="G56" s="254"/>
      <c r="H56" s="254"/>
      <c r="I56" s="254"/>
      <c r="J56" s="254"/>
      <c r="K56" s="254"/>
      <c r="M56" s="189" t="s">
        <v>710</v>
      </c>
      <c r="N56" s="236" t="s">
        <v>711</v>
      </c>
      <c r="O56" s="191" t="s">
        <v>712</v>
      </c>
      <c r="P56" s="190" t="s">
        <v>713</v>
      </c>
      <c r="Q56" s="315"/>
      <c r="R56" s="315"/>
      <c r="S56" s="315"/>
      <c r="Y56" s="211"/>
    </row>
    <row r="57" spans="1:25">
      <c r="B57" s="161"/>
      <c r="E57" s="207"/>
      <c r="F57" s="207"/>
      <c r="L57" s="207"/>
      <c r="M57" s="207"/>
      <c r="N57" s="207"/>
      <c r="O57" s="207"/>
      <c r="P57" s="207"/>
      <c r="Q57" s="161"/>
      <c r="R57" s="161"/>
    </row>
    <row r="58" spans="1:25">
      <c r="E58" s="207"/>
      <c r="F58" s="207"/>
      <c r="L58" s="207"/>
    </row>
    <row r="59" spans="1:25">
      <c r="E59" s="207"/>
      <c r="F59" s="207"/>
      <c r="L59" s="207"/>
    </row>
    <row r="60" spans="1:25">
      <c r="E60" s="207"/>
      <c r="F60" s="207"/>
      <c r="L60" s="207"/>
    </row>
    <row r="61" spans="1:25">
      <c r="E61" s="207"/>
      <c r="F61" s="207"/>
      <c r="L61" s="207"/>
      <c r="M61" s="207"/>
      <c r="N61" s="207"/>
      <c r="O61" s="207"/>
      <c r="P61" s="207"/>
    </row>
    <row r="62" spans="1:25">
      <c r="E62" s="207"/>
      <c r="F62" s="207"/>
      <c r="L62" s="207"/>
      <c r="M62" s="207"/>
      <c r="N62" s="207"/>
      <c r="O62" s="207"/>
      <c r="P62" s="207"/>
    </row>
    <row r="63" spans="1:25">
      <c r="E63" s="207"/>
      <c r="F63" s="207"/>
      <c r="L63" s="207"/>
      <c r="M63" s="207"/>
      <c r="N63" s="207"/>
      <c r="O63" s="207"/>
      <c r="P63" s="207"/>
    </row>
    <row r="64" spans="1:25">
      <c r="E64" s="207"/>
      <c r="F64" s="207"/>
      <c r="L64" s="207"/>
      <c r="M64" s="207"/>
      <c r="N64" s="207"/>
      <c r="O64" s="207"/>
      <c r="P64" s="207"/>
    </row>
  </sheetData>
  <autoFilter ref="A1:AO56">
    <filterColumn colId="2"/>
    <filterColumn colId="3"/>
    <filterColumn colId="6"/>
    <filterColumn colId="7"/>
    <filterColumn colId="8"/>
    <filterColumn colId="9"/>
    <filterColumn colId="10"/>
    <filterColumn colId="17"/>
  </autoFilter>
  <mergeCells count="35">
    <mergeCell ref="F1:F2"/>
    <mergeCell ref="D1:D2"/>
    <mergeCell ref="A25:F25"/>
    <mergeCell ref="A1:A2"/>
    <mergeCell ref="P1:P2"/>
    <mergeCell ref="O1:O2"/>
    <mergeCell ref="N1:N2"/>
    <mergeCell ref="M1:M2"/>
    <mergeCell ref="L1:L2"/>
    <mergeCell ref="E1:E2"/>
    <mergeCell ref="B1:B2"/>
    <mergeCell ref="C1:C2"/>
    <mergeCell ref="G2:K2"/>
    <mergeCell ref="AO1:AO2"/>
    <mergeCell ref="T1:T2"/>
    <mergeCell ref="Q1:Q2"/>
    <mergeCell ref="S1:S2"/>
    <mergeCell ref="R1:R2"/>
    <mergeCell ref="AP4:AP16"/>
    <mergeCell ref="AR4:AR16"/>
    <mergeCell ref="AP18:AP20"/>
    <mergeCell ref="AR18:AR20"/>
    <mergeCell ref="AP22:AP24"/>
    <mergeCell ref="AR22:AR24"/>
    <mergeCell ref="DT46:DT47"/>
    <mergeCell ref="DR46:DR47"/>
    <mergeCell ref="Q56:S56"/>
    <mergeCell ref="AP26:AP27"/>
    <mergeCell ref="AR26:AR27"/>
    <mergeCell ref="AP29:AP33"/>
    <mergeCell ref="AR29:AR33"/>
    <mergeCell ref="AP35:AP42"/>
    <mergeCell ref="AR35:AR42"/>
    <mergeCell ref="Q55:S55"/>
    <mergeCell ref="Q54:S54"/>
  </mergeCells>
  <phoneticPr fontId="3" type="noConversion"/>
  <dataValidations count="46">
    <dataValidation type="list" allowBlank="1" showInputMessage="1" showErrorMessage="1" sqref="BY44 BE44 CD44 BJ44 AP44 L44 BO44 AK44 BT44 CI44 DM44 DH44 DC44 CS44 CX44 CN44 AZ44 AF44 AU22:AU24 AK29:AK33 AK35:AK40 AK26:AK27 AK22:AK24 AK18:AK20 AA29:AA32 AK60:AK1048576 V66:V1048576 AK54:AK57 V54:V63 AF54:AF1048576 AA54:AA1048576 AA44 L35:L40 L26:L27 L29:L33 V29:V33 V22:V24 L22:L24 AA23:AA24 V19:V20 AF18:AF20 V26:V27 L18:L20 AA26:AA27 AA18:AA20 V44 AA4:AA16 V4:V16 L4:L16 AF8:AF12 BJ46:BJ47 CN46:CN47 DM46:DM47 DH46:DH47 DC46:DC47 CX46:CX47 CI46:CI47 CS46:CS47 BT46:BT47 CD46:CD47 AF46:AF47 BY46:BY47 BE46:BE47 AZ46:AZ47 AU46:AU47 V46:V47 AP46:AP47 BO46:BO47 AA46:AA47 AK46:AK47 AA35:AA42 AF35:AF42 V35:V42 AK7:AK16">
      <formula1>"AI,AO,AIO,SI,DI,DO,OD,OZ,B,BOD"</formula1>
    </dataValidation>
    <dataValidation showDropDown="1" showInputMessage="1" showErrorMessage="1" sqref="AG44 CT44 CO44 AB44 AB54:AB1048576 W54:W63 W66:W1048576 AB29:AB32 AG35:AG40 AG8:AG12 W29:W33 AB22:AB24 W22:W24 W18:W20 AB18:AB20 W4:W12 AB8:AB9 AB11:AB12 W44 CJ46:CJ47 W46:W47 AB46:AB47 AB35:AB42 W35:W42"/>
    <dataValidation type="list" allowBlank="1" showInputMessage="1" showErrorMessage="1" sqref="E46:E47 E4:E16 E29:E33 E26:E27 E18:E20 E22:E24 E59:E1048576 E35:E42 E44">
      <formula1>"MUX_NA,MUX_D,MUX_C"</formula1>
    </dataValidation>
    <dataValidation type="list" allowBlank="1" showInputMessage="1" showErrorMessage="1" sqref="P61:P1048576 Q25">
      <formula1>"0mA,2mA,3mA,4mA,6mA,8mA,9mA,10mA,12mA,15mA,18mA"</formula1>
    </dataValidation>
    <dataValidation type="list" allowBlank="1" showInputMessage="1" showErrorMessage="1" sqref="S46:S47 S22:S24 S26:S27 S18:S20 R25:S25 S4:S16 S29:S33 S35:S42 S44">
      <formula1>"pull-up,pull-down,pull-up control,pull-down control,pull-up/down control,NA"</formula1>
    </dataValidation>
    <dataValidation type="list" allowBlank="1" showInputMessage="1" showErrorMessage="1" sqref="O26:O27 O18:O20 O22:O24 O4:O16 O41:O42 O44">
      <formula1>"Analog,Analog Power,Analog gnd,Digital power,Digital gnd,LVCMOS,LVTTL,SSTL2,USB2,LVDS,CML,ECL"</formula1>
    </dataValidation>
    <dataValidation type="list" allowBlank="1" showInputMessage="1" showErrorMessage="1" sqref="AH44 CU44 AH10:AH11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O46:O47">
      <formula1>"SSTL,Analog,Analog Power,Analog gnd,Digital power,Digital gnd,LVCMOS,LVTTL,SSTL2,USB2,LVDS,CML,ECL"</formula1>
    </dataValidation>
    <dataValidation type="list" allowBlank="1" showInputMessage="1" showErrorMessage="1" sqref="L25 B44:D44 B35:D42 B4:D16 B22:D24 B18:D20 B26:D27 B29:D33 B55:D55 B46:D47 B58:D1048576">
      <formula1>"Y,N"</formula1>
    </dataValidation>
    <dataValidation type="list" allowBlank="1" showInputMessage="1" showErrorMessage="1" sqref="Q3:Q24 Q61:Q1048576 Q46:Q47 R45 Q26:Q44">
      <formula1>"PU,PD,IX,OZ,OH,OL,NA"</formula1>
    </dataValidation>
    <dataValidation type="list" allowBlank="1" showInputMessage="1" showErrorMessage="1" sqref="AA22 V18">
      <formula1>"AI,AO,AIO,SI,DI,DO,OD,OT,B,BOD"</formula1>
    </dataValidation>
    <dataValidation type="list" allowBlank="1" showInputMessage="1" showErrorMessage="1" sqref="W25 AI25 AA25 AG16 AN4:AN5 Z4 AG4:AH4 AC4:AD5 AI13:AI15 AE14:AE15 AG5:AG7 AH5 AC7">
      <formula1>"output,input,Bi,output-3state"</formula1>
    </dataValidation>
    <dataValidation type="list" allowBlank="1" showInputMessage="1" showErrorMessage="1" sqref="T25">
      <formula1>"H,L,Z,?"</formula1>
    </dataValidation>
    <dataValidation type="list" allowBlank="1" showInputMessage="1" showErrorMessage="1" sqref="P4:P16 P18:P20 P22:P24 P26:P27 P29:P33 P35:P42 P44 P46:P47">
      <formula1>"0mA,4mA,8mA,12mA,16mA"</formula1>
    </dataValidation>
    <dataValidation type="list" allowBlank="1" showInputMessage="1" showErrorMessage="1" sqref="G40">
      <formula1>_40</formula1>
    </dataValidation>
    <dataValidation type="list" allowBlank="1" showInputMessage="1" showErrorMessage="1" sqref="G39">
      <formula1>_39</formula1>
    </dataValidation>
    <dataValidation type="list" allowBlank="1" showInputMessage="1" showErrorMessage="1" sqref="G38">
      <formula1>_38</formula1>
    </dataValidation>
    <dataValidation type="list" allowBlank="1" showInputMessage="1" showErrorMessage="1" sqref="G37">
      <formula1>_37</formula1>
    </dataValidation>
    <dataValidation type="list" allowBlank="1" showInputMessage="1" showErrorMessage="1" sqref="G36">
      <formula1>_36</formula1>
    </dataValidation>
    <dataValidation type="list" allowBlank="1" showInputMessage="1" showErrorMessage="1" sqref="G35">
      <formula1>_35</formula1>
    </dataValidation>
    <dataValidation type="list" allowBlank="1" showInputMessage="1" showErrorMessage="1" sqref="G33">
      <formula1>_33</formula1>
    </dataValidation>
    <dataValidation type="list" allowBlank="1" showInputMessage="1" showErrorMessage="1" sqref="G32">
      <formula1>_32</formula1>
    </dataValidation>
    <dataValidation type="list" allowBlank="1" showInputMessage="1" showErrorMessage="1" sqref="G31">
      <formula1>_31</formula1>
    </dataValidation>
    <dataValidation type="list" allowBlank="1" showInputMessage="1" showErrorMessage="1" sqref="G30">
      <formula1>_30</formula1>
    </dataValidation>
    <dataValidation type="list" allowBlank="1" showInputMessage="1" showErrorMessage="1" sqref="G29">
      <formula1>_29</formula1>
    </dataValidation>
    <dataValidation type="list" allowBlank="1" showInputMessage="1" showErrorMessage="1" sqref="G27">
      <formula1>_27</formula1>
    </dataValidation>
    <dataValidation type="list" allowBlank="1" showInputMessage="1" showErrorMessage="1" sqref="G26">
      <formula1>_26</formula1>
    </dataValidation>
    <dataValidation type="list" allowBlank="1" showInputMessage="1" showErrorMessage="1" sqref="G24">
      <formula1>_24</formula1>
    </dataValidation>
    <dataValidation type="list" allowBlank="1" showInputMessage="1" showErrorMessage="1" sqref="G23">
      <formula1>_23</formula1>
    </dataValidation>
    <dataValidation type="list" allowBlank="1" showInputMessage="1" showErrorMessage="1" sqref="G22">
      <formula1>_22</formula1>
    </dataValidation>
    <dataValidation type="list" allowBlank="1" showInputMessage="1" showErrorMessage="1" sqref="G20">
      <formula1>_20</formula1>
    </dataValidation>
    <dataValidation type="list" allowBlank="1" showInputMessage="1" showErrorMessage="1" sqref="G19">
      <formula1>_19</formula1>
    </dataValidation>
    <dataValidation type="list" allowBlank="1" showInputMessage="1" showErrorMessage="1" sqref="G18">
      <formula1>_18</formula1>
    </dataValidation>
    <dataValidation type="list" allowBlank="1" showInputMessage="1" showErrorMessage="1" sqref="G16">
      <formula1>_16</formula1>
    </dataValidation>
    <dataValidation type="list" allowBlank="1" showInputMessage="1" showErrorMessage="1" sqref="G15">
      <formula1>_15</formula1>
    </dataValidation>
    <dataValidation type="list" allowBlank="1" showInputMessage="1" showErrorMessage="1" sqref="G14">
      <formula1>_14</formula1>
    </dataValidation>
    <dataValidation type="list" allowBlank="1" showInputMessage="1" showErrorMessage="1" sqref="G13">
      <formula1>_13</formula1>
    </dataValidation>
    <dataValidation type="list" allowBlank="1" showInputMessage="1" showErrorMessage="1" sqref="G12">
      <formula1>_12</formula1>
    </dataValidation>
    <dataValidation type="list" allowBlank="1" showInputMessage="1" showErrorMessage="1" sqref="G11">
      <formula1>_11</formula1>
    </dataValidation>
    <dataValidation type="list" allowBlank="1" showInputMessage="1" showErrorMessage="1" sqref="G10">
      <formula1>_10</formula1>
    </dataValidation>
    <dataValidation type="list" allowBlank="1" showInputMessage="1" showErrorMessage="1" sqref="I4:I16 I18:I20 I22:I24 I26:I27 I29:I33 I35:I40">
      <formula1>"default,0mA,4mA,8mA,12mA,16mA"</formula1>
    </dataValidation>
    <dataValidation type="list" allowBlank="1" showInputMessage="1" showErrorMessage="1" sqref="G9">
      <formula1>_9</formula1>
    </dataValidation>
    <dataValidation type="list" allowBlank="1" showInputMessage="1" showErrorMessage="1" sqref="G8">
      <formula1>_8</formula1>
    </dataValidation>
    <dataValidation type="list" allowBlank="1" showInputMessage="1" showErrorMessage="1" sqref="G7">
      <formula1>_7</formula1>
    </dataValidation>
    <dataValidation type="list" allowBlank="1" showInputMessage="1" showErrorMessage="1" sqref="J44:K44 J18:K20 J22:K24 J26:K27 J29:K33 J4:K16 J35:K40">
      <formula1>"Yes,No"</formula1>
    </dataValidation>
    <dataValidation type="list" allowBlank="1" showInputMessage="1" showErrorMessage="1" sqref="H6:H16 H18:H20 H22:H24 H26:H27 H29:H33 H35:H40">
      <formula1>"default,pull-up,pull-down,no-pull"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90"/>
  <sheetViews>
    <sheetView workbookViewId="0">
      <selection sqref="A1:XFD1048576"/>
    </sheetView>
  </sheetViews>
  <sheetFormatPr defaultRowHeight="14.25"/>
  <cols>
    <col min="1" max="1" width="18.375" style="239" customWidth="1"/>
    <col min="2" max="2" width="11.5" style="239" customWidth="1"/>
    <col min="3" max="3" width="24.75" style="239" customWidth="1"/>
    <col min="4" max="4" width="15.625" style="239" customWidth="1"/>
    <col min="5" max="5" width="29.75" style="239" customWidth="1"/>
    <col min="6" max="6" width="21.25" style="239" hidden="1" customWidth="1"/>
    <col min="7" max="7" width="22.5" style="239" customWidth="1"/>
    <col min="8" max="16384" width="9" style="239"/>
  </cols>
  <sheetData>
    <row r="1" spans="1:9" ht="15.75">
      <c r="A1" s="255" t="s">
        <v>944</v>
      </c>
      <c r="B1" s="255" t="s">
        <v>945</v>
      </c>
      <c r="C1" s="255" t="s">
        <v>946</v>
      </c>
      <c r="D1" s="255" t="s">
        <v>947</v>
      </c>
      <c r="E1" s="255" t="s">
        <v>948</v>
      </c>
      <c r="F1" s="255" t="s">
        <v>949</v>
      </c>
      <c r="G1" s="255" t="s">
        <v>950</v>
      </c>
      <c r="H1" s="238"/>
      <c r="I1" s="239" t="s">
        <v>951</v>
      </c>
    </row>
    <row r="2" spans="1:9" ht="15">
      <c r="A2" s="256" t="s">
        <v>952</v>
      </c>
      <c r="B2" s="256">
        <v>0.9</v>
      </c>
      <c r="C2" s="256" t="s">
        <v>953</v>
      </c>
      <c r="D2" s="256"/>
      <c r="E2" s="256" t="s">
        <v>953</v>
      </c>
      <c r="F2" s="256"/>
      <c r="G2" s="256"/>
    </row>
    <row r="3" spans="1:9" ht="15">
      <c r="A3" s="256" t="s">
        <v>954</v>
      </c>
      <c r="B3" s="256">
        <v>0.9</v>
      </c>
      <c r="C3" s="256" t="s">
        <v>955</v>
      </c>
      <c r="D3" s="256"/>
      <c r="E3" s="256" t="s">
        <v>955</v>
      </c>
      <c r="F3" s="256"/>
      <c r="G3" s="256"/>
    </row>
    <row r="4" spans="1:9" ht="15">
      <c r="A4" s="256" t="s">
        <v>956</v>
      </c>
      <c r="B4" s="256">
        <v>0</v>
      </c>
      <c r="C4" s="256" t="s">
        <v>957</v>
      </c>
      <c r="D4" s="256"/>
      <c r="E4" s="256" t="s">
        <v>957</v>
      </c>
      <c r="F4" s="256"/>
      <c r="G4" s="256"/>
    </row>
    <row r="5" spans="1:9" ht="15">
      <c r="A5" s="344" t="s">
        <v>958</v>
      </c>
      <c r="B5" s="257">
        <v>1.8</v>
      </c>
      <c r="C5" s="257" t="s">
        <v>959</v>
      </c>
      <c r="D5" s="257"/>
      <c r="E5" s="257" t="s">
        <v>960</v>
      </c>
      <c r="F5" s="256"/>
      <c r="G5" s="346"/>
    </row>
    <row r="6" spans="1:9" ht="15">
      <c r="A6" s="348"/>
      <c r="B6" s="257">
        <v>1.8</v>
      </c>
      <c r="C6" s="257" t="s">
        <v>1063</v>
      </c>
      <c r="D6" s="257"/>
      <c r="E6" s="257" t="s">
        <v>966</v>
      </c>
      <c r="F6" s="256"/>
      <c r="G6" s="349"/>
    </row>
    <row r="7" spans="1:9" ht="15">
      <c r="A7" s="348"/>
      <c r="B7" s="257">
        <v>1.8</v>
      </c>
      <c r="C7" s="257" t="s">
        <v>724</v>
      </c>
      <c r="D7" s="257"/>
      <c r="E7" s="257" t="s">
        <v>960</v>
      </c>
      <c r="F7" s="256"/>
      <c r="G7" s="349"/>
    </row>
    <row r="8" spans="1:9" ht="15">
      <c r="A8" s="348"/>
      <c r="B8" s="257">
        <v>1.8</v>
      </c>
      <c r="C8" s="257" t="s">
        <v>725</v>
      </c>
      <c r="D8" s="257"/>
      <c r="E8" s="257" t="s">
        <v>960</v>
      </c>
      <c r="F8" s="256"/>
      <c r="G8" s="349"/>
    </row>
    <row r="9" spans="1:9" ht="15">
      <c r="A9" s="348"/>
      <c r="B9" s="257">
        <v>1.8</v>
      </c>
      <c r="C9" s="257" t="s">
        <v>726</v>
      </c>
      <c r="D9" s="257"/>
      <c r="E9" s="257" t="s">
        <v>960</v>
      </c>
      <c r="F9" s="256"/>
      <c r="G9" s="349"/>
    </row>
    <row r="10" spans="1:9" ht="15">
      <c r="A10" s="348"/>
      <c r="B10" s="257">
        <v>1.8</v>
      </c>
      <c r="C10" s="257" t="s">
        <v>1064</v>
      </c>
      <c r="D10" s="257"/>
      <c r="E10" s="257" t="s">
        <v>960</v>
      </c>
      <c r="F10" s="256"/>
      <c r="G10" s="349"/>
    </row>
    <row r="11" spans="1:9" ht="15">
      <c r="A11" s="345"/>
      <c r="B11" s="257">
        <v>1.8</v>
      </c>
      <c r="C11" s="257" t="s">
        <v>961</v>
      </c>
      <c r="D11" s="257"/>
      <c r="E11" s="257" t="s">
        <v>960</v>
      </c>
      <c r="F11" s="256"/>
      <c r="G11" s="347"/>
    </row>
    <row r="12" spans="1:9" ht="15">
      <c r="A12" s="348" t="s">
        <v>962</v>
      </c>
      <c r="B12" s="256" t="s">
        <v>963</v>
      </c>
      <c r="C12" s="256" t="s">
        <v>964</v>
      </c>
      <c r="D12" s="256"/>
      <c r="E12" s="256" t="s">
        <v>964</v>
      </c>
      <c r="F12" s="256"/>
      <c r="G12" s="350" t="s">
        <v>965</v>
      </c>
    </row>
    <row r="13" spans="1:9" ht="15">
      <c r="A13" s="348"/>
      <c r="B13" s="256">
        <v>1.8</v>
      </c>
      <c r="C13" s="256" t="s">
        <v>966</v>
      </c>
      <c r="D13" s="256"/>
      <c r="E13" s="256" t="s">
        <v>966</v>
      </c>
      <c r="F13" s="256"/>
      <c r="G13" s="351"/>
    </row>
    <row r="14" spans="1:9" ht="15">
      <c r="A14" s="345"/>
      <c r="B14" s="256" t="s">
        <v>967</v>
      </c>
      <c r="C14" s="256" t="s">
        <v>968</v>
      </c>
      <c r="D14" s="256"/>
      <c r="E14" s="256" t="s">
        <v>968</v>
      </c>
      <c r="F14" s="256"/>
      <c r="G14" s="352"/>
    </row>
    <row r="15" spans="1:9" ht="15">
      <c r="A15" s="344" t="s">
        <v>969</v>
      </c>
      <c r="B15" s="257">
        <v>1.2</v>
      </c>
      <c r="C15" s="257" t="s">
        <v>970</v>
      </c>
      <c r="D15" s="257"/>
      <c r="E15" s="257" t="s">
        <v>970</v>
      </c>
      <c r="F15" s="256"/>
      <c r="G15" s="346" t="s">
        <v>971</v>
      </c>
    </row>
    <row r="16" spans="1:9" ht="15">
      <c r="A16" s="348"/>
      <c r="B16" s="257">
        <v>0</v>
      </c>
      <c r="C16" s="257" t="s">
        <v>972</v>
      </c>
      <c r="D16" s="257"/>
      <c r="E16" s="257" t="s">
        <v>957</v>
      </c>
      <c r="F16" s="256"/>
      <c r="G16" s="349"/>
    </row>
    <row r="17" spans="1:7" ht="15">
      <c r="A17" s="348"/>
      <c r="B17" s="257">
        <v>1.2</v>
      </c>
      <c r="C17" s="257" t="s">
        <v>973</v>
      </c>
      <c r="D17" s="257"/>
      <c r="E17" s="257" t="s">
        <v>973</v>
      </c>
      <c r="F17" s="256"/>
      <c r="G17" s="349"/>
    </row>
    <row r="18" spans="1:7" ht="15">
      <c r="A18" s="348"/>
      <c r="B18" s="257">
        <v>0</v>
      </c>
      <c r="C18" s="257" t="s">
        <v>974</v>
      </c>
      <c r="D18" s="257"/>
      <c r="E18" s="257" t="s">
        <v>957</v>
      </c>
      <c r="F18" s="256"/>
      <c r="G18" s="349"/>
    </row>
    <row r="19" spans="1:7" ht="15">
      <c r="A19" s="348"/>
      <c r="B19" s="257">
        <v>1.8</v>
      </c>
      <c r="C19" s="257" t="s">
        <v>975</v>
      </c>
      <c r="D19" s="257"/>
      <c r="E19" s="257" t="s">
        <v>975</v>
      </c>
      <c r="F19" s="256"/>
      <c r="G19" s="349"/>
    </row>
    <row r="20" spans="1:7" ht="15">
      <c r="A20" s="348"/>
      <c r="B20" s="257">
        <v>1.8</v>
      </c>
      <c r="C20" s="257" t="s">
        <v>976</v>
      </c>
      <c r="D20" s="257"/>
      <c r="E20" s="257" t="s">
        <v>977</v>
      </c>
      <c r="F20" s="256"/>
      <c r="G20" s="349"/>
    </row>
    <row r="21" spans="1:7" ht="15">
      <c r="A21" s="348"/>
      <c r="B21" s="257">
        <v>0.6</v>
      </c>
      <c r="C21" s="257" t="s">
        <v>978</v>
      </c>
      <c r="D21" s="257"/>
      <c r="E21" s="257" t="s">
        <v>978</v>
      </c>
      <c r="F21" s="256"/>
      <c r="G21" s="349"/>
    </row>
    <row r="22" spans="1:7" ht="15">
      <c r="A22" s="348"/>
      <c r="B22" s="257">
        <v>0.6</v>
      </c>
      <c r="C22" s="257" t="s">
        <v>979</v>
      </c>
      <c r="D22" s="257"/>
      <c r="E22" s="257" t="s">
        <v>978</v>
      </c>
      <c r="F22" s="256"/>
      <c r="G22" s="349"/>
    </row>
    <row r="23" spans="1:7" ht="15">
      <c r="A23" s="348"/>
      <c r="B23" s="257">
        <v>0.6</v>
      </c>
      <c r="C23" s="257" t="s">
        <v>980</v>
      </c>
      <c r="D23" s="257"/>
      <c r="E23" s="257" t="s">
        <v>981</v>
      </c>
      <c r="F23" s="256"/>
      <c r="G23" s="349"/>
    </row>
    <row r="24" spans="1:7" ht="15">
      <c r="A24" s="344" t="s">
        <v>982</v>
      </c>
      <c r="B24" s="257">
        <v>1.8</v>
      </c>
      <c r="C24" s="258" t="s">
        <v>983</v>
      </c>
      <c r="D24" s="257"/>
      <c r="E24" s="259" t="s">
        <v>984</v>
      </c>
      <c r="F24" s="256"/>
      <c r="G24" s="346" t="s">
        <v>965</v>
      </c>
    </row>
    <row r="25" spans="1:7" ht="15">
      <c r="A25" s="353"/>
      <c r="B25" s="257">
        <v>0</v>
      </c>
      <c r="C25" s="258" t="s">
        <v>985</v>
      </c>
      <c r="D25" s="257"/>
      <c r="E25" s="259" t="s">
        <v>957</v>
      </c>
      <c r="F25" s="256"/>
      <c r="G25" s="355"/>
    </row>
    <row r="26" spans="1:7" ht="15">
      <c r="A26" s="353"/>
      <c r="B26" s="257">
        <v>0</v>
      </c>
      <c r="C26" s="258" t="s">
        <v>986</v>
      </c>
      <c r="D26" s="257"/>
      <c r="E26" s="259" t="s">
        <v>987</v>
      </c>
      <c r="F26" s="256"/>
      <c r="G26" s="355"/>
    </row>
    <row r="27" spans="1:7" ht="15">
      <c r="A27" s="353"/>
      <c r="B27" s="257">
        <v>0</v>
      </c>
      <c r="C27" s="258" t="s">
        <v>988</v>
      </c>
      <c r="D27" s="257"/>
      <c r="E27" s="259" t="s">
        <v>987</v>
      </c>
      <c r="F27" s="256"/>
      <c r="G27" s="355"/>
    </row>
    <row r="28" spans="1:7" ht="15">
      <c r="A28" s="353"/>
      <c r="B28" s="257">
        <v>0</v>
      </c>
      <c r="C28" s="258" t="s">
        <v>989</v>
      </c>
      <c r="D28" s="257"/>
      <c r="E28" s="259" t="s">
        <v>987</v>
      </c>
      <c r="F28" s="256"/>
      <c r="G28" s="355"/>
    </row>
    <row r="29" spans="1:7" ht="15">
      <c r="A29" s="353"/>
      <c r="B29" s="257">
        <v>0</v>
      </c>
      <c r="C29" s="258" t="s">
        <v>990</v>
      </c>
      <c r="D29" s="257"/>
      <c r="E29" s="259" t="s">
        <v>987</v>
      </c>
      <c r="F29" s="256"/>
      <c r="G29" s="355"/>
    </row>
    <row r="30" spans="1:7" ht="15">
      <c r="A30" s="353"/>
      <c r="B30" s="257">
        <v>0</v>
      </c>
      <c r="C30" s="258" t="s">
        <v>991</v>
      </c>
      <c r="D30" s="257"/>
      <c r="E30" s="259" t="s">
        <v>987</v>
      </c>
      <c r="F30" s="256"/>
      <c r="G30" s="355"/>
    </row>
    <row r="31" spans="1:7" ht="15">
      <c r="A31" s="353"/>
      <c r="B31" s="257">
        <v>0</v>
      </c>
      <c r="C31" s="258" t="s">
        <v>992</v>
      </c>
      <c r="D31" s="257"/>
      <c r="E31" s="259" t="s">
        <v>987</v>
      </c>
      <c r="F31" s="256"/>
      <c r="G31" s="355"/>
    </row>
    <row r="32" spans="1:7" ht="15">
      <c r="A32" s="353"/>
      <c r="B32" s="257">
        <v>0.9</v>
      </c>
      <c r="C32" s="258" t="s">
        <v>993</v>
      </c>
      <c r="D32" s="257"/>
      <c r="E32" s="259" t="s">
        <v>994</v>
      </c>
      <c r="F32" s="256"/>
      <c r="G32" s="355"/>
    </row>
    <row r="33" spans="1:7" ht="15">
      <c r="A33" s="353"/>
      <c r="B33" s="257">
        <v>1.3</v>
      </c>
      <c r="C33" s="258" t="s">
        <v>995</v>
      </c>
      <c r="D33" s="257"/>
      <c r="E33" s="259" t="s">
        <v>996</v>
      </c>
      <c r="F33" s="256"/>
      <c r="G33" s="355"/>
    </row>
    <row r="34" spans="1:7" ht="15">
      <c r="A34" s="353"/>
      <c r="B34" s="257">
        <v>1.8</v>
      </c>
      <c r="C34" s="258" t="s">
        <v>997</v>
      </c>
      <c r="D34" s="257"/>
      <c r="E34" s="259" t="s">
        <v>984</v>
      </c>
      <c r="F34" s="256"/>
      <c r="G34" s="355"/>
    </row>
    <row r="35" spans="1:7" ht="15">
      <c r="A35" s="353"/>
      <c r="B35" s="257">
        <v>1.8</v>
      </c>
      <c r="C35" s="258" t="s">
        <v>998</v>
      </c>
      <c r="D35" s="257"/>
      <c r="E35" s="259" t="s">
        <v>984</v>
      </c>
      <c r="F35" s="256"/>
      <c r="G35" s="355"/>
    </row>
    <row r="36" spans="1:7" ht="15">
      <c r="A36" s="353"/>
      <c r="B36" s="257">
        <v>1.8</v>
      </c>
      <c r="C36" s="258" t="s">
        <v>999</v>
      </c>
      <c r="D36" s="257"/>
      <c r="E36" s="259" t="s">
        <v>984</v>
      </c>
      <c r="F36" s="256"/>
      <c r="G36" s="355"/>
    </row>
    <row r="37" spans="1:7" ht="15">
      <c r="A37" s="353"/>
      <c r="B37" s="257">
        <v>1.8</v>
      </c>
      <c r="C37" s="258" t="s">
        <v>1000</v>
      </c>
      <c r="D37" s="257"/>
      <c r="E37" s="259" t="s">
        <v>984</v>
      </c>
      <c r="F37" s="256"/>
      <c r="G37" s="355"/>
    </row>
    <row r="38" spans="1:7" ht="15">
      <c r="A38" s="353"/>
      <c r="B38" s="257">
        <v>0</v>
      </c>
      <c r="C38" s="258" t="s">
        <v>1001</v>
      </c>
      <c r="D38" s="257"/>
      <c r="E38" s="259" t="s">
        <v>987</v>
      </c>
      <c r="F38" s="256"/>
      <c r="G38" s="355"/>
    </row>
    <row r="39" spans="1:7" ht="15">
      <c r="A39" s="353"/>
      <c r="B39" s="257">
        <v>0</v>
      </c>
      <c r="C39" s="258" t="s">
        <v>1002</v>
      </c>
      <c r="D39" s="257"/>
      <c r="E39" s="259" t="s">
        <v>987</v>
      </c>
      <c r="F39" s="256"/>
      <c r="G39" s="355"/>
    </row>
    <row r="40" spans="1:7" ht="15">
      <c r="A40" s="353"/>
      <c r="B40" s="257">
        <v>0.9</v>
      </c>
      <c r="C40" s="258" t="s">
        <v>1003</v>
      </c>
      <c r="D40" s="257"/>
      <c r="E40" s="259" t="s">
        <v>994</v>
      </c>
      <c r="F40" s="256"/>
      <c r="G40" s="355"/>
    </row>
    <row r="41" spans="1:7" ht="15">
      <c r="A41" s="353"/>
      <c r="B41" s="257">
        <v>0.9</v>
      </c>
      <c r="C41" s="258" t="s">
        <v>1004</v>
      </c>
      <c r="D41" s="257"/>
      <c r="E41" s="259" t="s">
        <v>994</v>
      </c>
      <c r="F41" s="256"/>
      <c r="G41" s="355"/>
    </row>
    <row r="42" spans="1:7" ht="15">
      <c r="A42" s="353"/>
      <c r="B42" s="257">
        <v>0</v>
      </c>
      <c r="C42" s="258" t="s">
        <v>1005</v>
      </c>
      <c r="D42" s="257"/>
      <c r="E42" s="259" t="s">
        <v>987</v>
      </c>
      <c r="F42" s="256"/>
      <c r="G42" s="355"/>
    </row>
    <row r="43" spans="1:7" ht="15">
      <c r="A43" s="353"/>
      <c r="B43" s="257">
        <v>0</v>
      </c>
      <c r="C43" s="258" t="s">
        <v>1006</v>
      </c>
      <c r="D43" s="257"/>
      <c r="E43" s="259" t="s">
        <v>987</v>
      </c>
      <c r="F43" s="256"/>
      <c r="G43" s="355"/>
    </row>
    <row r="44" spans="1:7" ht="15">
      <c r="A44" s="353"/>
      <c r="B44" s="257">
        <v>0</v>
      </c>
      <c r="C44" s="258" t="s">
        <v>1007</v>
      </c>
      <c r="D44" s="257"/>
      <c r="E44" s="259" t="s">
        <v>987</v>
      </c>
      <c r="F44" s="256"/>
      <c r="G44" s="355"/>
    </row>
    <row r="45" spans="1:7" ht="15">
      <c r="A45" s="353"/>
      <c r="B45" s="257">
        <v>0</v>
      </c>
      <c r="C45" s="258" t="s">
        <v>1008</v>
      </c>
      <c r="D45" s="257"/>
      <c r="E45" s="259" t="s">
        <v>987</v>
      </c>
      <c r="F45" s="256"/>
      <c r="G45" s="355"/>
    </row>
    <row r="46" spans="1:7" ht="15">
      <c r="A46" s="353"/>
      <c r="B46" s="257">
        <v>0</v>
      </c>
      <c r="C46" s="258" t="s">
        <v>1009</v>
      </c>
      <c r="D46" s="257"/>
      <c r="E46" s="259" t="s">
        <v>987</v>
      </c>
      <c r="F46" s="256"/>
      <c r="G46" s="355"/>
    </row>
    <row r="47" spans="1:7" ht="15">
      <c r="A47" s="353"/>
      <c r="B47" s="257">
        <v>0</v>
      </c>
      <c r="C47" s="258" t="s">
        <v>1010</v>
      </c>
      <c r="D47" s="257"/>
      <c r="E47" s="259" t="s">
        <v>987</v>
      </c>
      <c r="F47" s="256"/>
      <c r="G47" s="355"/>
    </row>
    <row r="48" spans="1:7" ht="15">
      <c r="A48" s="353"/>
      <c r="B48" s="257">
        <v>0.9</v>
      </c>
      <c r="C48" s="258" t="s">
        <v>1011</v>
      </c>
      <c r="D48" s="257"/>
      <c r="E48" s="259" t="s">
        <v>1012</v>
      </c>
      <c r="F48" s="256"/>
      <c r="G48" s="355"/>
    </row>
    <row r="49" spans="1:10" ht="15">
      <c r="A49" s="353"/>
      <c r="B49" s="257">
        <v>1.3</v>
      </c>
      <c r="C49" s="258" t="s">
        <v>1013</v>
      </c>
      <c r="D49" s="257"/>
      <c r="E49" s="259" t="s">
        <v>996</v>
      </c>
      <c r="F49" s="256"/>
      <c r="G49" s="355"/>
    </row>
    <row r="50" spans="1:10" ht="15">
      <c r="A50" s="353"/>
      <c r="B50" s="257">
        <v>1.8</v>
      </c>
      <c r="C50" s="258" t="s">
        <v>1014</v>
      </c>
      <c r="D50" s="257"/>
      <c r="E50" s="259" t="s">
        <v>984</v>
      </c>
      <c r="F50" s="256"/>
      <c r="G50" s="355"/>
    </row>
    <row r="51" spans="1:10" ht="15">
      <c r="A51" s="353"/>
      <c r="B51" s="257">
        <v>1.8</v>
      </c>
      <c r="C51" s="258" t="s">
        <v>1015</v>
      </c>
      <c r="D51" s="257"/>
      <c r="E51" s="259" t="s">
        <v>984</v>
      </c>
      <c r="F51" s="256"/>
      <c r="G51" s="355"/>
    </row>
    <row r="52" spans="1:10" ht="15">
      <c r="A52" s="353"/>
      <c r="B52" s="257">
        <v>1.8</v>
      </c>
      <c r="C52" s="258" t="s">
        <v>1016</v>
      </c>
      <c r="D52" s="257"/>
      <c r="E52" s="259" t="s">
        <v>984</v>
      </c>
      <c r="F52" s="256"/>
      <c r="G52" s="355"/>
    </row>
    <row r="53" spans="1:10" ht="15">
      <c r="A53" s="353"/>
      <c r="B53" s="257">
        <v>1.8</v>
      </c>
      <c r="C53" s="258" t="s">
        <v>1017</v>
      </c>
      <c r="D53" s="257"/>
      <c r="E53" s="259" t="s">
        <v>984</v>
      </c>
      <c r="F53" s="256"/>
      <c r="G53" s="355"/>
    </row>
    <row r="54" spans="1:10" ht="15">
      <c r="A54" s="353"/>
      <c r="B54" s="257">
        <v>0</v>
      </c>
      <c r="C54" s="258" t="s">
        <v>1018</v>
      </c>
      <c r="D54" s="257"/>
      <c r="E54" s="259" t="s">
        <v>987</v>
      </c>
      <c r="F54" s="256"/>
      <c r="G54" s="355"/>
    </row>
    <row r="55" spans="1:10" ht="15">
      <c r="A55" s="353"/>
      <c r="B55" s="257">
        <v>0</v>
      </c>
      <c r="C55" s="258" t="s">
        <v>1019</v>
      </c>
      <c r="D55" s="257"/>
      <c r="E55" s="259" t="s">
        <v>987</v>
      </c>
      <c r="F55" s="256"/>
      <c r="G55" s="355"/>
    </row>
    <row r="56" spans="1:10" ht="15">
      <c r="A56" s="353"/>
      <c r="B56" s="257">
        <v>0.9</v>
      </c>
      <c r="C56" s="258" t="s">
        <v>1020</v>
      </c>
      <c r="D56" s="257"/>
      <c r="E56" s="259" t="s">
        <v>1012</v>
      </c>
      <c r="F56" s="256"/>
      <c r="G56" s="355"/>
    </row>
    <row r="57" spans="1:10" ht="15">
      <c r="A57" s="354"/>
      <c r="B57" s="257">
        <v>0.9</v>
      </c>
      <c r="C57" s="258" t="s">
        <v>1021</v>
      </c>
      <c r="D57" s="257"/>
      <c r="E57" s="259" t="s">
        <v>1012</v>
      </c>
      <c r="F57" s="256"/>
      <c r="G57" s="356"/>
    </row>
    <row r="58" spans="1:10" ht="15">
      <c r="A58" s="344" t="s">
        <v>1022</v>
      </c>
      <c r="B58" s="256">
        <v>0.9</v>
      </c>
      <c r="C58" s="256" t="s">
        <v>1023</v>
      </c>
      <c r="D58" s="256"/>
      <c r="E58" s="256" t="s">
        <v>1023</v>
      </c>
      <c r="F58" s="256"/>
      <c r="G58" s="346" t="s">
        <v>1024</v>
      </c>
    </row>
    <row r="59" spans="1:10" ht="18">
      <c r="A59" s="348"/>
      <c r="B59" s="256">
        <v>0.9</v>
      </c>
      <c r="C59" s="260" t="s">
        <v>1025</v>
      </c>
      <c r="D59" s="256"/>
      <c r="E59" s="260" t="s">
        <v>1025</v>
      </c>
      <c r="F59" s="256"/>
      <c r="G59" s="349"/>
      <c r="I59" s="261"/>
      <c r="J59" s="262"/>
    </row>
    <row r="60" spans="1:10" ht="18">
      <c r="A60" s="348"/>
      <c r="B60" s="256">
        <v>0.9</v>
      </c>
      <c r="C60" s="260" t="s">
        <v>1026</v>
      </c>
      <c r="D60" s="256"/>
      <c r="E60" s="260" t="s">
        <v>1026</v>
      </c>
      <c r="F60" s="256"/>
      <c r="G60" s="349"/>
      <c r="I60" s="261"/>
      <c r="J60" s="263"/>
    </row>
    <row r="61" spans="1:10" ht="18">
      <c r="A61" s="348"/>
      <c r="B61" s="257">
        <v>3.3</v>
      </c>
      <c r="C61" s="264" t="s">
        <v>1027</v>
      </c>
      <c r="D61" s="257"/>
      <c r="E61" s="264" t="s">
        <v>1028</v>
      </c>
      <c r="F61" s="256"/>
      <c r="G61" s="349"/>
      <c r="I61" s="261"/>
      <c r="J61" s="265"/>
    </row>
    <row r="62" spans="1:10" ht="18">
      <c r="A62" s="348"/>
      <c r="B62" s="257">
        <v>3.3</v>
      </c>
      <c r="C62" s="264" t="s">
        <v>1029</v>
      </c>
      <c r="D62" s="257"/>
      <c r="E62" s="264" t="s">
        <v>1028</v>
      </c>
      <c r="F62" s="256"/>
      <c r="G62" s="349"/>
      <c r="I62" s="261"/>
      <c r="J62" s="265"/>
    </row>
    <row r="63" spans="1:10" ht="18">
      <c r="A63" s="348"/>
      <c r="B63" s="257">
        <v>0</v>
      </c>
      <c r="C63" s="264" t="s">
        <v>1030</v>
      </c>
      <c r="D63" s="257"/>
      <c r="E63" s="257" t="s">
        <v>957</v>
      </c>
      <c r="F63" s="256"/>
      <c r="G63" s="349"/>
      <c r="I63" s="261"/>
      <c r="J63" s="265"/>
    </row>
    <row r="64" spans="1:10" ht="18">
      <c r="A64" s="348"/>
      <c r="B64" s="257">
        <v>0</v>
      </c>
      <c r="C64" s="257" t="s">
        <v>1031</v>
      </c>
      <c r="D64" s="257"/>
      <c r="E64" s="257" t="s">
        <v>957</v>
      </c>
      <c r="F64" s="256"/>
      <c r="G64" s="349"/>
      <c r="I64" s="261"/>
      <c r="J64" s="265"/>
    </row>
    <row r="65" spans="1:10" ht="18">
      <c r="A65" s="345"/>
      <c r="B65" s="256">
        <v>0</v>
      </c>
      <c r="C65" s="256" t="s">
        <v>957</v>
      </c>
      <c r="D65" s="256"/>
      <c r="E65" s="256" t="s">
        <v>957</v>
      </c>
      <c r="F65" s="256"/>
      <c r="G65" s="347"/>
      <c r="I65" s="261"/>
      <c r="J65" s="265"/>
    </row>
    <row r="66" spans="1:10" ht="14.25" customHeight="1">
      <c r="A66" s="344" t="s">
        <v>1032</v>
      </c>
      <c r="B66" s="266">
        <v>0.9</v>
      </c>
      <c r="C66" s="266" t="s">
        <v>1033</v>
      </c>
      <c r="D66" s="266"/>
      <c r="E66" s="266" t="s">
        <v>1034</v>
      </c>
      <c r="F66" s="256"/>
      <c r="G66" s="350"/>
      <c r="I66" s="261"/>
      <c r="J66" s="265"/>
    </row>
    <row r="67" spans="1:10" ht="18">
      <c r="A67" s="348"/>
      <c r="B67" s="266">
        <v>0.9</v>
      </c>
      <c r="C67" s="266" t="s">
        <v>1035</v>
      </c>
      <c r="D67" s="266"/>
      <c r="E67" s="266" t="s">
        <v>1036</v>
      </c>
      <c r="F67" s="256"/>
      <c r="G67" s="351"/>
      <c r="I67" s="261"/>
      <c r="J67" s="262"/>
    </row>
    <row r="68" spans="1:10" ht="18">
      <c r="A68" s="348"/>
      <c r="B68" s="266">
        <v>1.8</v>
      </c>
      <c r="C68" s="266" t="s">
        <v>1037</v>
      </c>
      <c r="D68" s="266"/>
      <c r="E68" s="266" t="s">
        <v>1038</v>
      </c>
      <c r="F68" s="256"/>
      <c r="G68" s="351"/>
      <c r="I68" s="261"/>
      <c r="J68" s="262"/>
    </row>
    <row r="69" spans="1:10" ht="18">
      <c r="A69" s="345"/>
      <c r="B69" s="257">
        <v>0</v>
      </c>
      <c r="C69" s="257" t="s">
        <v>1039</v>
      </c>
      <c r="D69" s="257"/>
      <c r="E69" s="257" t="s">
        <v>957</v>
      </c>
      <c r="F69" s="256"/>
      <c r="G69" s="352"/>
      <c r="I69" s="261"/>
      <c r="J69" s="262"/>
    </row>
    <row r="70" spans="1:10" ht="18">
      <c r="A70" s="344" t="s">
        <v>1040</v>
      </c>
      <c r="B70" s="256">
        <v>1.2</v>
      </c>
      <c r="C70" s="256" t="s">
        <v>1041</v>
      </c>
      <c r="D70" s="256">
        <v>1</v>
      </c>
      <c r="E70" s="256" t="s">
        <v>1041</v>
      </c>
      <c r="F70" s="256"/>
      <c r="G70" s="346" t="s">
        <v>971</v>
      </c>
      <c r="I70" s="261"/>
      <c r="J70" s="262"/>
    </row>
    <row r="71" spans="1:10" ht="18">
      <c r="A71" s="345"/>
      <c r="B71" s="256">
        <v>0</v>
      </c>
      <c r="C71" s="256" t="s">
        <v>1042</v>
      </c>
      <c r="D71" s="256">
        <v>1</v>
      </c>
      <c r="E71" s="256" t="s">
        <v>1042</v>
      </c>
      <c r="F71" s="256"/>
      <c r="G71" s="347"/>
      <c r="I71" s="261"/>
      <c r="J71" s="262"/>
    </row>
    <row r="72" spans="1:10" ht="18">
      <c r="A72" s="344" t="s">
        <v>1043</v>
      </c>
      <c r="B72" s="256">
        <v>1.8</v>
      </c>
      <c r="C72" s="256" t="s">
        <v>1044</v>
      </c>
      <c r="D72" s="256">
        <v>3</v>
      </c>
      <c r="E72" s="256" t="s">
        <v>1044</v>
      </c>
      <c r="F72" s="256"/>
      <c r="G72" s="346"/>
      <c r="I72" s="261"/>
      <c r="J72" s="262"/>
    </row>
    <row r="73" spans="1:10" ht="18">
      <c r="A73" s="348"/>
      <c r="B73" s="256">
        <v>0.9</v>
      </c>
      <c r="C73" s="256" t="s">
        <v>1045</v>
      </c>
      <c r="D73" s="256">
        <v>3</v>
      </c>
      <c r="E73" s="256" t="s">
        <v>1045</v>
      </c>
      <c r="F73" s="256"/>
      <c r="G73" s="349"/>
      <c r="I73" s="261"/>
      <c r="J73" s="265"/>
    </row>
    <row r="74" spans="1:10" ht="18">
      <c r="A74" s="345"/>
      <c r="B74" s="256">
        <v>0</v>
      </c>
      <c r="C74" s="256" t="s">
        <v>1046</v>
      </c>
      <c r="D74" s="256">
        <v>3</v>
      </c>
      <c r="E74" s="256" t="s">
        <v>1046</v>
      </c>
      <c r="F74" s="256"/>
      <c r="G74" s="347"/>
      <c r="I74" s="261"/>
      <c r="J74" s="265"/>
    </row>
    <row r="75" spans="1:10" ht="18">
      <c r="A75" s="344" t="s">
        <v>1047</v>
      </c>
      <c r="B75" s="256">
        <v>1.8</v>
      </c>
      <c r="C75" s="256" t="s">
        <v>1048</v>
      </c>
      <c r="D75" s="256">
        <v>1</v>
      </c>
      <c r="E75" s="256" t="s">
        <v>1049</v>
      </c>
      <c r="F75" s="256"/>
      <c r="G75" s="346"/>
      <c r="I75" s="261"/>
      <c r="J75" s="262"/>
    </row>
    <row r="76" spans="1:10" ht="18">
      <c r="A76" s="348"/>
      <c r="B76" s="256">
        <v>0.9</v>
      </c>
      <c r="C76" s="256" t="s">
        <v>1050</v>
      </c>
      <c r="D76" s="256">
        <v>1</v>
      </c>
      <c r="E76" s="256" t="s">
        <v>1051</v>
      </c>
      <c r="F76" s="256"/>
      <c r="G76" s="349"/>
      <c r="I76" s="261"/>
      <c r="J76" s="262"/>
    </row>
    <row r="77" spans="1:10" ht="18">
      <c r="A77" s="345"/>
      <c r="B77" s="256">
        <v>0</v>
      </c>
      <c r="C77" s="256" t="s">
        <v>1052</v>
      </c>
      <c r="D77" s="256">
        <v>1</v>
      </c>
      <c r="E77" s="256" t="s">
        <v>1053</v>
      </c>
      <c r="F77" s="256"/>
      <c r="G77" s="347"/>
      <c r="I77" s="261"/>
      <c r="J77" s="265"/>
    </row>
    <row r="78" spans="1:10" ht="18">
      <c r="A78" s="344" t="s">
        <v>1054</v>
      </c>
      <c r="B78" s="256">
        <v>1.8</v>
      </c>
      <c r="C78" s="256" t="s">
        <v>1055</v>
      </c>
      <c r="D78" s="256">
        <v>1</v>
      </c>
      <c r="E78" s="256" t="s">
        <v>1055</v>
      </c>
      <c r="F78" s="256"/>
      <c r="G78" s="346"/>
      <c r="I78" s="261"/>
      <c r="J78" s="265"/>
    </row>
    <row r="79" spans="1:10" ht="18">
      <c r="A79" s="345"/>
      <c r="B79" s="257">
        <v>0</v>
      </c>
      <c r="C79" s="257" t="s">
        <v>1056</v>
      </c>
      <c r="D79" s="257">
        <v>1</v>
      </c>
      <c r="E79" s="257" t="s">
        <v>957</v>
      </c>
      <c r="F79" s="256"/>
      <c r="G79" s="347"/>
      <c r="I79" s="261"/>
      <c r="J79" s="265"/>
    </row>
    <row r="80" spans="1:10" ht="18">
      <c r="A80" s="266" t="s">
        <v>1057</v>
      </c>
      <c r="B80" s="256">
        <v>1.8</v>
      </c>
      <c r="C80" s="256" t="s">
        <v>1058</v>
      </c>
      <c r="D80" s="256">
        <v>1</v>
      </c>
      <c r="E80" s="256" t="s">
        <v>1058</v>
      </c>
      <c r="F80" s="256"/>
      <c r="G80" s="256" t="s">
        <v>971</v>
      </c>
      <c r="I80" s="261"/>
      <c r="J80" s="265"/>
    </row>
    <row r="81" spans="1:10" ht="18">
      <c r="A81" s="344" t="s">
        <v>1059</v>
      </c>
      <c r="B81" s="256">
        <v>1.8</v>
      </c>
      <c r="C81" s="256" t="s">
        <v>1060</v>
      </c>
      <c r="D81" s="256"/>
      <c r="E81" s="256" t="s">
        <v>1060</v>
      </c>
      <c r="F81" s="256"/>
      <c r="G81" s="346" t="s">
        <v>971</v>
      </c>
      <c r="I81" s="261"/>
      <c r="J81" s="265"/>
    </row>
    <row r="82" spans="1:10" ht="18">
      <c r="A82" s="345"/>
      <c r="B82" s="256">
        <v>0</v>
      </c>
      <c r="C82" s="256" t="s">
        <v>1061</v>
      </c>
      <c r="D82" s="256"/>
      <c r="E82" s="256" t="s">
        <v>1061</v>
      </c>
      <c r="F82" s="256"/>
      <c r="G82" s="347"/>
      <c r="I82" s="261"/>
      <c r="J82" s="265"/>
    </row>
    <row r="83" spans="1:10" ht="18">
      <c r="I83" s="261"/>
      <c r="J83" s="262"/>
    </row>
    <row r="84" spans="1:10" ht="18">
      <c r="I84" s="261"/>
      <c r="J84" s="262"/>
    </row>
    <row r="85" spans="1:10" ht="18">
      <c r="I85" s="261"/>
      <c r="J85" s="262"/>
    </row>
    <row r="86" spans="1:10" ht="18">
      <c r="I86" s="261"/>
      <c r="J86" s="262"/>
    </row>
    <row r="87" spans="1:10" ht="18">
      <c r="I87" s="261"/>
      <c r="J87" s="265"/>
    </row>
    <row r="88" spans="1:10" ht="18">
      <c r="I88" s="261"/>
      <c r="J88" s="265"/>
    </row>
    <row r="89" spans="1:10" ht="18">
      <c r="I89" s="261"/>
      <c r="J89" s="262"/>
    </row>
    <row r="90" spans="1:10" ht="18">
      <c r="I90" s="261"/>
      <c r="J90" s="262"/>
    </row>
  </sheetData>
  <mergeCells count="22">
    <mergeCell ref="A78:A79"/>
    <mergeCell ref="G78:G79"/>
    <mergeCell ref="A81:A82"/>
    <mergeCell ref="G81:G82"/>
    <mergeCell ref="A5:A11"/>
    <mergeCell ref="G5:G11"/>
    <mergeCell ref="A12:A14"/>
    <mergeCell ref="G12:G14"/>
    <mergeCell ref="A15:A23"/>
    <mergeCell ref="G15:G23"/>
    <mergeCell ref="A24:A57"/>
    <mergeCell ref="G24:G57"/>
    <mergeCell ref="A58:A65"/>
    <mergeCell ref="G58:G65"/>
    <mergeCell ref="A66:A69"/>
    <mergeCell ref="G66:G69"/>
    <mergeCell ref="A70:A71"/>
    <mergeCell ref="G70:G71"/>
    <mergeCell ref="A72:A74"/>
    <mergeCell ref="G72:G74"/>
    <mergeCell ref="A75:A77"/>
    <mergeCell ref="G75:G77"/>
  </mergeCells>
  <phoneticPr fontId="5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9" sqref="B39"/>
    </sheetView>
  </sheetViews>
  <sheetFormatPr defaultRowHeight="14.25"/>
  <cols>
    <col min="1" max="1" width="22.125" customWidth="1"/>
    <col min="2" max="2" width="61" customWidth="1"/>
  </cols>
  <sheetData>
    <row r="4" spans="1:2">
      <c r="A4" s="78" t="s">
        <v>117</v>
      </c>
    </row>
    <row r="6" spans="1:2">
      <c r="A6" s="76" t="s">
        <v>119</v>
      </c>
    </row>
    <row r="7" spans="1:2">
      <c r="A7" t="s">
        <v>118</v>
      </c>
      <c r="B7" t="s">
        <v>125</v>
      </c>
    </row>
    <row r="9" spans="1:2">
      <c r="A9" s="75" t="s">
        <v>107</v>
      </c>
    </row>
    <row r="10" spans="1:2">
      <c r="A10" t="s">
        <v>120</v>
      </c>
      <c r="B10" t="s">
        <v>124</v>
      </c>
    </row>
    <row r="11" spans="1:2">
      <c r="A11" t="s">
        <v>121</v>
      </c>
      <c r="B11" t="s">
        <v>123</v>
      </c>
    </row>
    <row r="12" spans="1:2">
      <c r="A12" t="s">
        <v>122</v>
      </c>
      <c r="B12" s="79">
        <v>43239</v>
      </c>
    </row>
    <row r="15" spans="1:2" ht="13.5" customHeight="1">
      <c r="A15" s="75" t="s">
        <v>108</v>
      </c>
    </row>
    <row r="16" spans="1:2">
      <c r="A16" t="s">
        <v>126</v>
      </c>
      <c r="B16" t="s">
        <v>127</v>
      </c>
    </row>
    <row r="17" spans="1:2">
      <c r="A17" t="s">
        <v>128</v>
      </c>
      <c r="B17" t="s">
        <v>129</v>
      </c>
    </row>
    <row r="18" spans="1:2">
      <c r="B18" s="79"/>
    </row>
    <row r="19" spans="1:2" ht="13.5" customHeight="1">
      <c r="A19" s="75" t="s">
        <v>130</v>
      </c>
    </row>
    <row r="20" spans="1:2">
      <c r="A20" t="s">
        <v>131</v>
      </c>
      <c r="B20" t="s">
        <v>135</v>
      </c>
    </row>
    <row r="21" spans="1:2">
      <c r="A21" t="s">
        <v>132</v>
      </c>
      <c r="B21" t="s">
        <v>136</v>
      </c>
    </row>
    <row r="22" spans="1:2">
      <c r="A22" t="s">
        <v>133</v>
      </c>
      <c r="B22" t="s">
        <v>137</v>
      </c>
    </row>
    <row r="23" spans="1:2">
      <c r="A23" t="s">
        <v>134</v>
      </c>
      <c r="B23" t="s">
        <v>137</v>
      </c>
    </row>
    <row r="25" spans="1:2" ht="13.5" customHeight="1">
      <c r="A25" s="75" t="s">
        <v>138</v>
      </c>
    </row>
    <row r="26" spans="1:2">
      <c r="A26" t="s">
        <v>139</v>
      </c>
    </row>
    <row r="27" spans="1:2">
      <c r="A27" t="s">
        <v>140</v>
      </c>
    </row>
    <row r="29" spans="1:2" ht="13.5" customHeight="1">
      <c r="A29" s="75" t="s">
        <v>141</v>
      </c>
    </row>
    <row r="30" spans="1:2">
      <c r="A30" t="s">
        <v>142</v>
      </c>
    </row>
    <row r="31" spans="1:2">
      <c r="A31" t="s">
        <v>143</v>
      </c>
    </row>
    <row r="32" spans="1:2">
      <c r="A32" t="s">
        <v>144</v>
      </c>
    </row>
    <row r="34" spans="1:1">
      <c r="A34" s="75" t="s">
        <v>145</v>
      </c>
    </row>
    <row r="35" spans="1:1">
      <c r="A35" t="s">
        <v>146</v>
      </c>
    </row>
    <row r="36" spans="1:1">
      <c r="A36" t="s">
        <v>147</v>
      </c>
    </row>
    <row r="37" spans="1:1">
      <c r="A37" t="s">
        <v>148</v>
      </c>
    </row>
    <row r="39" spans="1:1">
      <c r="A39" s="75" t="s">
        <v>149</v>
      </c>
    </row>
    <row r="40" spans="1:1">
      <c r="A40" t="s">
        <v>150</v>
      </c>
    </row>
    <row r="41" spans="1:1">
      <c r="A41" t="s">
        <v>151</v>
      </c>
    </row>
    <row r="43" spans="1:1">
      <c r="A43" t="s">
        <v>152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F11:AJ119"/>
  <sheetViews>
    <sheetView topLeftCell="F13" zoomScale="70" zoomScaleNormal="70" workbookViewId="0">
      <selection activeCell="V71" sqref="V71"/>
    </sheetView>
  </sheetViews>
  <sheetFormatPr defaultRowHeight="14.25"/>
  <cols>
    <col min="1" max="6" width="9" style="186"/>
    <col min="7" max="7" width="4.25" style="186" bestFit="1" customWidth="1"/>
    <col min="8" max="8" width="6.375" style="186" bestFit="1" customWidth="1"/>
    <col min="9" max="9" width="4.75" style="186" bestFit="1" customWidth="1"/>
    <col min="10" max="10" width="8.25" style="186" customWidth="1"/>
    <col min="11" max="11" width="12" style="186" customWidth="1"/>
    <col min="12" max="12" width="17.5" style="186" customWidth="1"/>
    <col min="13" max="13" width="16.75" style="186" customWidth="1"/>
    <col min="14" max="14" width="9" style="186"/>
    <col min="15" max="15" width="7.625" style="186" customWidth="1"/>
    <col min="16" max="16" width="7.75" style="186" customWidth="1"/>
    <col min="17" max="17" width="11" style="186" customWidth="1"/>
    <col min="18" max="18" width="8.5" style="186" customWidth="1"/>
    <col min="19" max="19" width="8.375" style="186" customWidth="1"/>
    <col min="20" max="20" width="15.875" style="186" customWidth="1"/>
    <col min="21" max="21" width="11.375" style="186" customWidth="1"/>
    <col min="22" max="22" width="8.5" style="186" customWidth="1"/>
    <col min="23" max="23" width="8.625" style="186" customWidth="1"/>
    <col min="24" max="24" width="9.75" style="186" customWidth="1"/>
    <col min="25" max="25" width="11.125" style="186" customWidth="1"/>
    <col min="26" max="26" width="4" style="186" customWidth="1"/>
    <col min="27" max="27" width="9" style="186"/>
    <col min="28" max="28" width="17.125" style="186" customWidth="1"/>
    <col min="29" max="29" width="15.375" style="186" customWidth="1"/>
    <col min="30" max="30" width="12" style="186" customWidth="1"/>
    <col min="31" max="32" width="11.875" style="186" customWidth="1"/>
    <col min="33" max="16384" width="9" style="186"/>
  </cols>
  <sheetData>
    <row r="11" spans="6:36">
      <c r="F11" s="51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3"/>
    </row>
    <row r="12" spans="6:36" ht="14.25" customHeight="1">
      <c r="F12" s="54"/>
      <c r="I12" s="184"/>
      <c r="J12" s="184"/>
      <c r="K12" s="184"/>
      <c r="L12" s="184"/>
      <c r="M12" s="184"/>
      <c r="N12" s="184"/>
      <c r="O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55"/>
    </row>
    <row r="13" spans="6:36">
      <c r="F13" s="54"/>
      <c r="G13" s="184"/>
      <c r="H13" s="184"/>
      <c r="I13" s="184"/>
      <c r="J13" s="184"/>
      <c r="K13" s="184"/>
      <c r="L13" s="184"/>
      <c r="M13" s="184"/>
      <c r="N13" s="184"/>
      <c r="O13" s="184"/>
      <c r="R13" s="184"/>
      <c r="S13" s="184"/>
      <c r="T13" s="184"/>
      <c r="U13" s="184"/>
      <c r="V13" s="199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55"/>
    </row>
    <row r="14" spans="6:36" ht="14.25" customHeight="1">
      <c r="F14" s="54"/>
      <c r="G14" s="184"/>
      <c r="H14" s="184"/>
      <c r="I14" s="184"/>
      <c r="J14" s="184"/>
      <c r="K14" s="184"/>
      <c r="L14" s="184"/>
      <c r="M14" s="184"/>
      <c r="N14" s="184"/>
      <c r="O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55"/>
    </row>
    <row r="15" spans="6:36">
      <c r="F15" s="54"/>
      <c r="G15" s="184"/>
      <c r="H15" s="184"/>
      <c r="I15" s="184"/>
      <c r="J15" s="184"/>
      <c r="K15" s="184"/>
      <c r="L15" s="184"/>
      <c r="M15" s="184"/>
      <c r="N15" s="184"/>
      <c r="O15" s="184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55"/>
    </row>
    <row r="16" spans="6:36">
      <c r="F16" s="54"/>
      <c r="G16" s="184"/>
      <c r="H16" s="184"/>
      <c r="I16" s="184"/>
      <c r="J16" s="184"/>
      <c r="K16" s="184"/>
      <c r="L16" s="184"/>
      <c r="M16" s="184"/>
      <c r="N16" s="184"/>
      <c r="O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55"/>
    </row>
    <row r="17" spans="6:36">
      <c r="F17" s="54"/>
      <c r="G17" s="184"/>
      <c r="H17" s="184"/>
      <c r="I17" s="184"/>
      <c r="J17" s="184"/>
      <c r="N17" s="184"/>
      <c r="O17" s="367" t="s">
        <v>542</v>
      </c>
      <c r="P17" s="368"/>
      <c r="Q17" s="373" t="s">
        <v>542</v>
      </c>
      <c r="R17" s="374"/>
      <c r="S17" s="374"/>
      <c r="T17" s="375"/>
      <c r="U17" s="369" t="s">
        <v>543</v>
      </c>
      <c r="V17" s="370"/>
      <c r="W17" s="376"/>
      <c r="X17" s="376"/>
      <c r="Y17" s="376"/>
      <c r="Z17" s="377"/>
      <c r="AA17" s="184"/>
      <c r="AC17" s="192"/>
      <c r="AD17" s="193"/>
      <c r="AE17" s="193"/>
      <c r="AF17" s="184"/>
      <c r="AG17" s="184"/>
      <c r="AH17" s="184"/>
      <c r="AI17" s="184"/>
      <c r="AJ17" s="55"/>
    </row>
    <row r="18" spans="6:36">
      <c r="F18" s="54"/>
      <c r="G18" s="184"/>
      <c r="H18" s="184"/>
      <c r="I18" s="184"/>
      <c r="J18" s="184"/>
      <c r="N18" s="184"/>
      <c r="O18" s="367" t="s">
        <v>544</v>
      </c>
      <c r="P18" s="368"/>
      <c r="Q18" s="373" t="s">
        <v>545</v>
      </c>
      <c r="R18" s="374"/>
      <c r="S18" s="374"/>
      <c r="T18" s="375"/>
      <c r="U18" s="391" t="s">
        <v>546</v>
      </c>
      <c r="V18" s="392"/>
      <c r="W18" s="392" t="s">
        <v>545</v>
      </c>
      <c r="X18" s="392"/>
      <c r="Y18" s="392"/>
      <c r="Z18" s="393"/>
      <c r="AA18" s="184"/>
      <c r="AC18" s="192"/>
      <c r="AD18" s="193"/>
      <c r="AE18" s="193"/>
      <c r="AF18" s="184"/>
      <c r="AG18" s="184"/>
      <c r="AH18" s="184"/>
      <c r="AI18" s="184"/>
      <c r="AJ18" s="55"/>
    </row>
    <row r="19" spans="6:36">
      <c r="F19" s="54"/>
      <c r="G19" s="184"/>
      <c r="H19" s="184"/>
      <c r="I19" s="184"/>
      <c r="J19" s="184"/>
      <c r="N19" s="184"/>
      <c r="O19" s="367">
        <v>22</v>
      </c>
      <c r="P19" s="368"/>
      <c r="Q19" s="373">
        <v>6</v>
      </c>
      <c r="R19" s="374"/>
      <c r="S19" s="374"/>
      <c r="T19" s="375"/>
      <c r="U19" s="369">
        <v>32</v>
      </c>
      <c r="V19" s="370"/>
      <c r="W19" s="370"/>
      <c r="X19" s="370"/>
      <c r="Y19" s="370"/>
      <c r="Z19" s="371"/>
      <c r="AA19" s="184"/>
      <c r="AC19" s="192"/>
      <c r="AD19" s="193"/>
      <c r="AE19" s="193"/>
      <c r="AF19" s="184"/>
      <c r="AG19" s="184"/>
      <c r="AH19" s="184"/>
      <c r="AI19" s="184"/>
      <c r="AJ19" s="55"/>
    </row>
    <row r="20" spans="6:36">
      <c r="F20" s="54"/>
      <c r="G20" s="184"/>
      <c r="H20" s="184"/>
      <c r="I20" s="184"/>
      <c r="J20" s="184"/>
      <c r="N20" s="184"/>
      <c r="O20" s="367"/>
      <c r="P20" s="368"/>
      <c r="Q20" s="373" t="s">
        <v>547</v>
      </c>
      <c r="R20" s="374"/>
      <c r="S20" s="374"/>
      <c r="T20" s="375"/>
      <c r="U20" s="369"/>
      <c r="V20" s="370"/>
      <c r="W20" s="370"/>
      <c r="X20" s="370"/>
      <c r="Y20" s="370"/>
      <c r="Z20" s="371"/>
      <c r="AA20" s="184"/>
      <c r="AC20" s="192"/>
      <c r="AD20" s="193"/>
      <c r="AE20" s="193"/>
      <c r="AF20" s="184"/>
      <c r="AG20" s="184"/>
      <c r="AH20" s="184"/>
      <c r="AI20" s="184"/>
      <c r="AJ20" s="55"/>
    </row>
    <row r="21" spans="6:36" ht="14.25" customHeight="1">
      <c r="F21" s="54"/>
      <c r="G21" s="184"/>
      <c r="H21" s="184"/>
      <c r="I21" s="184"/>
      <c r="J21" s="184"/>
      <c r="N21" s="184"/>
      <c r="O21" s="367"/>
      <c r="P21" s="368"/>
      <c r="Q21" s="373" t="s">
        <v>548</v>
      </c>
      <c r="R21" s="374"/>
      <c r="S21" s="374"/>
      <c r="T21" s="375"/>
      <c r="U21" s="369"/>
      <c r="V21" s="370"/>
      <c r="W21" s="376"/>
      <c r="X21" s="376"/>
      <c r="Y21" s="376"/>
      <c r="Z21" s="377"/>
      <c r="AA21" s="184"/>
      <c r="AC21" s="192"/>
      <c r="AD21" s="193"/>
      <c r="AE21" s="193"/>
      <c r="AF21" s="184"/>
      <c r="AG21" s="184"/>
      <c r="AH21" s="184"/>
      <c r="AI21" s="184"/>
      <c r="AJ21" s="55"/>
    </row>
    <row r="22" spans="6:36">
      <c r="F22" s="54"/>
      <c r="G22" s="184"/>
      <c r="H22" s="184"/>
      <c r="I22" s="184"/>
      <c r="J22" s="184"/>
      <c r="N22" s="184"/>
      <c r="O22" s="367"/>
      <c r="P22" s="368"/>
      <c r="Q22" s="373" t="s">
        <v>549</v>
      </c>
      <c r="R22" s="374"/>
      <c r="S22" s="374"/>
      <c r="T22" s="375"/>
      <c r="U22" s="369"/>
      <c r="V22" s="370"/>
      <c r="W22" s="376"/>
      <c r="X22" s="376"/>
      <c r="Y22" s="376"/>
      <c r="Z22" s="377"/>
      <c r="AA22" s="184"/>
      <c r="AC22" s="192"/>
      <c r="AD22" s="193"/>
      <c r="AE22" s="193"/>
      <c r="AF22" s="184"/>
      <c r="AG22" s="184"/>
      <c r="AH22" s="184"/>
      <c r="AI22" s="184"/>
      <c r="AJ22" s="55"/>
    </row>
    <row r="23" spans="6:36">
      <c r="F23" s="54"/>
      <c r="G23" s="184"/>
      <c r="H23" s="184"/>
      <c r="I23" s="184"/>
      <c r="J23" s="184"/>
      <c r="N23" s="184"/>
      <c r="O23" s="367" t="s">
        <v>550</v>
      </c>
      <c r="P23" s="368"/>
      <c r="Q23" s="373" t="s">
        <v>551</v>
      </c>
      <c r="R23" s="374"/>
      <c r="S23" s="374"/>
      <c r="T23" s="375"/>
      <c r="U23" s="369"/>
      <c r="V23" s="370"/>
      <c r="W23" s="376"/>
      <c r="X23" s="376"/>
      <c r="Y23" s="376"/>
      <c r="Z23" s="377" t="s">
        <v>552</v>
      </c>
      <c r="AA23" s="184"/>
      <c r="AC23" s="192"/>
      <c r="AD23" s="193"/>
      <c r="AE23" s="193"/>
      <c r="AF23" s="184"/>
      <c r="AG23" s="184"/>
      <c r="AH23" s="184"/>
      <c r="AI23" s="184"/>
      <c r="AJ23" s="55"/>
    </row>
    <row r="24" spans="6:36">
      <c r="F24" s="54"/>
      <c r="G24" s="184"/>
      <c r="H24" s="184"/>
      <c r="I24" s="184"/>
      <c r="J24" s="184"/>
      <c r="N24" s="184"/>
      <c r="O24" s="367" t="s">
        <v>553</v>
      </c>
      <c r="P24" s="368"/>
      <c r="Q24" s="373" t="s">
        <v>554</v>
      </c>
      <c r="R24" s="374"/>
      <c r="S24" s="374"/>
      <c r="T24" s="375"/>
      <c r="U24" s="369" t="s">
        <v>543</v>
      </c>
      <c r="V24" s="370"/>
      <c r="W24" s="376" t="s">
        <v>555</v>
      </c>
      <c r="X24" s="376"/>
      <c r="Y24" s="376"/>
      <c r="Z24" s="377" t="s">
        <v>556</v>
      </c>
      <c r="AA24" s="184"/>
      <c r="AC24" s="192"/>
      <c r="AD24" s="193"/>
      <c r="AE24" s="193"/>
      <c r="AF24" s="184"/>
      <c r="AG24" s="184"/>
      <c r="AH24" s="184"/>
      <c r="AI24" s="184"/>
      <c r="AJ24" s="55"/>
    </row>
    <row r="25" spans="6:36">
      <c r="F25" s="54"/>
      <c r="G25" s="49" t="s">
        <v>557</v>
      </c>
      <c r="H25" s="49" t="s">
        <v>558</v>
      </c>
      <c r="I25" s="50" t="s">
        <v>559</v>
      </c>
      <c r="J25" s="50" t="s">
        <v>560</v>
      </c>
      <c r="K25" s="50" t="s">
        <v>561</v>
      </c>
      <c r="L25" s="50" t="s">
        <v>562</v>
      </c>
      <c r="M25" s="50" t="s">
        <v>563</v>
      </c>
      <c r="N25" s="184"/>
      <c r="O25" s="390" t="s">
        <v>47</v>
      </c>
      <c r="P25" s="390"/>
      <c r="Q25" s="390"/>
      <c r="R25" s="390"/>
      <c r="S25" s="390"/>
      <c r="T25" s="390"/>
      <c r="U25" s="390"/>
      <c r="V25" s="390"/>
      <c r="W25" s="390"/>
      <c r="X25" s="390"/>
      <c r="Y25" s="390"/>
      <c r="Z25" s="390"/>
      <c r="AA25" s="184"/>
      <c r="AB25" s="184"/>
      <c r="AC25" s="184"/>
      <c r="AD25" s="184"/>
      <c r="AE25" s="184"/>
      <c r="AF25" s="184"/>
      <c r="AG25" s="184"/>
      <c r="AH25" s="184"/>
      <c r="AI25" s="184"/>
      <c r="AJ25" s="55"/>
    </row>
    <row r="26" spans="6:36" ht="14.25" customHeight="1">
      <c r="F26" s="54"/>
      <c r="G26" s="384" t="s">
        <v>564</v>
      </c>
      <c r="H26" s="394" t="s">
        <v>565</v>
      </c>
      <c r="I26" s="394">
        <v>62</v>
      </c>
      <c r="J26" s="169"/>
      <c r="K26" s="169"/>
      <c r="L26" s="169"/>
      <c r="M26" s="387" t="s">
        <v>566</v>
      </c>
      <c r="N26" s="378" t="s">
        <v>567</v>
      </c>
      <c r="O26" s="184"/>
      <c r="P26" s="184"/>
      <c r="Q26" s="184"/>
      <c r="R26" s="184"/>
      <c r="S26" s="184"/>
      <c r="T26" s="199">
        <f>SUM(O19:Z19)</f>
        <v>60</v>
      </c>
      <c r="U26" s="184"/>
      <c r="V26" s="184"/>
      <c r="W26" s="184"/>
      <c r="X26" s="184"/>
      <c r="Y26" s="184"/>
      <c r="Z26" s="184"/>
      <c r="AA26" s="378" t="s">
        <v>568</v>
      </c>
      <c r="AB26" s="379" t="s">
        <v>554</v>
      </c>
      <c r="AC26" s="379" t="s">
        <v>569</v>
      </c>
      <c r="AD26" s="379" t="s">
        <v>549</v>
      </c>
      <c r="AE26" s="379" t="s">
        <v>570</v>
      </c>
      <c r="AF26" s="379"/>
      <c r="AG26" s="379">
        <v>6</v>
      </c>
      <c r="AH26" s="379" t="s">
        <v>544</v>
      </c>
      <c r="AI26" s="379" t="s">
        <v>542</v>
      </c>
      <c r="AJ26" s="200"/>
    </row>
    <row r="27" spans="6:36">
      <c r="F27" s="54"/>
      <c r="G27" s="385"/>
      <c r="H27" s="395"/>
      <c r="I27" s="395"/>
      <c r="J27" s="169"/>
      <c r="K27" s="169"/>
      <c r="L27" s="169"/>
      <c r="M27" s="388"/>
      <c r="N27" s="378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378"/>
      <c r="AB27" s="379"/>
      <c r="AC27" s="379"/>
      <c r="AD27" s="379"/>
      <c r="AE27" s="379"/>
      <c r="AF27" s="379"/>
      <c r="AG27" s="379"/>
      <c r="AH27" s="379" t="s">
        <v>544</v>
      </c>
      <c r="AI27" s="379" t="s">
        <v>571</v>
      </c>
      <c r="AJ27" s="200"/>
    </row>
    <row r="28" spans="6:36">
      <c r="F28" s="54"/>
      <c r="G28" s="385"/>
      <c r="H28" s="395"/>
      <c r="I28" s="395"/>
      <c r="J28" s="169"/>
      <c r="K28" s="169"/>
      <c r="L28" s="169"/>
      <c r="M28" s="388"/>
      <c r="N28" s="378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378"/>
      <c r="AB28" s="379"/>
      <c r="AC28" s="379"/>
      <c r="AD28" s="379"/>
      <c r="AE28" s="379"/>
      <c r="AF28" s="379"/>
      <c r="AG28" s="379"/>
      <c r="AH28" s="379"/>
      <c r="AI28" s="379"/>
      <c r="AJ28" s="200"/>
    </row>
    <row r="29" spans="6:36">
      <c r="F29" s="54"/>
      <c r="G29" s="385"/>
      <c r="H29" s="395"/>
      <c r="I29" s="395"/>
      <c r="J29" s="169"/>
      <c r="K29" s="169"/>
      <c r="L29" s="169"/>
      <c r="M29" s="388"/>
      <c r="N29" s="378"/>
      <c r="O29" s="184"/>
      <c r="P29" s="184"/>
      <c r="Q29" s="184"/>
      <c r="R29" s="184"/>
      <c r="S29" s="184"/>
      <c r="T29" s="171"/>
      <c r="U29" s="171"/>
      <c r="V29" s="184"/>
      <c r="W29" s="184"/>
      <c r="X29" s="184"/>
      <c r="Y29" s="184"/>
      <c r="Z29" s="184"/>
      <c r="AA29" s="378"/>
      <c r="AB29" s="379"/>
      <c r="AC29" s="379"/>
      <c r="AD29" s="379"/>
      <c r="AE29" s="379"/>
      <c r="AF29" s="379"/>
      <c r="AG29" s="379"/>
      <c r="AH29" s="379"/>
      <c r="AI29" s="379"/>
      <c r="AJ29" s="200"/>
    </row>
    <row r="30" spans="6:36" ht="14.25" customHeight="1">
      <c r="F30" s="54"/>
      <c r="G30" s="385"/>
      <c r="H30" s="395"/>
      <c r="I30" s="395"/>
      <c r="J30" s="169"/>
      <c r="K30" s="169"/>
      <c r="L30" s="169"/>
      <c r="M30" s="388"/>
      <c r="N30" s="378"/>
      <c r="O30" s="184"/>
      <c r="P30" s="184"/>
      <c r="Q30" s="184"/>
      <c r="R30" s="184"/>
      <c r="S30" s="184"/>
      <c r="T30" s="171"/>
      <c r="U30" s="171"/>
      <c r="V30" s="184"/>
      <c r="W30" s="184"/>
      <c r="X30" s="184"/>
      <c r="Y30" s="184"/>
      <c r="Z30" s="184"/>
      <c r="AA30" s="378"/>
      <c r="AB30" s="379"/>
      <c r="AC30" s="379"/>
      <c r="AD30" s="379"/>
      <c r="AE30" s="379"/>
      <c r="AF30" s="379"/>
      <c r="AG30" s="379"/>
      <c r="AH30" s="379"/>
      <c r="AI30" s="379"/>
      <c r="AJ30" s="55"/>
    </row>
    <row r="31" spans="6:36">
      <c r="F31" s="54"/>
      <c r="G31" s="385"/>
      <c r="H31" s="395"/>
      <c r="I31" s="395"/>
      <c r="J31" s="169"/>
      <c r="K31" s="169"/>
      <c r="L31" s="169"/>
      <c r="M31" s="388"/>
      <c r="N31" s="378"/>
      <c r="O31" s="184"/>
      <c r="P31" s="184"/>
      <c r="Q31" s="184"/>
      <c r="R31" s="184"/>
      <c r="S31" s="184"/>
      <c r="T31" s="174"/>
      <c r="U31" s="184"/>
      <c r="V31" s="184"/>
      <c r="W31" s="184"/>
      <c r="X31" s="184"/>
      <c r="Y31" s="184"/>
      <c r="Z31" s="184"/>
      <c r="AA31" s="378"/>
      <c r="AB31" s="379"/>
      <c r="AC31" s="379"/>
      <c r="AD31" s="379"/>
      <c r="AE31" s="379"/>
      <c r="AF31" s="379"/>
      <c r="AG31" s="379"/>
      <c r="AH31" s="379"/>
      <c r="AI31" s="379"/>
      <c r="AJ31" s="55"/>
    </row>
    <row r="32" spans="6:36" ht="14.25" customHeight="1">
      <c r="F32" s="54"/>
      <c r="G32" s="385"/>
      <c r="H32" s="395"/>
      <c r="I32" s="395"/>
      <c r="J32" s="169"/>
      <c r="K32" s="169"/>
      <c r="L32" s="169"/>
      <c r="M32" s="388"/>
      <c r="N32" s="378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378"/>
      <c r="AB32" s="381" t="s">
        <v>572</v>
      </c>
      <c r="AC32" s="381" t="s">
        <v>573</v>
      </c>
      <c r="AD32" s="381"/>
      <c r="AE32" s="381"/>
      <c r="AF32" s="381"/>
      <c r="AG32" s="381">
        <v>28</v>
      </c>
      <c r="AH32" s="381" t="s">
        <v>544</v>
      </c>
      <c r="AI32" s="381" t="s">
        <v>542</v>
      </c>
      <c r="AJ32" s="55"/>
    </row>
    <row r="33" spans="6:36">
      <c r="F33" s="54"/>
      <c r="G33" s="385"/>
      <c r="H33" s="395"/>
      <c r="I33" s="395"/>
      <c r="J33" s="169"/>
      <c r="K33" s="169"/>
      <c r="L33" s="169"/>
      <c r="M33" s="388"/>
      <c r="N33" s="378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378"/>
      <c r="AB33" s="382"/>
      <c r="AC33" s="382"/>
      <c r="AD33" s="382"/>
      <c r="AE33" s="382"/>
      <c r="AF33" s="382"/>
      <c r="AG33" s="382"/>
      <c r="AH33" s="382" t="s">
        <v>574</v>
      </c>
      <c r="AI33" s="382" t="s">
        <v>571</v>
      </c>
      <c r="AJ33" s="55"/>
    </row>
    <row r="34" spans="6:36" ht="14.25" customHeight="1">
      <c r="F34" s="54"/>
      <c r="G34" s="385"/>
      <c r="H34" s="395"/>
      <c r="I34" s="395"/>
      <c r="J34" s="169"/>
      <c r="K34" s="169"/>
      <c r="L34" s="169"/>
      <c r="M34" s="388"/>
      <c r="N34" s="378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378"/>
      <c r="AB34" s="382"/>
      <c r="AC34" s="382"/>
      <c r="AD34" s="382"/>
      <c r="AE34" s="382"/>
      <c r="AF34" s="382"/>
      <c r="AG34" s="382"/>
      <c r="AH34" s="382"/>
      <c r="AI34" s="382"/>
      <c r="AJ34" s="55"/>
    </row>
    <row r="35" spans="6:36" ht="12.75" customHeight="1">
      <c r="F35" s="54"/>
      <c r="G35" s="385"/>
      <c r="H35" s="395"/>
      <c r="I35" s="395"/>
      <c r="J35" s="169"/>
      <c r="K35" s="169"/>
      <c r="L35" s="169"/>
      <c r="M35" s="388"/>
      <c r="N35" s="378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378"/>
      <c r="AB35" s="382"/>
      <c r="AC35" s="382"/>
      <c r="AD35" s="382"/>
      <c r="AE35" s="382"/>
      <c r="AF35" s="382"/>
      <c r="AG35" s="382"/>
      <c r="AH35" s="382"/>
      <c r="AI35" s="382"/>
      <c r="AJ35" s="55"/>
    </row>
    <row r="36" spans="6:36">
      <c r="F36" s="56"/>
      <c r="G36" s="385"/>
      <c r="H36" s="395"/>
      <c r="I36" s="395"/>
      <c r="J36" s="169"/>
      <c r="K36" s="169"/>
      <c r="L36" s="169"/>
      <c r="M36" s="388"/>
      <c r="N36" s="378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378"/>
      <c r="AB36" s="382"/>
      <c r="AC36" s="382"/>
      <c r="AD36" s="382"/>
      <c r="AE36" s="382"/>
      <c r="AF36" s="382"/>
      <c r="AG36" s="382"/>
      <c r="AH36" s="382"/>
      <c r="AI36" s="382"/>
      <c r="AJ36" s="55"/>
    </row>
    <row r="37" spans="6:36" ht="14.25" customHeight="1">
      <c r="F37" s="54"/>
      <c r="G37" s="385"/>
      <c r="H37" s="395"/>
      <c r="I37" s="395"/>
      <c r="J37" s="169"/>
      <c r="K37" s="169"/>
      <c r="L37" s="169"/>
      <c r="M37" s="388"/>
      <c r="N37" s="378"/>
      <c r="O37" s="184"/>
      <c r="T37" s="184"/>
      <c r="U37" s="184"/>
      <c r="V37" s="184"/>
      <c r="W37" s="184"/>
      <c r="X37" s="184"/>
      <c r="Y37" s="184"/>
      <c r="Z37" s="184"/>
      <c r="AA37" s="378"/>
      <c r="AB37" s="382"/>
      <c r="AC37" s="382"/>
      <c r="AD37" s="382"/>
      <c r="AE37" s="382"/>
      <c r="AF37" s="382"/>
      <c r="AG37" s="382"/>
      <c r="AH37" s="382"/>
      <c r="AI37" s="382"/>
      <c r="AJ37" s="200"/>
    </row>
    <row r="38" spans="6:36" ht="14.25" customHeight="1">
      <c r="F38" s="54"/>
      <c r="G38" s="385"/>
      <c r="H38" s="395"/>
      <c r="I38" s="395"/>
      <c r="J38" s="169"/>
      <c r="K38" s="169"/>
      <c r="L38" s="169"/>
      <c r="M38" s="388"/>
      <c r="N38" s="378"/>
      <c r="O38" s="57"/>
      <c r="V38" s="184"/>
      <c r="W38" s="184"/>
      <c r="X38" s="184"/>
      <c r="Y38" s="184"/>
      <c r="Z38" s="184"/>
      <c r="AA38" s="378"/>
      <c r="AB38" s="382"/>
      <c r="AC38" s="382"/>
      <c r="AD38" s="382"/>
      <c r="AE38" s="382"/>
      <c r="AF38" s="382"/>
      <c r="AG38" s="382"/>
      <c r="AH38" s="382"/>
      <c r="AI38" s="382"/>
      <c r="AJ38" s="55"/>
    </row>
    <row r="39" spans="6:36" ht="16.5" customHeight="1">
      <c r="F39" s="54"/>
      <c r="G39" s="385"/>
      <c r="H39" s="395"/>
      <c r="I39" s="395"/>
      <c r="J39" s="169"/>
      <c r="K39" s="169"/>
      <c r="L39" s="169"/>
      <c r="M39" s="388"/>
      <c r="N39" s="378"/>
      <c r="O39" s="184"/>
      <c r="V39" s="184"/>
      <c r="W39" s="184"/>
      <c r="X39" s="184"/>
      <c r="Y39" s="184"/>
      <c r="Z39" s="184"/>
      <c r="AA39" s="378"/>
      <c r="AB39" s="382"/>
      <c r="AC39" s="382"/>
      <c r="AD39" s="382"/>
      <c r="AE39" s="382"/>
      <c r="AF39" s="382"/>
      <c r="AG39" s="382"/>
      <c r="AH39" s="382"/>
      <c r="AI39" s="382"/>
      <c r="AJ39" s="55"/>
    </row>
    <row r="40" spans="6:36" ht="14.25" customHeight="1">
      <c r="F40" s="54"/>
      <c r="G40" s="385"/>
      <c r="H40" s="395"/>
      <c r="I40" s="395"/>
      <c r="J40" s="169"/>
      <c r="K40" s="169"/>
      <c r="L40" s="169"/>
      <c r="M40" s="388"/>
      <c r="N40" s="378"/>
      <c r="O40" s="184"/>
      <c r="V40" s="184"/>
      <c r="W40" s="184"/>
      <c r="X40" s="184"/>
      <c r="Y40" s="184"/>
      <c r="Z40" s="184"/>
      <c r="AA40" s="378"/>
      <c r="AB40" s="382"/>
      <c r="AC40" s="382"/>
      <c r="AD40" s="382"/>
      <c r="AE40" s="382"/>
      <c r="AF40" s="382"/>
      <c r="AG40" s="382"/>
      <c r="AH40" s="382"/>
      <c r="AI40" s="382"/>
      <c r="AJ40" s="55"/>
    </row>
    <row r="41" spans="6:36">
      <c r="F41" s="54"/>
      <c r="G41" s="385"/>
      <c r="H41" s="395"/>
      <c r="I41" s="395"/>
      <c r="J41" s="169"/>
      <c r="K41" s="169"/>
      <c r="L41" s="169"/>
      <c r="M41" s="388"/>
      <c r="N41" s="378"/>
      <c r="O41" s="199">
        <f>SUM(I22:I61)</f>
        <v>62</v>
      </c>
      <c r="Q41" s="173"/>
      <c r="R41" s="173"/>
      <c r="T41" s="84">
        <f>SUM(T26+O41+T59+Z41)</f>
        <v>244</v>
      </c>
      <c r="V41" s="184"/>
      <c r="W41" s="184"/>
      <c r="X41" s="184"/>
      <c r="Y41" s="171"/>
      <c r="Z41" s="184">
        <f>SUM(AG22:AG65)</f>
        <v>67</v>
      </c>
      <c r="AA41" s="378"/>
      <c r="AB41" s="382"/>
      <c r="AC41" s="382"/>
      <c r="AD41" s="382"/>
      <c r="AE41" s="382"/>
      <c r="AF41" s="382"/>
      <c r="AG41" s="382"/>
      <c r="AH41" s="382"/>
      <c r="AI41" s="382"/>
      <c r="AJ41" s="55"/>
    </row>
    <row r="42" spans="6:36">
      <c r="F42" s="54"/>
      <c r="G42" s="385"/>
      <c r="H42" s="395"/>
      <c r="I42" s="395"/>
      <c r="J42" s="169"/>
      <c r="K42" s="169"/>
      <c r="L42" s="169"/>
      <c r="M42" s="388"/>
      <c r="N42" s="378"/>
      <c r="O42" s="184"/>
      <c r="P42" s="184"/>
      <c r="Q42" s="184"/>
      <c r="V42" s="184"/>
      <c r="W42" s="184"/>
      <c r="X42" s="184"/>
      <c r="Y42" s="171"/>
      <c r="Z42" s="184"/>
      <c r="AA42" s="378"/>
      <c r="AB42" s="383"/>
      <c r="AC42" s="383"/>
      <c r="AD42" s="383"/>
      <c r="AE42" s="383"/>
      <c r="AF42" s="383"/>
      <c r="AG42" s="383"/>
      <c r="AH42" s="383"/>
      <c r="AI42" s="383"/>
      <c r="AJ42" s="55"/>
    </row>
    <row r="43" spans="6:36">
      <c r="F43" s="54"/>
      <c r="G43" s="385"/>
      <c r="H43" s="395"/>
      <c r="I43" s="395"/>
      <c r="J43" s="169"/>
      <c r="K43" s="169"/>
      <c r="L43" s="169"/>
      <c r="M43" s="388"/>
      <c r="N43" s="378"/>
      <c r="O43" s="184"/>
      <c r="P43" s="184"/>
      <c r="Q43" s="184"/>
      <c r="V43" s="184"/>
      <c r="W43" s="184"/>
      <c r="X43" s="184"/>
      <c r="Y43" s="184"/>
      <c r="Z43" s="184"/>
      <c r="AA43" s="378"/>
      <c r="AB43" s="379" t="s">
        <v>575</v>
      </c>
      <c r="AC43" s="379"/>
      <c r="AD43" s="379" t="s">
        <v>576</v>
      </c>
      <c r="AE43" s="379"/>
      <c r="AF43" s="379"/>
      <c r="AG43" s="379">
        <v>19</v>
      </c>
      <c r="AH43" s="379" t="s">
        <v>544</v>
      </c>
      <c r="AI43" s="379" t="s">
        <v>542</v>
      </c>
      <c r="AJ43" s="55"/>
    </row>
    <row r="44" spans="6:36">
      <c r="F44" s="54"/>
      <c r="G44" s="385"/>
      <c r="H44" s="395"/>
      <c r="I44" s="395"/>
      <c r="J44" s="169"/>
      <c r="K44" s="169"/>
      <c r="L44" s="169"/>
      <c r="M44" s="388"/>
      <c r="N44" s="378"/>
      <c r="O44" s="184"/>
      <c r="Q44" s="185"/>
      <c r="S44" s="176"/>
      <c r="W44" s="184"/>
      <c r="X44" s="184"/>
      <c r="Y44" s="175"/>
      <c r="Z44" s="184"/>
      <c r="AA44" s="378"/>
      <c r="AB44" s="379"/>
      <c r="AC44" s="379"/>
      <c r="AD44" s="379"/>
      <c r="AE44" s="379"/>
      <c r="AF44" s="379"/>
      <c r="AG44" s="379"/>
      <c r="AH44" s="379"/>
      <c r="AI44" s="379"/>
      <c r="AJ44" s="55"/>
    </row>
    <row r="45" spans="6:36">
      <c r="F45" s="54"/>
      <c r="G45" s="385"/>
      <c r="H45" s="395"/>
      <c r="I45" s="395"/>
      <c r="J45" s="169"/>
      <c r="K45" s="169"/>
      <c r="L45" s="169"/>
      <c r="M45" s="388"/>
      <c r="N45" s="378"/>
      <c r="O45" s="184"/>
      <c r="W45" s="184"/>
      <c r="X45" s="184"/>
      <c r="Y45" s="184"/>
      <c r="Z45" s="184"/>
      <c r="AA45" s="378"/>
      <c r="AB45" s="379"/>
      <c r="AC45" s="379"/>
      <c r="AD45" s="379"/>
      <c r="AE45" s="379"/>
      <c r="AF45" s="379"/>
      <c r="AG45" s="379"/>
      <c r="AH45" s="379"/>
      <c r="AI45" s="379"/>
      <c r="AJ45" s="55"/>
    </row>
    <row r="46" spans="6:36">
      <c r="F46" s="54"/>
      <c r="G46" s="385"/>
      <c r="H46" s="395"/>
      <c r="I46" s="395"/>
      <c r="J46" s="169"/>
      <c r="K46" s="169"/>
      <c r="L46" s="169"/>
      <c r="M46" s="388"/>
      <c r="N46" s="378"/>
      <c r="O46" s="184"/>
      <c r="W46" s="184"/>
      <c r="X46" s="184"/>
      <c r="Y46" s="184"/>
      <c r="Z46" s="184"/>
      <c r="AA46" s="378"/>
      <c r="AB46" s="379"/>
      <c r="AC46" s="379"/>
      <c r="AD46" s="379"/>
      <c r="AE46" s="379"/>
      <c r="AF46" s="379"/>
      <c r="AG46" s="379"/>
      <c r="AH46" s="379"/>
      <c r="AI46" s="379"/>
      <c r="AJ46" s="55"/>
    </row>
    <row r="47" spans="6:36">
      <c r="F47" s="54"/>
      <c r="G47" s="385"/>
      <c r="H47" s="395"/>
      <c r="I47" s="395"/>
      <c r="J47" s="169"/>
      <c r="K47" s="169"/>
      <c r="L47" s="169"/>
      <c r="M47" s="388"/>
      <c r="N47" s="378"/>
      <c r="O47" s="184"/>
      <c r="P47" s="184"/>
      <c r="Q47" s="184"/>
      <c r="R47" s="184"/>
      <c r="S47" s="184"/>
      <c r="T47" s="171"/>
      <c r="U47" s="184"/>
      <c r="V47" s="184"/>
      <c r="W47" s="184"/>
      <c r="X47" s="184"/>
      <c r="Y47" s="184"/>
      <c r="Z47" s="184"/>
      <c r="AA47" s="378"/>
      <c r="AB47" s="379"/>
      <c r="AC47" s="379"/>
      <c r="AD47" s="379"/>
      <c r="AE47" s="379"/>
      <c r="AF47" s="379"/>
      <c r="AG47" s="379"/>
      <c r="AH47" s="379"/>
      <c r="AI47" s="379"/>
      <c r="AJ47" s="55"/>
    </row>
    <row r="48" spans="6:36" ht="14.25" customHeight="1">
      <c r="F48" s="54"/>
      <c r="G48" s="385"/>
      <c r="H48" s="395"/>
      <c r="I48" s="395"/>
      <c r="J48" s="169"/>
      <c r="K48" s="170"/>
      <c r="L48" s="169"/>
      <c r="M48" s="388"/>
      <c r="N48" s="378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378"/>
      <c r="AB48" s="380" t="s">
        <v>577</v>
      </c>
      <c r="AC48" s="380" t="s">
        <v>578</v>
      </c>
      <c r="AD48" s="380" t="s">
        <v>547</v>
      </c>
      <c r="AE48" s="380"/>
      <c r="AF48" s="380"/>
      <c r="AG48" s="380">
        <v>8</v>
      </c>
      <c r="AH48" s="380" t="s">
        <v>544</v>
      </c>
      <c r="AI48" s="380" t="s">
        <v>542</v>
      </c>
      <c r="AJ48" s="55"/>
    </row>
    <row r="49" spans="6:36">
      <c r="F49" s="54"/>
      <c r="G49" s="385"/>
      <c r="H49" s="395"/>
      <c r="I49" s="395"/>
      <c r="J49" s="169"/>
      <c r="K49" s="170"/>
      <c r="L49" s="170"/>
      <c r="M49" s="388"/>
      <c r="N49" s="378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378"/>
      <c r="AB49" s="380"/>
      <c r="AC49" s="380"/>
      <c r="AD49" s="380"/>
      <c r="AE49" s="380"/>
      <c r="AF49" s="380"/>
      <c r="AG49" s="380"/>
      <c r="AH49" s="380"/>
      <c r="AI49" s="380"/>
      <c r="AJ49" s="55"/>
    </row>
    <row r="50" spans="6:36">
      <c r="F50" s="54"/>
      <c r="G50" s="385"/>
      <c r="H50" s="395"/>
      <c r="I50" s="395"/>
      <c r="J50" s="169"/>
      <c r="K50" s="169"/>
      <c r="L50" s="169"/>
      <c r="M50" s="388"/>
      <c r="N50" s="182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2"/>
      <c r="AB50" s="380"/>
      <c r="AC50" s="380"/>
      <c r="AD50" s="380"/>
      <c r="AE50" s="380"/>
      <c r="AF50" s="380"/>
      <c r="AG50" s="380"/>
      <c r="AH50" s="380"/>
      <c r="AI50" s="380"/>
      <c r="AJ50" s="55"/>
    </row>
    <row r="51" spans="6:36">
      <c r="F51" s="54"/>
      <c r="G51" s="385"/>
      <c r="H51" s="395"/>
      <c r="I51" s="395"/>
      <c r="J51" s="169"/>
      <c r="K51" s="169"/>
      <c r="L51" s="170"/>
      <c r="M51" s="388"/>
      <c r="N51" s="182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2"/>
      <c r="AB51" s="380"/>
      <c r="AC51" s="380"/>
      <c r="AD51" s="380"/>
      <c r="AE51" s="380"/>
      <c r="AF51" s="380"/>
      <c r="AG51" s="380"/>
      <c r="AH51" s="380"/>
      <c r="AI51" s="380"/>
      <c r="AJ51" s="55"/>
    </row>
    <row r="52" spans="6:36">
      <c r="F52" s="54"/>
      <c r="G52" s="385"/>
      <c r="H52" s="395"/>
      <c r="I52" s="395"/>
      <c r="J52" s="169"/>
      <c r="K52" s="169"/>
      <c r="L52" s="170"/>
      <c r="M52" s="388"/>
      <c r="N52" s="182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2"/>
      <c r="AB52" s="380"/>
      <c r="AC52" s="380"/>
      <c r="AD52" s="380"/>
      <c r="AE52" s="380"/>
      <c r="AF52" s="380"/>
      <c r="AG52" s="380"/>
      <c r="AH52" s="380"/>
      <c r="AI52" s="380"/>
      <c r="AJ52" s="55"/>
    </row>
    <row r="53" spans="6:36">
      <c r="F53" s="54"/>
      <c r="G53" s="385"/>
      <c r="H53" s="395"/>
      <c r="I53" s="395"/>
      <c r="J53" s="169"/>
      <c r="K53" s="169"/>
      <c r="L53" s="170"/>
      <c r="M53" s="388"/>
      <c r="N53" s="182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2"/>
      <c r="AB53" s="380"/>
      <c r="AC53" s="380"/>
      <c r="AD53" s="380"/>
      <c r="AE53" s="380"/>
      <c r="AF53" s="380"/>
      <c r="AG53" s="380"/>
      <c r="AH53" s="380"/>
      <c r="AI53" s="380"/>
      <c r="AJ53" s="55"/>
    </row>
    <row r="54" spans="6:36">
      <c r="F54" s="54"/>
      <c r="G54" s="385"/>
      <c r="H54" s="395"/>
      <c r="I54" s="395"/>
      <c r="J54" s="169"/>
      <c r="K54" s="169"/>
      <c r="L54" s="170"/>
      <c r="M54" s="388"/>
      <c r="N54" s="182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  <c r="Z54" s="184"/>
      <c r="AA54" s="182"/>
      <c r="AB54" s="380"/>
      <c r="AC54" s="380"/>
      <c r="AD54" s="380"/>
      <c r="AE54" s="380"/>
      <c r="AF54" s="380"/>
      <c r="AG54" s="380"/>
      <c r="AH54" s="380"/>
      <c r="AI54" s="380"/>
      <c r="AJ54" s="55"/>
    </row>
    <row r="55" spans="6:36">
      <c r="F55" s="54"/>
      <c r="G55" s="385"/>
      <c r="H55" s="395"/>
      <c r="I55" s="395"/>
      <c r="J55" s="169"/>
      <c r="K55" s="169"/>
      <c r="L55" s="169"/>
      <c r="M55" s="388"/>
      <c r="N55" s="182"/>
      <c r="O55" s="184"/>
      <c r="P55" s="184"/>
      <c r="Q55" s="184"/>
      <c r="R55" s="184"/>
      <c r="S55" s="184"/>
      <c r="T55" s="175"/>
      <c r="U55" s="184"/>
      <c r="V55" s="184"/>
      <c r="W55" s="184"/>
      <c r="X55" s="184"/>
      <c r="Y55" s="184"/>
      <c r="Z55" s="184"/>
      <c r="AA55" s="182"/>
      <c r="AB55" s="379" t="s">
        <v>579</v>
      </c>
      <c r="AC55" s="379"/>
      <c r="AD55" s="379"/>
      <c r="AE55" s="379"/>
      <c r="AF55" s="379"/>
      <c r="AG55" s="379">
        <v>6</v>
      </c>
      <c r="AH55" s="379" t="s">
        <v>544</v>
      </c>
      <c r="AI55" s="379" t="s">
        <v>542</v>
      </c>
      <c r="AJ55" s="55"/>
    </row>
    <row r="56" spans="6:36">
      <c r="F56" s="54"/>
      <c r="G56" s="385"/>
      <c r="H56" s="395"/>
      <c r="I56" s="395"/>
      <c r="J56" s="169"/>
      <c r="K56" s="169"/>
      <c r="L56" s="170"/>
      <c r="M56" s="388"/>
      <c r="N56" s="182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2"/>
      <c r="AB56" s="379"/>
      <c r="AC56" s="379"/>
      <c r="AD56" s="379"/>
      <c r="AE56" s="379"/>
      <c r="AF56" s="379"/>
      <c r="AG56" s="379"/>
      <c r="AH56" s="379"/>
      <c r="AI56" s="379"/>
      <c r="AJ56" s="55"/>
    </row>
    <row r="57" spans="6:36">
      <c r="F57" s="54"/>
      <c r="G57" s="385"/>
      <c r="H57" s="395"/>
      <c r="I57" s="395"/>
      <c r="J57" s="169"/>
      <c r="K57" s="169"/>
      <c r="L57" s="170"/>
      <c r="M57" s="388"/>
      <c r="N57" s="182"/>
      <c r="O57" s="184"/>
      <c r="P57" s="184"/>
      <c r="Q57" s="184"/>
      <c r="S57" s="184"/>
      <c r="T57" s="171"/>
      <c r="U57" s="171"/>
      <c r="V57" s="171"/>
      <c r="W57" s="171"/>
      <c r="X57" s="172"/>
      <c r="Y57" s="184"/>
      <c r="Z57" s="184"/>
      <c r="AA57" s="182"/>
      <c r="AB57" s="379"/>
      <c r="AC57" s="379"/>
      <c r="AD57" s="379"/>
      <c r="AE57" s="379"/>
      <c r="AF57" s="379"/>
      <c r="AG57" s="379"/>
      <c r="AH57" s="379"/>
      <c r="AI57" s="379"/>
      <c r="AJ57" s="55"/>
    </row>
    <row r="58" spans="6:36">
      <c r="F58" s="54"/>
      <c r="G58" s="385"/>
      <c r="H58" s="395"/>
      <c r="I58" s="395"/>
      <c r="J58" s="169"/>
      <c r="K58" s="169"/>
      <c r="L58" s="170"/>
      <c r="M58" s="388"/>
      <c r="N58" s="182"/>
      <c r="O58" s="184"/>
      <c r="P58" s="184"/>
      <c r="Q58" s="184"/>
      <c r="S58" s="184"/>
      <c r="T58" s="184"/>
      <c r="U58" s="184"/>
      <c r="V58" s="184"/>
      <c r="W58" s="184"/>
      <c r="X58" s="184"/>
      <c r="Y58" s="184"/>
      <c r="Z58" s="184"/>
      <c r="AA58" s="182"/>
      <c r="AB58" s="379"/>
      <c r="AC58" s="379"/>
      <c r="AD58" s="379"/>
      <c r="AE58" s="379"/>
      <c r="AF58" s="379"/>
      <c r="AG58" s="379"/>
      <c r="AH58" s="379"/>
      <c r="AI58" s="379"/>
      <c r="AJ58" s="55"/>
    </row>
    <row r="59" spans="6:36">
      <c r="F59" s="54"/>
      <c r="G59" s="386"/>
      <c r="H59" s="396"/>
      <c r="I59" s="396"/>
      <c r="J59" s="169"/>
      <c r="K59" s="169"/>
      <c r="L59" s="169"/>
      <c r="M59" s="389"/>
      <c r="N59" s="182"/>
      <c r="O59" s="184"/>
      <c r="P59" s="184"/>
      <c r="Q59" s="184"/>
      <c r="R59" s="184"/>
      <c r="S59" s="184"/>
      <c r="T59" s="199">
        <f>SUM(O65:Z65)</f>
        <v>55</v>
      </c>
      <c r="U59" s="184"/>
      <c r="V59" s="184"/>
      <c r="W59" s="184"/>
      <c r="X59" s="184"/>
      <c r="Y59" s="184"/>
      <c r="Z59" s="184"/>
      <c r="AA59" s="182"/>
      <c r="AB59" s="379"/>
      <c r="AC59" s="379"/>
      <c r="AD59" s="379"/>
      <c r="AE59" s="379"/>
      <c r="AF59" s="379"/>
      <c r="AG59" s="379"/>
      <c r="AH59" s="379"/>
      <c r="AI59" s="379"/>
      <c r="AJ59" s="55"/>
    </row>
    <row r="60" spans="6:36">
      <c r="F60" s="54"/>
      <c r="G60" s="184"/>
      <c r="H60" s="184"/>
      <c r="I60" s="184"/>
      <c r="J60" s="184"/>
      <c r="K60" s="184"/>
      <c r="L60" s="184"/>
      <c r="M60" s="184"/>
      <c r="N60" s="184"/>
      <c r="O60" s="372" t="s">
        <v>580</v>
      </c>
      <c r="P60" s="372"/>
      <c r="Q60" s="372"/>
      <c r="R60" s="372"/>
      <c r="S60" s="372"/>
      <c r="T60" s="372"/>
      <c r="U60" s="372"/>
      <c r="V60" s="372"/>
      <c r="W60" s="372"/>
      <c r="X60" s="372"/>
      <c r="Y60" s="372"/>
      <c r="Z60" s="372"/>
      <c r="AA60" s="184"/>
      <c r="AB60" s="184"/>
      <c r="AC60" s="184"/>
      <c r="AD60" s="184"/>
      <c r="AE60" s="184"/>
      <c r="AF60" s="184"/>
      <c r="AG60" s="184"/>
      <c r="AH60" s="184"/>
      <c r="AI60" s="184"/>
      <c r="AJ60" s="55"/>
    </row>
    <row r="61" spans="6:36" ht="14.25" customHeight="1">
      <c r="F61" s="54"/>
      <c r="G61" s="184"/>
      <c r="H61" s="184"/>
      <c r="I61" s="184"/>
      <c r="J61" s="184"/>
      <c r="K61" s="184"/>
      <c r="L61" s="184"/>
      <c r="M61" s="184"/>
      <c r="N61" s="184"/>
      <c r="O61" s="179" t="s">
        <v>581</v>
      </c>
      <c r="P61" s="194" t="s">
        <v>582</v>
      </c>
      <c r="Q61" s="195" t="s">
        <v>583</v>
      </c>
      <c r="R61" s="195" t="s">
        <v>584</v>
      </c>
      <c r="S61" s="194" t="s">
        <v>585</v>
      </c>
      <c r="T61" s="194" t="s">
        <v>586</v>
      </c>
      <c r="U61" s="197" t="s">
        <v>587</v>
      </c>
      <c r="V61" s="196" t="s">
        <v>588</v>
      </c>
      <c r="W61" s="165" t="s">
        <v>589</v>
      </c>
      <c r="X61" s="177" t="s">
        <v>590</v>
      </c>
      <c r="Y61" s="357" t="s">
        <v>591</v>
      </c>
      <c r="Z61" s="358"/>
      <c r="AC61" s="184"/>
      <c r="AD61" s="184"/>
      <c r="AE61" s="184"/>
      <c r="AF61" s="184"/>
      <c r="AG61" s="184"/>
      <c r="AH61" s="184"/>
      <c r="AI61" s="184"/>
      <c r="AJ61" s="55"/>
    </row>
    <row r="62" spans="6:36" s="183" customFormat="1">
      <c r="F62" s="202"/>
      <c r="G62" s="203"/>
      <c r="H62" s="203"/>
      <c r="I62" s="203"/>
      <c r="J62" s="203"/>
      <c r="K62" s="203"/>
      <c r="L62" s="203"/>
      <c r="M62" s="203"/>
      <c r="N62" s="203"/>
      <c r="O62" s="204"/>
      <c r="P62" s="195" t="s">
        <v>592</v>
      </c>
      <c r="Q62" s="195" t="s">
        <v>592</v>
      </c>
      <c r="R62" s="195" t="s">
        <v>593</v>
      </c>
      <c r="S62" s="195" t="s">
        <v>594</v>
      </c>
      <c r="T62" s="195" t="s">
        <v>595</v>
      </c>
      <c r="U62" s="208" t="s">
        <v>596</v>
      </c>
      <c r="V62" s="205"/>
      <c r="W62" s="181" t="s">
        <v>597</v>
      </c>
      <c r="X62" s="177" t="s">
        <v>598</v>
      </c>
      <c r="Y62" s="357"/>
      <c r="Z62" s="358"/>
      <c r="AC62" s="203"/>
      <c r="AD62" s="203"/>
      <c r="AE62" s="203"/>
      <c r="AF62" s="203"/>
      <c r="AG62" s="203"/>
      <c r="AH62" s="203"/>
      <c r="AI62" s="203"/>
      <c r="AJ62" s="206"/>
    </row>
    <row r="63" spans="6:36">
      <c r="F63" s="54"/>
      <c r="G63" s="184"/>
      <c r="H63" s="184"/>
      <c r="I63" s="184"/>
      <c r="J63" s="184"/>
      <c r="K63" s="184"/>
      <c r="L63" s="184"/>
      <c r="M63" s="184"/>
      <c r="N63" s="184"/>
      <c r="O63" s="179"/>
      <c r="P63" s="197"/>
      <c r="Q63" s="194"/>
      <c r="R63" s="197"/>
      <c r="S63" s="197"/>
      <c r="T63" s="194" t="s">
        <v>599</v>
      </c>
      <c r="U63" s="197" t="s">
        <v>600</v>
      </c>
      <c r="V63" s="84"/>
      <c r="W63" s="178"/>
      <c r="X63" s="177" t="s">
        <v>601</v>
      </c>
      <c r="Y63" s="357"/>
      <c r="Z63" s="358"/>
      <c r="AC63" s="184"/>
      <c r="AD63" s="184"/>
      <c r="AE63" s="184"/>
      <c r="AF63" s="184"/>
      <c r="AG63" s="184"/>
      <c r="AH63" s="184"/>
      <c r="AI63" s="184"/>
      <c r="AJ63" s="55"/>
    </row>
    <row r="64" spans="6:36" ht="14.25" customHeight="1">
      <c r="F64" s="54"/>
      <c r="G64" s="184"/>
      <c r="H64" s="184"/>
      <c r="I64" s="184"/>
      <c r="J64" s="184"/>
      <c r="K64" s="184"/>
      <c r="L64" s="184"/>
      <c r="M64" s="184"/>
      <c r="N64" s="184"/>
      <c r="O64" s="179"/>
      <c r="P64" s="197"/>
      <c r="Q64" s="195"/>
      <c r="R64" s="195"/>
      <c r="S64" s="197"/>
      <c r="T64" s="195" t="s">
        <v>602</v>
      </c>
      <c r="U64" s="197"/>
      <c r="V64" s="84"/>
      <c r="W64" s="178"/>
      <c r="X64" s="177" t="s">
        <v>603</v>
      </c>
      <c r="Y64" s="357"/>
      <c r="Z64" s="358"/>
      <c r="AC64" s="184"/>
      <c r="AD64" s="184"/>
      <c r="AE64" s="184"/>
      <c r="AF64" s="184"/>
      <c r="AG64" s="184"/>
      <c r="AH64" s="184"/>
      <c r="AI64" s="184"/>
      <c r="AJ64" s="55"/>
    </row>
    <row r="65" spans="6:36">
      <c r="F65" s="54"/>
      <c r="G65" s="184"/>
      <c r="H65" s="184"/>
      <c r="I65" s="184"/>
      <c r="J65" s="184"/>
      <c r="K65" s="184"/>
      <c r="L65" s="184"/>
      <c r="M65" s="184"/>
      <c r="N65" s="184"/>
      <c r="O65" s="179">
        <v>2</v>
      </c>
      <c r="P65" s="197">
        <v>7</v>
      </c>
      <c r="Q65" s="197">
        <v>3</v>
      </c>
      <c r="R65" s="197">
        <v>2</v>
      </c>
      <c r="S65" s="197">
        <v>3</v>
      </c>
      <c r="T65" s="197">
        <v>14</v>
      </c>
      <c r="U65" s="197">
        <v>2</v>
      </c>
      <c r="V65" s="84"/>
      <c r="W65" s="178">
        <v>6</v>
      </c>
      <c r="X65" s="177">
        <v>6</v>
      </c>
      <c r="Y65" s="357">
        <v>10</v>
      </c>
      <c r="Z65" s="358"/>
      <c r="AG65" s="184"/>
      <c r="AH65" s="184"/>
      <c r="AI65" s="184"/>
      <c r="AJ65" s="55"/>
    </row>
    <row r="66" spans="6:36" ht="28.5" customHeight="1">
      <c r="F66" s="54"/>
      <c r="G66" s="184"/>
      <c r="H66" s="184"/>
      <c r="I66" s="184"/>
      <c r="J66" s="184"/>
      <c r="K66" s="184"/>
      <c r="L66" s="184"/>
      <c r="M66" s="184"/>
      <c r="N66" s="184"/>
      <c r="O66" s="179" t="s">
        <v>604</v>
      </c>
      <c r="P66" s="194" t="s">
        <v>605</v>
      </c>
      <c r="Q66" s="194" t="s">
        <v>605</v>
      </c>
      <c r="R66" s="194" t="s">
        <v>605</v>
      </c>
      <c r="S66" s="194" t="s">
        <v>605</v>
      </c>
      <c r="T66" s="194" t="s">
        <v>605</v>
      </c>
      <c r="U66" s="194" t="s">
        <v>606</v>
      </c>
      <c r="V66" s="84"/>
      <c r="W66" s="165" t="s">
        <v>605</v>
      </c>
      <c r="X66" s="177" t="s">
        <v>607</v>
      </c>
      <c r="Y66" s="359" t="s">
        <v>608</v>
      </c>
      <c r="Z66" s="360"/>
      <c r="AG66" s="184"/>
      <c r="AH66" s="184"/>
      <c r="AI66" s="184"/>
      <c r="AJ66" s="55"/>
    </row>
    <row r="67" spans="6:36">
      <c r="F67" s="54"/>
      <c r="G67" s="184"/>
      <c r="H67" s="184"/>
      <c r="I67" s="184"/>
      <c r="J67" s="184"/>
      <c r="K67" s="184"/>
      <c r="L67" s="184"/>
      <c r="M67" s="184"/>
      <c r="N67" s="184"/>
      <c r="O67" s="179" t="s">
        <v>609</v>
      </c>
      <c r="P67" s="194" t="s">
        <v>610</v>
      </c>
      <c r="Q67" s="194" t="s">
        <v>610</v>
      </c>
      <c r="R67" s="194" t="s">
        <v>610</v>
      </c>
      <c r="S67" s="194" t="s">
        <v>610</v>
      </c>
      <c r="T67" s="194" t="s">
        <v>610</v>
      </c>
      <c r="U67" s="194" t="s">
        <v>614</v>
      </c>
      <c r="V67" s="84"/>
      <c r="W67" s="165" t="s">
        <v>610</v>
      </c>
      <c r="X67" s="198" t="s">
        <v>611</v>
      </c>
      <c r="Y67" s="357" t="s">
        <v>612</v>
      </c>
      <c r="Z67" s="358"/>
      <c r="AG67" s="184"/>
      <c r="AH67" s="184"/>
      <c r="AI67" s="184"/>
      <c r="AJ67" s="55"/>
    </row>
    <row r="68" spans="6:36">
      <c r="F68" s="54"/>
      <c r="G68" s="184"/>
      <c r="H68" s="184"/>
      <c r="I68" s="184"/>
      <c r="J68" s="184"/>
      <c r="K68" s="184"/>
      <c r="L68" s="184"/>
      <c r="M68" s="184"/>
      <c r="N68" s="184"/>
      <c r="O68" s="184"/>
      <c r="P68" s="361" t="s">
        <v>613</v>
      </c>
      <c r="Q68" s="362"/>
      <c r="R68" s="362"/>
      <c r="S68" s="362"/>
      <c r="T68" s="362"/>
      <c r="U68" s="363"/>
      <c r="Z68" s="184"/>
      <c r="AA68" s="184"/>
      <c r="AB68" s="184"/>
      <c r="AG68" s="184"/>
      <c r="AH68" s="184"/>
      <c r="AI68" s="184"/>
      <c r="AJ68" s="55"/>
    </row>
    <row r="69" spans="6:36">
      <c r="F69" s="54"/>
      <c r="G69" s="184"/>
      <c r="H69" s="184"/>
      <c r="I69" s="184"/>
      <c r="J69" s="184"/>
      <c r="K69" s="184"/>
      <c r="L69" s="184"/>
      <c r="M69" s="184"/>
      <c r="N69" s="184"/>
      <c r="O69" s="199"/>
      <c r="P69" s="364"/>
      <c r="Q69" s="365"/>
      <c r="R69" s="365"/>
      <c r="S69" s="365"/>
      <c r="T69" s="365"/>
      <c r="U69" s="366"/>
      <c r="Z69" s="184"/>
      <c r="AA69" s="184"/>
      <c r="AB69" s="184"/>
      <c r="AG69" s="184"/>
      <c r="AH69" s="184"/>
      <c r="AI69" s="184"/>
      <c r="AJ69" s="55"/>
    </row>
    <row r="70" spans="6:36" ht="14.25" customHeight="1">
      <c r="F70" s="54"/>
      <c r="G70" s="184"/>
      <c r="H70" s="184"/>
      <c r="I70" s="184"/>
      <c r="J70" s="184"/>
      <c r="K70" s="184"/>
      <c r="L70" s="184"/>
      <c r="M70" s="184"/>
      <c r="N70" s="184"/>
      <c r="Y70" s="209"/>
      <c r="Z70" s="209"/>
      <c r="AA70" s="193"/>
      <c r="AB70" s="184"/>
      <c r="AG70" s="184"/>
      <c r="AH70" s="184"/>
      <c r="AI70" s="184"/>
      <c r="AJ70" s="55"/>
    </row>
    <row r="71" spans="6:36">
      <c r="Y71" s="209"/>
      <c r="Z71" s="209"/>
      <c r="AA71" s="193"/>
    </row>
    <row r="72" spans="6:36">
      <c r="Y72" s="209"/>
      <c r="Z72" s="209"/>
      <c r="AA72" s="193"/>
    </row>
    <row r="73" spans="6:36" ht="14.25" customHeight="1">
      <c r="Y73" s="209"/>
      <c r="Z73" s="209"/>
      <c r="AA73" s="193"/>
    </row>
    <row r="74" spans="6:36">
      <c r="K74" s="147"/>
      <c r="L74" s="163"/>
      <c r="M74" s="147"/>
      <c r="N74" s="147"/>
      <c r="Y74" s="209"/>
      <c r="Z74" s="209"/>
      <c r="AA74" s="193"/>
    </row>
    <row r="75" spans="6:36">
      <c r="H75" s="147"/>
      <c r="I75" s="147"/>
      <c r="J75" s="147"/>
      <c r="N75" s="147"/>
      <c r="Y75" s="209"/>
      <c r="Z75" s="209"/>
      <c r="AA75" s="193"/>
    </row>
    <row r="76" spans="6:36">
      <c r="H76" s="147"/>
      <c r="I76" s="147"/>
      <c r="J76" s="147"/>
      <c r="N76" s="147"/>
      <c r="Y76" s="209"/>
      <c r="Z76" s="209"/>
      <c r="AA76" s="193"/>
    </row>
    <row r="77" spans="6:36" ht="14.25" customHeight="1">
      <c r="H77" s="147"/>
      <c r="I77" s="147"/>
      <c r="J77" s="147"/>
      <c r="N77" s="147"/>
      <c r="O77" s="147"/>
      <c r="P77" s="147"/>
      <c r="W77" s="201"/>
    </row>
    <row r="78" spans="6:36">
      <c r="H78" s="147"/>
      <c r="I78" s="147"/>
      <c r="J78" s="147"/>
      <c r="N78" s="147"/>
      <c r="O78" s="147"/>
      <c r="P78" s="147"/>
      <c r="W78" s="201"/>
    </row>
    <row r="79" spans="6:36">
      <c r="H79" s="147"/>
      <c r="I79" s="147"/>
      <c r="J79" s="147"/>
      <c r="K79" s="147"/>
      <c r="L79" s="147"/>
      <c r="M79" s="164"/>
      <c r="N79" s="147"/>
      <c r="O79" s="147"/>
      <c r="P79" s="147"/>
      <c r="W79" s="12"/>
    </row>
    <row r="80" spans="6:36">
      <c r="W80" s="201"/>
    </row>
    <row r="81" spans="23:23">
      <c r="W81" s="201"/>
    </row>
    <row r="82" spans="23:23" ht="14.25" customHeight="1"/>
    <row r="87" spans="23:23" ht="14.25" customHeight="1"/>
    <row r="115" ht="42.75" customHeight="1"/>
    <row r="119" ht="14.25" customHeight="1"/>
  </sheetData>
  <mergeCells count="80">
    <mergeCell ref="AE32:AE42"/>
    <mergeCell ref="AF32:AF42"/>
    <mergeCell ref="AH26:AH31"/>
    <mergeCell ref="AI26:AI31"/>
    <mergeCell ref="AE26:AE31"/>
    <mergeCell ref="AF26:AF31"/>
    <mergeCell ref="AG26:AG31"/>
    <mergeCell ref="AG32:AG42"/>
    <mergeCell ref="AH32:AH42"/>
    <mergeCell ref="AI32:AI42"/>
    <mergeCell ref="AI43:AI47"/>
    <mergeCell ref="AD55:AD59"/>
    <mergeCell ref="AE55:AE59"/>
    <mergeCell ref="AF55:AF59"/>
    <mergeCell ref="AG55:AG59"/>
    <mergeCell ref="AH55:AH59"/>
    <mergeCell ref="AE48:AE54"/>
    <mergeCell ref="AF48:AF54"/>
    <mergeCell ref="AG48:AG54"/>
    <mergeCell ref="AH48:AH54"/>
    <mergeCell ref="AI48:AI54"/>
    <mergeCell ref="AI55:AI59"/>
    <mergeCell ref="AE43:AE47"/>
    <mergeCell ref="AF43:AF47"/>
    <mergeCell ref="AG43:AG47"/>
    <mergeCell ref="AH43:AH47"/>
    <mergeCell ref="AB55:AB59"/>
    <mergeCell ref="AC55:AC59"/>
    <mergeCell ref="AD48:AD54"/>
    <mergeCell ref="H26:H59"/>
    <mergeCell ref="I26:I59"/>
    <mergeCell ref="AC43:AC47"/>
    <mergeCell ref="AC48:AC54"/>
    <mergeCell ref="AC32:AC42"/>
    <mergeCell ref="AC26:AC31"/>
    <mergeCell ref="AD43:AD47"/>
    <mergeCell ref="AD32:AD42"/>
    <mergeCell ref="AD26:AD31"/>
    <mergeCell ref="G26:G59"/>
    <mergeCell ref="M26:M59"/>
    <mergeCell ref="N26:N49"/>
    <mergeCell ref="O17:P17"/>
    <mergeCell ref="O22:P22"/>
    <mergeCell ref="O23:P23"/>
    <mergeCell ref="O24:P24"/>
    <mergeCell ref="O25:Z25"/>
    <mergeCell ref="O18:P18"/>
    <mergeCell ref="O19:P19"/>
    <mergeCell ref="O21:P21"/>
    <mergeCell ref="U17:Z17"/>
    <mergeCell ref="U18:Z18"/>
    <mergeCell ref="U19:Z19"/>
    <mergeCell ref="U21:Z21"/>
    <mergeCell ref="U22:Z22"/>
    <mergeCell ref="Q17:T17"/>
    <mergeCell ref="AA26:AA49"/>
    <mergeCell ref="AB43:AB47"/>
    <mergeCell ref="AB48:AB54"/>
    <mergeCell ref="AB32:AB42"/>
    <mergeCell ref="AB26:AB31"/>
    <mergeCell ref="Q18:T18"/>
    <mergeCell ref="Q19:T19"/>
    <mergeCell ref="Q20:T20"/>
    <mergeCell ref="Q21:T21"/>
    <mergeCell ref="Q22:T22"/>
    <mergeCell ref="O20:P20"/>
    <mergeCell ref="U20:Z20"/>
    <mergeCell ref="Y61:Z61"/>
    <mergeCell ref="Y62:Z62"/>
    <mergeCell ref="Y63:Z63"/>
    <mergeCell ref="O60:Z60"/>
    <mergeCell ref="Q23:T23"/>
    <mergeCell ref="Q24:T24"/>
    <mergeCell ref="U23:Z23"/>
    <mergeCell ref="U24:Z24"/>
    <mergeCell ref="Y64:Z64"/>
    <mergeCell ref="Y65:Z65"/>
    <mergeCell ref="Y66:Z66"/>
    <mergeCell ref="Y67:Z67"/>
    <mergeCell ref="P68:U69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.2" customHeight="1">
      <c r="A1" s="14" t="s">
        <v>14</v>
      </c>
      <c r="B1" s="14" t="s">
        <v>15</v>
      </c>
      <c r="C1" s="14" t="s">
        <v>18</v>
      </c>
      <c r="D1" s="14" t="s">
        <v>17</v>
      </c>
      <c r="E1" s="14" t="s">
        <v>16</v>
      </c>
      <c r="F1" s="14" t="s">
        <v>19</v>
      </c>
    </row>
    <row r="2" spans="1:6">
      <c r="A2" s="25"/>
      <c r="B2" s="25"/>
      <c r="C2" s="25"/>
      <c r="D2" s="25"/>
      <c r="E2" s="25"/>
      <c r="F2" s="25"/>
    </row>
    <row r="3" spans="1:6">
      <c r="A3" s="37"/>
      <c r="B3" s="37"/>
      <c r="C3" s="40"/>
      <c r="D3" s="37"/>
      <c r="E3" s="37"/>
      <c r="F3" s="33"/>
    </row>
    <row r="4" spans="1:6">
      <c r="A4" s="37"/>
      <c r="B4" s="37"/>
      <c r="C4" s="40"/>
      <c r="D4" s="37"/>
      <c r="E4" s="33"/>
      <c r="F4" s="33"/>
    </row>
    <row r="5" spans="1:6">
      <c r="A5" s="33"/>
      <c r="B5" s="33"/>
      <c r="C5" s="33"/>
      <c r="D5" s="33"/>
      <c r="E5" s="33"/>
      <c r="F5" s="33"/>
    </row>
    <row r="6" spans="1:6">
      <c r="A6" s="33"/>
      <c r="B6" s="33"/>
      <c r="C6" s="33"/>
      <c r="D6" s="33"/>
      <c r="E6" s="33"/>
      <c r="F6" s="33"/>
    </row>
    <row r="7" spans="1:6">
      <c r="A7" s="33"/>
      <c r="B7" s="33"/>
      <c r="C7" s="33"/>
      <c r="D7" s="33"/>
      <c r="E7" s="33"/>
      <c r="F7" s="33"/>
    </row>
    <row r="8" spans="1:6">
      <c r="A8" s="25"/>
      <c r="B8" s="25"/>
      <c r="C8" s="25"/>
      <c r="D8" s="25"/>
      <c r="E8" s="25"/>
      <c r="F8" s="25"/>
    </row>
    <row r="9" spans="1:6">
      <c r="A9" s="33"/>
      <c r="B9" s="33"/>
      <c r="C9" s="33"/>
      <c r="D9" s="33"/>
      <c r="E9" s="33"/>
      <c r="F9" s="15"/>
    </row>
    <row r="10" spans="1:6">
      <c r="A10" s="33"/>
      <c r="B10" s="33"/>
      <c r="C10" s="33"/>
      <c r="D10" s="33"/>
      <c r="E10" s="33"/>
      <c r="F10" s="15"/>
    </row>
    <row r="11" spans="1:6">
      <c r="A11" s="33"/>
      <c r="B11" s="33"/>
      <c r="C11" s="33"/>
      <c r="D11" s="33"/>
      <c r="E11" s="33"/>
      <c r="F11" s="15"/>
    </row>
    <row r="12" spans="1:6">
      <c r="A12" s="33"/>
      <c r="B12" s="33"/>
      <c r="C12" s="33"/>
      <c r="D12" s="33"/>
      <c r="E12" s="33"/>
      <c r="F12" s="15"/>
    </row>
    <row r="13" spans="1:6">
      <c r="A13" s="33"/>
      <c r="B13" s="33"/>
      <c r="C13" s="33"/>
      <c r="D13" s="33"/>
      <c r="E13" s="33"/>
      <c r="F13" s="15"/>
    </row>
    <row r="14" spans="1:6">
      <c r="A14" s="33"/>
      <c r="B14" s="33"/>
      <c r="C14" s="33"/>
      <c r="D14" s="33"/>
      <c r="E14" s="33"/>
      <c r="F14" s="15"/>
    </row>
    <row r="15" spans="1:6">
      <c r="A15" s="33"/>
      <c r="B15" s="33"/>
      <c r="C15" s="33"/>
      <c r="D15" s="33"/>
      <c r="E15" s="33"/>
      <c r="F15" s="15"/>
    </row>
    <row r="16" spans="1:6">
      <c r="A16" s="33"/>
      <c r="B16" s="33"/>
      <c r="C16" s="33"/>
      <c r="D16" s="33"/>
      <c r="E16" s="33"/>
      <c r="F16" s="15"/>
    </row>
    <row r="17" spans="1:6">
      <c r="A17" s="15"/>
      <c r="B17" s="15"/>
      <c r="C17" s="15"/>
      <c r="D17" s="15"/>
      <c r="E17" s="15"/>
      <c r="F17" s="15"/>
    </row>
    <row r="18" spans="1:6">
      <c r="A18" s="15"/>
      <c r="B18" s="15"/>
      <c r="C18" s="15"/>
      <c r="D18" s="15"/>
      <c r="E18" s="15"/>
      <c r="F18" s="15"/>
    </row>
    <row r="19" spans="1:6">
      <c r="A19" s="15"/>
      <c r="B19" s="15"/>
      <c r="C19" s="15"/>
      <c r="D19" s="15"/>
      <c r="E19" s="15"/>
      <c r="F19" s="15"/>
    </row>
    <row r="20" spans="1:6">
      <c r="A20" s="15"/>
      <c r="B20" s="15"/>
      <c r="C20" s="15"/>
      <c r="D20" s="15"/>
      <c r="E20" s="15"/>
      <c r="F20" s="15"/>
    </row>
    <row r="21" spans="1:6">
      <c r="A21" s="15"/>
      <c r="B21" s="15"/>
      <c r="C21" s="15"/>
      <c r="D21" s="15"/>
      <c r="E21" s="15"/>
      <c r="F21" s="15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C29" sqref="C29"/>
    </sheetView>
  </sheetViews>
  <sheetFormatPr defaultColWidth="9" defaultRowHeight="14.25"/>
  <cols>
    <col min="1" max="1" width="19.875" style="68" customWidth="1"/>
    <col min="2" max="2" width="15" style="68" customWidth="1"/>
    <col min="3" max="3" width="14.25" style="68" customWidth="1"/>
    <col min="4" max="4" width="15.625" style="68" customWidth="1"/>
    <col min="5" max="5" width="14.25" style="68" customWidth="1"/>
    <col min="6" max="6" width="18.625" style="68" customWidth="1"/>
    <col min="7" max="7" width="14.5" style="68" customWidth="1"/>
    <col min="8" max="16384" width="9" style="68"/>
  </cols>
  <sheetData>
    <row r="1" spans="1:7" ht="31.5" customHeight="1">
      <c r="A1" s="69" t="s">
        <v>68</v>
      </c>
      <c r="B1" s="69" t="s">
        <v>67</v>
      </c>
      <c r="C1" s="71" t="s">
        <v>73</v>
      </c>
      <c r="D1" s="71" t="s">
        <v>74</v>
      </c>
      <c r="E1" s="71" t="s">
        <v>76</v>
      </c>
      <c r="F1" s="69" t="s">
        <v>69</v>
      </c>
    </row>
    <row r="2" spans="1:7" ht="42.75">
      <c r="A2" s="70"/>
      <c r="B2" s="72" t="s">
        <v>729</v>
      </c>
      <c r="C2" s="72" t="s">
        <v>728</v>
      </c>
      <c r="D2" s="72"/>
      <c r="E2" s="70"/>
      <c r="F2" s="74" t="s">
        <v>77</v>
      </c>
    </row>
    <row r="3" spans="1:7" ht="42.75">
      <c r="A3" s="70"/>
      <c r="B3" s="72"/>
      <c r="C3" s="72"/>
      <c r="D3" s="72"/>
      <c r="E3" s="70"/>
      <c r="F3" s="74" t="s">
        <v>77</v>
      </c>
    </row>
    <row r="4" spans="1:7" ht="42.75">
      <c r="A4" s="70"/>
      <c r="B4" s="72"/>
      <c r="C4" s="72"/>
      <c r="D4" s="72"/>
      <c r="E4" s="70"/>
      <c r="F4" s="74" t="s">
        <v>77</v>
      </c>
    </row>
    <row r="5" spans="1:7" ht="42.75">
      <c r="A5" s="70"/>
      <c r="B5" s="72"/>
      <c r="C5" s="72"/>
      <c r="D5" s="72"/>
      <c r="E5" s="70"/>
      <c r="F5" s="74" t="s">
        <v>77</v>
      </c>
    </row>
    <row r="6" spans="1:7" ht="19.7" customHeight="1"/>
    <row r="7" spans="1:7" ht="19.7" customHeight="1"/>
    <row r="12" spans="1:7" ht="15.95" customHeight="1"/>
    <row r="13" spans="1:7" ht="15" customHeight="1"/>
    <row r="14" spans="1:7">
      <c r="A14" s="71" t="s">
        <v>78</v>
      </c>
      <c r="B14" s="71" t="s">
        <v>79</v>
      </c>
      <c r="C14" s="71" t="s">
        <v>70</v>
      </c>
      <c r="D14" s="71" t="s">
        <v>171</v>
      </c>
      <c r="E14" s="71" t="s">
        <v>71</v>
      </c>
      <c r="F14" s="71" t="s">
        <v>72</v>
      </c>
      <c r="G14" s="69" t="s">
        <v>69</v>
      </c>
    </row>
    <row r="15" spans="1:7">
      <c r="A15" s="72"/>
      <c r="B15" s="70"/>
      <c r="C15" s="72"/>
      <c r="D15" s="72"/>
      <c r="E15" s="72"/>
      <c r="F15" s="70"/>
      <c r="G15" s="73"/>
    </row>
    <row r="16" spans="1:7">
      <c r="A16" s="72"/>
      <c r="B16" s="72"/>
      <c r="C16" s="72"/>
      <c r="D16" s="72"/>
      <c r="E16" s="70"/>
      <c r="F16" s="70"/>
      <c r="G16" s="73"/>
    </row>
  </sheetData>
  <phoneticPr fontId="38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2:H39"/>
  <sheetViews>
    <sheetView zoomScaleNormal="100" workbookViewId="0">
      <selection activeCell="E13" sqref="E13"/>
    </sheetView>
  </sheetViews>
  <sheetFormatPr defaultColWidth="9" defaultRowHeight="14.25"/>
  <cols>
    <col min="1" max="1" width="15.625" style="66" customWidth="1"/>
    <col min="2" max="2" width="18.375" style="66" customWidth="1"/>
    <col min="3" max="3" width="15.25" style="66" customWidth="1"/>
    <col min="4" max="4" width="18.375" style="66" customWidth="1"/>
    <col min="5" max="5" width="10.375" style="66" customWidth="1"/>
    <col min="6" max="7" width="9" style="66"/>
    <col min="8" max="8" width="10.625" style="66" customWidth="1"/>
    <col min="9" max="9" width="11.25" style="66" customWidth="1"/>
    <col min="10" max="16384" width="9" style="66"/>
  </cols>
  <sheetData>
    <row r="2" spans="1:5">
      <c r="C2" s="67"/>
    </row>
    <row r="4" spans="1:5">
      <c r="A4" s="276"/>
      <c r="B4" s="277"/>
      <c r="C4" s="277"/>
      <c r="D4" s="278"/>
    </row>
    <row r="5" spans="1:5">
      <c r="A5" s="286" t="s">
        <v>1088</v>
      </c>
      <c r="B5" s="287" t="s">
        <v>1091</v>
      </c>
      <c r="C5" s="288"/>
      <c r="D5" s="279"/>
    </row>
    <row r="6" spans="1:5">
      <c r="A6" s="286"/>
      <c r="B6" s="289"/>
      <c r="C6" s="290"/>
      <c r="D6" s="279"/>
    </row>
    <row r="7" spans="1:5">
      <c r="A7" s="286" t="s">
        <v>1089</v>
      </c>
      <c r="B7" s="291" t="s">
        <v>1090</v>
      </c>
      <c r="C7" s="291"/>
      <c r="D7" s="279"/>
    </row>
    <row r="8" spans="1:5">
      <c r="A8" s="292"/>
      <c r="B8" s="293"/>
      <c r="C8" s="293"/>
      <c r="D8" s="279"/>
    </row>
    <row r="9" spans="1:5">
      <c r="A9" s="280"/>
      <c r="B9" s="281"/>
      <c r="C9" s="282"/>
      <c r="D9" s="279"/>
    </row>
    <row r="10" spans="1:5">
      <c r="A10" s="280"/>
      <c r="B10" s="281"/>
      <c r="C10" s="282"/>
      <c r="D10" s="279"/>
    </row>
    <row r="11" spans="1:5">
      <c r="A11" s="280"/>
      <c r="B11" s="281"/>
      <c r="C11" s="281"/>
      <c r="D11" s="279"/>
    </row>
    <row r="12" spans="1:5">
      <c r="A12" s="283"/>
      <c r="B12" s="284"/>
      <c r="C12" s="284"/>
      <c r="D12" s="285"/>
    </row>
    <row r="15" spans="1:5">
      <c r="D15" s="80" t="s">
        <v>686</v>
      </c>
      <c r="E15" s="80" t="s">
        <v>687</v>
      </c>
    </row>
    <row r="16" spans="1:5">
      <c r="A16" s="67" t="s">
        <v>98</v>
      </c>
    </row>
    <row r="17" spans="1:8">
      <c r="A17" s="400" t="s">
        <v>88</v>
      </c>
      <c r="B17" s="80" t="s">
        <v>263</v>
      </c>
      <c r="C17" s="80" t="s">
        <v>101</v>
      </c>
      <c r="D17" s="80" t="s">
        <v>283</v>
      </c>
      <c r="E17" s="80" t="s">
        <v>532</v>
      </c>
      <c r="F17" s="67"/>
      <c r="H17" s="67"/>
    </row>
    <row r="18" spans="1:8">
      <c r="A18" s="401"/>
      <c r="B18" s="80" t="s">
        <v>94</v>
      </c>
      <c r="C18" s="81">
        <v>12</v>
      </c>
      <c r="D18" s="80" t="s">
        <v>269</v>
      </c>
      <c r="E18" s="80" t="s">
        <v>634</v>
      </c>
      <c r="H18" s="67"/>
    </row>
    <row r="19" spans="1:8">
      <c r="A19" s="401"/>
      <c r="B19" s="80" t="s">
        <v>95</v>
      </c>
      <c r="C19" s="81">
        <v>32</v>
      </c>
      <c r="D19" s="80" t="s">
        <v>280</v>
      </c>
      <c r="E19" s="80" t="s">
        <v>635</v>
      </c>
      <c r="G19" s="67"/>
      <c r="H19" s="67"/>
    </row>
    <row r="20" spans="1:8">
      <c r="A20" s="123" t="s">
        <v>406</v>
      </c>
      <c r="B20" s="122" t="s">
        <v>405</v>
      </c>
      <c r="G20" s="67"/>
      <c r="H20" s="67"/>
    </row>
    <row r="21" spans="1:8">
      <c r="A21" s="82" t="s">
        <v>154</v>
      </c>
      <c r="B21" s="82" t="s">
        <v>102</v>
      </c>
      <c r="C21" s="82" t="s">
        <v>398</v>
      </c>
      <c r="D21" s="82" t="s">
        <v>384</v>
      </c>
      <c r="E21" s="83" t="s">
        <v>156</v>
      </c>
      <c r="F21" s="82" t="s">
        <v>155</v>
      </c>
      <c r="H21" s="67"/>
    </row>
    <row r="22" spans="1:8">
      <c r="A22" s="397" t="s">
        <v>164</v>
      </c>
      <c r="B22" s="82" t="s">
        <v>158</v>
      </c>
      <c r="C22" s="83">
        <v>4</v>
      </c>
      <c r="D22" s="83">
        <v>4</v>
      </c>
      <c r="E22" s="83" t="s">
        <v>99</v>
      </c>
      <c r="F22" s="82" t="s">
        <v>181</v>
      </c>
    </row>
    <row r="23" spans="1:8">
      <c r="A23" s="398"/>
      <c r="B23" s="82" t="s">
        <v>161</v>
      </c>
      <c r="C23" s="83">
        <v>3</v>
      </c>
      <c r="D23" s="83">
        <v>3</v>
      </c>
      <c r="E23" s="83" t="s">
        <v>100</v>
      </c>
      <c r="F23" s="82" t="s">
        <v>182</v>
      </c>
    </row>
    <row r="24" spans="1:8">
      <c r="A24" s="399"/>
      <c r="B24" s="82" t="s">
        <v>162</v>
      </c>
      <c r="C24" s="83">
        <v>2</v>
      </c>
      <c r="D24" s="83">
        <v>2</v>
      </c>
      <c r="E24" s="82" t="s">
        <v>175</v>
      </c>
      <c r="F24" s="82" t="s">
        <v>183</v>
      </c>
    </row>
    <row r="25" spans="1:8">
      <c r="A25" s="399"/>
      <c r="B25" s="82" t="s">
        <v>163</v>
      </c>
      <c r="C25" s="83">
        <v>1</v>
      </c>
      <c r="D25" s="83">
        <v>0</v>
      </c>
      <c r="E25" s="82" t="s">
        <v>176</v>
      </c>
      <c r="F25" s="82" t="s">
        <v>183</v>
      </c>
    </row>
    <row r="26" spans="1:8">
      <c r="A26" s="399"/>
      <c r="B26" s="83"/>
      <c r="C26" s="83"/>
      <c r="D26" s="83"/>
      <c r="E26" s="82" t="s">
        <v>178</v>
      </c>
      <c r="F26" s="83" t="s">
        <v>184</v>
      </c>
    </row>
    <row r="27" spans="1:8">
      <c r="A27" s="399"/>
      <c r="B27" s="83"/>
      <c r="C27" s="83"/>
      <c r="D27" s="83"/>
      <c r="E27" s="82" t="s">
        <v>180</v>
      </c>
      <c r="F27" s="83" t="s">
        <v>184</v>
      </c>
    </row>
    <row r="28" spans="1:8">
      <c r="A28" s="397" t="s">
        <v>656</v>
      </c>
      <c r="B28" s="82" t="s">
        <v>657</v>
      </c>
      <c r="C28" s="83">
        <v>7</v>
      </c>
      <c r="D28" s="83">
        <v>7</v>
      </c>
      <c r="E28" s="83" t="s">
        <v>658</v>
      </c>
      <c r="F28" s="82" t="s">
        <v>659</v>
      </c>
    </row>
    <row r="29" spans="1:8">
      <c r="A29" s="398"/>
      <c r="B29" s="82" t="s">
        <v>658</v>
      </c>
      <c r="C29" s="83">
        <v>6</v>
      </c>
      <c r="D29" s="83">
        <v>6</v>
      </c>
      <c r="E29" s="83" t="s">
        <v>660</v>
      </c>
      <c r="F29" s="82" t="s">
        <v>661</v>
      </c>
    </row>
    <row r="30" spans="1:8">
      <c r="A30" s="399"/>
      <c r="B30" s="82" t="s">
        <v>662</v>
      </c>
      <c r="C30" s="82">
        <v>5</v>
      </c>
      <c r="D30" s="82">
        <v>5</v>
      </c>
      <c r="E30" s="82" t="s">
        <v>663</v>
      </c>
      <c r="F30" s="82" t="s">
        <v>664</v>
      </c>
    </row>
    <row r="31" spans="1:8">
      <c r="A31" s="399"/>
      <c r="B31" s="82" t="s">
        <v>665</v>
      </c>
      <c r="C31" s="82">
        <v>4</v>
      </c>
      <c r="D31" s="82">
        <v>2</v>
      </c>
      <c r="E31" s="82" t="s">
        <v>666</v>
      </c>
      <c r="F31" s="82" t="s">
        <v>664</v>
      </c>
    </row>
    <row r="32" spans="1:8">
      <c r="A32" s="399"/>
      <c r="B32" s="83" t="s">
        <v>667</v>
      </c>
      <c r="C32" s="82">
        <v>1</v>
      </c>
      <c r="D32" s="82">
        <v>1</v>
      </c>
      <c r="E32" s="82" t="s">
        <v>668</v>
      </c>
      <c r="F32" s="82" t="s">
        <v>669</v>
      </c>
    </row>
    <row r="33" spans="1:6">
      <c r="A33" s="399"/>
      <c r="B33" s="82" t="s">
        <v>670</v>
      </c>
      <c r="C33" s="82">
        <v>0</v>
      </c>
      <c r="D33" s="83">
        <v>0</v>
      </c>
      <c r="E33" s="82" t="s">
        <v>671</v>
      </c>
      <c r="F33" s="82" t="s">
        <v>669</v>
      </c>
    </row>
    <row r="34" spans="1:6">
      <c r="A34" s="397" t="s">
        <v>672</v>
      </c>
      <c r="B34" s="82" t="s">
        <v>673</v>
      </c>
      <c r="C34" s="83">
        <v>5</v>
      </c>
      <c r="D34" s="83">
        <v>5</v>
      </c>
      <c r="E34" s="83" t="s">
        <v>674</v>
      </c>
      <c r="F34" s="82" t="s">
        <v>675</v>
      </c>
    </row>
    <row r="35" spans="1:6">
      <c r="A35" s="398"/>
      <c r="B35" s="82" t="s">
        <v>674</v>
      </c>
      <c r="C35" s="83">
        <v>4</v>
      </c>
      <c r="D35" s="83">
        <v>4</v>
      </c>
      <c r="E35" s="83" t="s">
        <v>676</v>
      </c>
      <c r="F35" s="82" t="s">
        <v>677</v>
      </c>
    </row>
    <row r="36" spans="1:6">
      <c r="A36" s="399"/>
      <c r="B36" s="82" t="s">
        <v>678</v>
      </c>
      <c r="C36" s="83">
        <v>3</v>
      </c>
      <c r="D36" s="83">
        <v>3</v>
      </c>
      <c r="E36" s="82" t="s">
        <v>679</v>
      </c>
      <c r="F36" s="82" t="s">
        <v>680</v>
      </c>
    </row>
    <row r="37" spans="1:6">
      <c r="A37" s="399"/>
      <c r="B37" s="82" t="s">
        <v>681</v>
      </c>
      <c r="C37" s="83">
        <v>2</v>
      </c>
      <c r="D37" s="83">
        <v>1</v>
      </c>
      <c r="E37" s="82" t="s">
        <v>682</v>
      </c>
      <c r="F37" s="82" t="s">
        <v>680</v>
      </c>
    </row>
    <row r="38" spans="1:6">
      <c r="A38" s="399"/>
      <c r="B38" s="83" t="s">
        <v>683</v>
      </c>
      <c r="C38" s="83">
        <v>0</v>
      </c>
      <c r="D38" s="83">
        <v>0</v>
      </c>
      <c r="E38" s="82" t="s">
        <v>668</v>
      </c>
      <c r="F38" s="83" t="s">
        <v>684</v>
      </c>
    </row>
    <row r="39" spans="1:6">
      <c r="A39" s="399"/>
      <c r="B39" s="83"/>
      <c r="C39" s="83"/>
      <c r="D39" s="83"/>
      <c r="E39" s="82" t="s">
        <v>671</v>
      </c>
      <c r="F39" s="83" t="s">
        <v>684</v>
      </c>
    </row>
  </sheetData>
  <mergeCells count="4">
    <mergeCell ref="A34:A39"/>
    <mergeCell ref="A22:A27"/>
    <mergeCell ref="A17:A19"/>
    <mergeCell ref="A28:A33"/>
  </mergeCells>
  <phoneticPr fontId="3" type="noConversion"/>
  <dataValidations count="2">
    <dataValidation type="list" allowBlank="1" showInputMessage="1" showErrorMessage="1" sqref="C17">
      <formula1>"SV interface,Verilog"</formula1>
    </dataValidation>
    <dataValidation type="list" allowBlank="1" showInputMessage="1" showErrorMessage="1" sqref="B20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2:M239"/>
  <sheetViews>
    <sheetView topLeftCell="A121" zoomScale="85" zoomScaleNormal="85" workbookViewId="0">
      <selection activeCell="G133" sqref="G133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78" t="s">
        <v>217</v>
      </c>
    </row>
    <row r="3" spans="1:13" ht="78" customHeight="1">
      <c r="B3" s="415" t="s">
        <v>209</v>
      </c>
      <c r="C3" s="403"/>
      <c r="D3" s="403"/>
      <c r="E3" s="403"/>
      <c r="F3" s="403"/>
      <c r="G3" s="403"/>
      <c r="H3" s="89"/>
      <c r="I3" s="89"/>
      <c r="J3" s="89"/>
      <c r="K3" s="89"/>
      <c r="L3" s="89"/>
      <c r="M3" s="89"/>
    </row>
    <row r="6" spans="1:13">
      <c r="B6" s="78"/>
    </row>
    <row r="7" spans="1:13">
      <c r="A7" s="78" t="s">
        <v>218</v>
      </c>
    </row>
    <row r="8" spans="1:13">
      <c r="B8" s="138" t="s">
        <v>195</v>
      </c>
      <c r="C8" s="138" t="s">
        <v>196</v>
      </c>
      <c r="D8" s="138" t="s">
        <v>403</v>
      </c>
      <c r="E8" s="138" t="s">
        <v>202</v>
      </c>
      <c r="F8" s="138" t="s">
        <v>203</v>
      </c>
      <c r="G8" s="138" t="s">
        <v>205</v>
      </c>
      <c r="H8" s="138" t="s">
        <v>204</v>
      </c>
    </row>
    <row r="9" spans="1:13">
      <c r="B9" s="135" t="s">
        <v>192</v>
      </c>
      <c r="C9" s="136" t="s">
        <v>201</v>
      </c>
      <c r="D9" s="137" t="s">
        <v>462</v>
      </c>
      <c r="E9" s="137" t="s">
        <v>462</v>
      </c>
      <c r="F9" s="137" t="s">
        <v>462</v>
      </c>
      <c r="G9" s="137" t="s">
        <v>462</v>
      </c>
      <c r="H9" s="136" t="s">
        <v>207</v>
      </c>
    </row>
    <row r="10" spans="1:13">
      <c r="B10" s="135" t="s">
        <v>455</v>
      </c>
      <c r="C10" s="136" t="s">
        <v>456</v>
      </c>
      <c r="D10" s="136" t="s">
        <v>463</v>
      </c>
      <c r="E10" s="137" t="s">
        <v>462</v>
      </c>
      <c r="F10" s="136" t="s">
        <v>463</v>
      </c>
      <c r="G10" s="136" t="s">
        <v>463</v>
      </c>
      <c r="H10" s="136" t="s">
        <v>457</v>
      </c>
    </row>
    <row r="11" spans="1:13">
      <c r="B11" s="135" t="s">
        <v>458</v>
      </c>
      <c r="C11" s="136" t="s">
        <v>459</v>
      </c>
      <c r="D11" s="136" t="s">
        <v>463</v>
      </c>
      <c r="E11" s="137" t="s">
        <v>462</v>
      </c>
      <c r="F11" s="136" t="s">
        <v>463</v>
      </c>
      <c r="G11" s="136" t="s">
        <v>463</v>
      </c>
      <c r="H11" s="136" t="s">
        <v>457</v>
      </c>
    </row>
    <row r="12" spans="1:13">
      <c r="B12" s="135" t="s">
        <v>460</v>
      </c>
      <c r="C12" s="136" t="s">
        <v>461</v>
      </c>
      <c r="D12" s="136" t="s">
        <v>463</v>
      </c>
      <c r="E12" s="137" t="s">
        <v>462</v>
      </c>
      <c r="F12" s="136" t="s">
        <v>463</v>
      </c>
      <c r="G12" s="136" t="s">
        <v>463</v>
      </c>
      <c r="H12" s="136" t="s">
        <v>457</v>
      </c>
    </row>
    <row r="13" spans="1:13" ht="28.5">
      <c r="B13" s="135" t="s">
        <v>193</v>
      </c>
      <c r="C13" s="136" t="s">
        <v>211</v>
      </c>
      <c r="D13" s="137" t="s">
        <v>462</v>
      </c>
      <c r="E13" s="137" t="s">
        <v>462</v>
      </c>
      <c r="F13" s="137" t="s">
        <v>462</v>
      </c>
      <c r="G13" s="137" t="s">
        <v>462</v>
      </c>
      <c r="H13" s="136" t="s">
        <v>207</v>
      </c>
    </row>
    <row r="14" spans="1:13" ht="42.75" customHeight="1">
      <c r="B14" s="135" t="s">
        <v>194</v>
      </c>
      <c r="C14" s="136" t="s">
        <v>213</v>
      </c>
      <c r="D14" s="137" t="s">
        <v>462</v>
      </c>
      <c r="E14" s="136" t="s">
        <v>463</v>
      </c>
      <c r="F14" s="136" t="s">
        <v>463</v>
      </c>
      <c r="G14" s="137" t="s">
        <v>462</v>
      </c>
      <c r="H14" s="136" t="s">
        <v>464</v>
      </c>
    </row>
    <row r="15" spans="1:13">
      <c r="B15" s="135" t="s">
        <v>197</v>
      </c>
      <c r="C15" s="136" t="s">
        <v>210</v>
      </c>
      <c r="D15" s="137" t="s">
        <v>462</v>
      </c>
      <c r="E15" s="137" t="s">
        <v>462</v>
      </c>
      <c r="F15" s="136" t="s">
        <v>463</v>
      </c>
      <c r="G15" s="137" t="s">
        <v>462</v>
      </c>
      <c r="H15" s="136" t="s">
        <v>207</v>
      </c>
    </row>
    <row r="16" spans="1:13">
      <c r="B16" s="135" t="s">
        <v>206</v>
      </c>
      <c r="C16" s="136" t="s">
        <v>212</v>
      </c>
      <c r="D16" s="136" t="s">
        <v>463</v>
      </c>
      <c r="E16" s="137" t="s">
        <v>462</v>
      </c>
      <c r="F16" s="136" t="s">
        <v>463</v>
      </c>
      <c r="G16" s="136" t="s">
        <v>463</v>
      </c>
      <c r="H16" s="136" t="s">
        <v>208</v>
      </c>
    </row>
    <row r="17" spans="1:10" ht="28.5">
      <c r="B17" s="135" t="s">
        <v>198</v>
      </c>
      <c r="C17" s="136" t="s">
        <v>214</v>
      </c>
      <c r="D17" s="137" t="s">
        <v>462</v>
      </c>
      <c r="E17" s="136" t="s">
        <v>463</v>
      </c>
      <c r="F17" s="136" t="s">
        <v>463</v>
      </c>
      <c r="G17" s="136" t="s">
        <v>463</v>
      </c>
      <c r="H17" s="136" t="s">
        <v>207</v>
      </c>
    </row>
    <row r="18" spans="1:10" ht="42.75">
      <c r="B18" s="135" t="s">
        <v>199</v>
      </c>
      <c r="C18" s="136" t="s">
        <v>215</v>
      </c>
      <c r="D18" s="137" t="s">
        <v>462</v>
      </c>
      <c r="E18" s="136" t="s">
        <v>463</v>
      </c>
      <c r="F18" s="136" t="s">
        <v>463</v>
      </c>
      <c r="G18" s="136" t="s">
        <v>463</v>
      </c>
      <c r="H18" s="136" t="s">
        <v>207</v>
      </c>
    </row>
    <row r="19" spans="1:10" ht="44.25" customHeight="1">
      <c r="B19" s="135" t="s">
        <v>200</v>
      </c>
      <c r="C19" s="136" t="s">
        <v>407</v>
      </c>
      <c r="D19" s="137" t="s">
        <v>462</v>
      </c>
      <c r="E19" s="137" t="s">
        <v>462</v>
      </c>
      <c r="F19" s="137" t="s">
        <v>462</v>
      </c>
      <c r="G19" s="137" t="s">
        <v>462</v>
      </c>
      <c r="H19" s="136" t="s">
        <v>207</v>
      </c>
    </row>
    <row r="21" spans="1:10">
      <c r="B21" s="413" t="s">
        <v>216</v>
      </c>
      <c r="C21" s="414"/>
      <c r="D21" s="414"/>
      <c r="E21" s="414"/>
    </row>
    <row r="24" spans="1:10">
      <c r="B24" s="78"/>
    </row>
    <row r="25" spans="1:10">
      <c r="A25" s="78" t="s">
        <v>219</v>
      </c>
      <c r="B25" s="78"/>
    </row>
    <row r="26" spans="1:10">
      <c r="A26" s="78"/>
      <c r="B26" s="402" t="s">
        <v>411</v>
      </c>
      <c r="C26" s="403"/>
      <c r="D26" s="403"/>
      <c r="E26" s="403"/>
      <c r="F26" s="403"/>
      <c r="G26" s="403"/>
    </row>
    <row r="27" spans="1:10" ht="14.25" customHeight="1">
      <c r="B27" s="402" t="s">
        <v>270</v>
      </c>
      <c r="C27" s="403"/>
      <c r="D27" s="403"/>
      <c r="E27" s="403"/>
      <c r="F27" s="403"/>
      <c r="G27" s="403"/>
    </row>
    <row r="28" spans="1:10" ht="75" customHeight="1">
      <c r="B28" s="402" t="s">
        <v>348</v>
      </c>
      <c r="C28" s="403"/>
      <c r="D28" s="403"/>
      <c r="E28" s="403"/>
      <c r="F28" s="403"/>
      <c r="G28" s="403"/>
    </row>
    <row r="29" spans="1:10" ht="14.25" customHeight="1">
      <c r="B29" s="402" t="s">
        <v>404</v>
      </c>
      <c r="C29" s="403"/>
      <c r="D29" s="403"/>
      <c r="E29" s="403"/>
      <c r="F29" s="403"/>
      <c r="G29" s="403"/>
    </row>
    <row r="30" spans="1:10" ht="19.7" customHeight="1">
      <c r="B30" s="402" t="s">
        <v>221</v>
      </c>
      <c r="C30" s="403"/>
      <c r="D30" s="403"/>
      <c r="E30" s="403"/>
      <c r="F30" s="403"/>
      <c r="G30" s="403"/>
      <c r="J30">
        <v>4</v>
      </c>
    </row>
    <row r="31" spans="1:10">
      <c r="A31" s="78"/>
      <c r="B31" s="402"/>
      <c r="C31" s="403"/>
      <c r="D31" s="403"/>
      <c r="E31" s="403"/>
    </row>
    <row r="32" spans="1:10">
      <c r="B32" s="402"/>
      <c r="C32" s="403"/>
      <c r="D32" s="403"/>
      <c r="E32" s="403"/>
    </row>
    <row r="33" spans="1:7">
      <c r="B33" s="402"/>
      <c r="C33" s="403"/>
      <c r="D33" s="403"/>
      <c r="E33" s="403"/>
    </row>
    <row r="34" spans="1:7">
      <c r="A34" s="78" t="s">
        <v>220</v>
      </c>
      <c r="B34" s="402"/>
      <c r="C34" s="403"/>
      <c r="D34" s="403"/>
      <c r="E34" s="403"/>
    </row>
    <row r="35" spans="1:7">
      <c r="B35" s="402" t="s">
        <v>264</v>
      </c>
      <c r="C35" s="403"/>
      <c r="D35" s="403"/>
      <c r="E35" s="403"/>
      <c r="F35" s="403"/>
      <c r="G35" s="403"/>
    </row>
    <row r="36" spans="1:7">
      <c r="B36" s="403"/>
      <c r="C36" s="403"/>
      <c r="D36" s="403"/>
      <c r="E36" s="403"/>
      <c r="F36" s="403"/>
      <c r="G36" s="403"/>
    </row>
    <row r="37" spans="1:7" ht="63.75" customHeight="1">
      <c r="B37" s="403"/>
      <c r="C37" s="403"/>
      <c r="D37" s="403"/>
      <c r="E37" s="403"/>
      <c r="F37" s="403"/>
      <c r="G37" s="403"/>
    </row>
    <row r="41" spans="1:7" ht="15" thickBot="1">
      <c r="A41" s="78" t="s">
        <v>222</v>
      </c>
    </row>
    <row r="42" spans="1:7" ht="15" thickBot="1">
      <c r="B42" s="90" t="s">
        <v>223</v>
      </c>
      <c r="C42" s="91" t="s">
        <v>224</v>
      </c>
      <c r="D42" s="91" t="s">
        <v>225</v>
      </c>
      <c r="E42" s="91" t="s">
        <v>226</v>
      </c>
    </row>
    <row r="43" spans="1:7" ht="15" thickBot="1">
      <c r="B43" s="410" t="s">
        <v>227</v>
      </c>
      <c r="C43" s="411"/>
      <c r="D43" s="411"/>
      <c r="E43" s="412"/>
    </row>
    <row r="44" spans="1:7" ht="15" thickBot="1">
      <c r="B44" s="92" t="s">
        <v>228</v>
      </c>
      <c r="C44" s="93">
        <v>1</v>
      </c>
      <c r="D44" s="93" t="s">
        <v>229</v>
      </c>
      <c r="E44" s="93" t="s">
        <v>268</v>
      </c>
    </row>
    <row r="45" spans="1:7" ht="15" thickBot="1">
      <c r="B45" s="92" t="s">
        <v>230</v>
      </c>
      <c r="C45" s="93">
        <v>1</v>
      </c>
      <c r="D45" s="93" t="s">
        <v>229</v>
      </c>
      <c r="E45" s="93" t="s">
        <v>231</v>
      </c>
    </row>
    <row r="46" spans="1:7" ht="15" thickBot="1">
      <c r="B46" s="92" t="s">
        <v>232</v>
      </c>
      <c r="C46" s="93">
        <v>1</v>
      </c>
      <c r="D46" s="93" t="s">
        <v>229</v>
      </c>
      <c r="E46" s="93" t="s">
        <v>233</v>
      </c>
    </row>
    <row r="47" spans="1:7" ht="15" thickBot="1">
      <c r="B47" s="92" t="s">
        <v>234</v>
      </c>
      <c r="C47" s="93">
        <v>1</v>
      </c>
      <c r="D47" s="93" t="s">
        <v>229</v>
      </c>
      <c r="E47" s="93" t="s">
        <v>235</v>
      </c>
    </row>
    <row r="48" spans="1:7" ht="15" thickBot="1">
      <c r="B48" s="92" t="s">
        <v>236</v>
      </c>
      <c r="C48" s="93" t="s">
        <v>279</v>
      </c>
      <c r="D48" s="93" t="s">
        <v>229</v>
      </c>
      <c r="E48" s="93" t="s">
        <v>237</v>
      </c>
    </row>
    <row r="49" spans="2:5" ht="15" thickBot="1">
      <c r="B49" s="92" t="s">
        <v>238</v>
      </c>
      <c r="C49" s="93" t="s">
        <v>239</v>
      </c>
      <c r="D49" s="93" t="s">
        <v>229</v>
      </c>
      <c r="E49" s="93" t="s">
        <v>240</v>
      </c>
    </row>
    <row r="50" spans="2:5" ht="15" thickBot="1">
      <c r="B50" s="92" t="s">
        <v>241</v>
      </c>
      <c r="C50" s="93" t="s">
        <v>239</v>
      </c>
      <c r="D50" s="93" t="s">
        <v>242</v>
      </c>
      <c r="E50" s="93" t="s">
        <v>243</v>
      </c>
    </row>
    <row r="51" spans="2:5" ht="67.5" thickBot="1">
      <c r="B51" s="97" t="s">
        <v>265</v>
      </c>
      <c r="C51" s="96"/>
      <c r="D51" s="96" t="s">
        <v>262</v>
      </c>
      <c r="E51" s="96" t="s">
        <v>266</v>
      </c>
    </row>
    <row r="52" spans="2:5" ht="15" thickBot="1">
      <c r="B52" s="92" t="s">
        <v>244</v>
      </c>
      <c r="C52" s="93">
        <v>1</v>
      </c>
      <c r="D52" s="93" t="s">
        <v>229</v>
      </c>
      <c r="E52" s="94" t="s">
        <v>245</v>
      </c>
    </row>
    <row r="53" spans="2:5" ht="15" thickBot="1">
      <c r="B53" s="92" t="s">
        <v>246</v>
      </c>
      <c r="C53" s="93">
        <v>1</v>
      </c>
      <c r="D53" s="93" t="s">
        <v>229</v>
      </c>
      <c r="E53" s="94" t="s">
        <v>497</v>
      </c>
    </row>
    <row r="54" spans="2:5" ht="15" thickBot="1">
      <c r="B54" s="92" t="s">
        <v>247</v>
      </c>
      <c r="C54" s="93">
        <v>1</v>
      </c>
      <c r="D54" s="93" t="s">
        <v>229</v>
      </c>
      <c r="E54" s="93" t="s">
        <v>248</v>
      </c>
    </row>
    <row r="55" spans="2:5" ht="15" thickBot="1">
      <c r="B55" s="410" t="s">
        <v>249</v>
      </c>
      <c r="C55" s="411"/>
      <c r="D55" s="411"/>
      <c r="E55" s="412"/>
    </row>
    <row r="56" spans="2:5" ht="27.75" thickBot="1">
      <c r="B56" s="92" t="s">
        <v>401</v>
      </c>
      <c r="C56" s="93">
        <v>1</v>
      </c>
      <c r="D56" s="93" t="s">
        <v>229</v>
      </c>
      <c r="E56" s="93" t="s">
        <v>250</v>
      </c>
    </row>
    <row r="57" spans="2:5" ht="15" thickBot="1">
      <c r="B57" s="92" t="s">
        <v>251</v>
      </c>
      <c r="C57" s="93">
        <v>1</v>
      </c>
      <c r="D57" s="93" t="s">
        <v>242</v>
      </c>
      <c r="E57" s="93" t="s">
        <v>252</v>
      </c>
    </row>
    <row r="58" spans="2:5" ht="15" thickBot="1">
      <c r="B58" s="92" t="s">
        <v>253</v>
      </c>
      <c r="C58" s="93">
        <v>1</v>
      </c>
      <c r="D58" s="93" t="s">
        <v>242</v>
      </c>
      <c r="E58" s="93" t="s">
        <v>254</v>
      </c>
    </row>
    <row r="59" spans="2:5" ht="15" thickBot="1">
      <c r="B59" s="92" t="s">
        <v>255</v>
      </c>
      <c r="C59" s="93" t="s">
        <v>256</v>
      </c>
      <c r="D59" s="93" t="s">
        <v>242</v>
      </c>
      <c r="E59" s="93" t="s">
        <v>257</v>
      </c>
    </row>
    <row r="60" spans="2:5" ht="15" thickBot="1">
      <c r="B60" s="410" t="s">
        <v>258</v>
      </c>
      <c r="C60" s="411"/>
      <c r="D60" s="411"/>
      <c r="E60" s="412"/>
    </row>
    <row r="61" spans="2:5" ht="27" thickBot="1">
      <c r="B61" s="92" t="s">
        <v>259</v>
      </c>
      <c r="C61" s="93">
        <v>1</v>
      </c>
      <c r="D61" s="93" t="s">
        <v>229</v>
      </c>
      <c r="E61" s="93" t="s">
        <v>427</v>
      </c>
    </row>
    <row r="62" spans="2:5" ht="27" thickBot="1">
      <c r="B62" s="92" t="s">
        <v>260</v>
      </c>
      <c r="C62" s="93">
        <v>1</v>
      </c>
      <c r="D62" s="93" t="s">
        <v>229</v>
      </c>
      <c r="E62" s="93" t="s">
        <v>426</v>
      </c>
    </row>
    <row r="63" spans="2:5" ht="27" thickBot="1">
      <c r="B63" s="92" t="s">
        <v>261</v>
      </c>
      <c r="C63" s="93">
        <v>1</v>
      </c>
      <c r="D63" s="93" t="s">
        <v>242</v>
      </c>
      <c r="E63" s="93" t="s">
        <v>428</v>
      </c>
    </row>
    <row r="64" spans="2:5">
      <c r="B64" s="95"/>
    </row>
    <row r="65" spans="1:7">
      <c r="B65" s="128" t="s">
        <v>434</v>
      </c>
      <c r="D65" s="130" t="s">
        <v>435</v>
      </c>
      <c r="E65" s="130" t="s">
        <v>436</v>
      </c>
      <c r="F65" s="131" t="s">
        <v>442</v>
      </c>
      <c r="G65" s="130" t="s">
        <v>437</v>
      </c>
    </row>
    <row r="66" spans="1:7" s="128" customFormat="1">
      <c r="D66" s="129">
        <v>0</v>
      </c>
      <c r="E66" s="129">
        <v>0</v>
      </c>
      <c r="F66" s="132" t="s">
        <v>443</v>
      </c>
      <c r="G66" s="129" t="s">
        <v>438</v>
      </c>
    </row>
    <row r="67" spans="1:7" s="128" customFormat="1">
      <c r="D67" s="129">
        <v>1</v>
      </c>
      <c r="E67" s="129">
        <v>0</v>
      </c>
      <c r="F67" s="132" t="s">
        <v>443</v>
      </c>
      <c r="G67" s="129" t="s">
        <v>438</v>
      </c>
    </row>
    <row r="68" spans="1:7" s="128" customFormat="1">
      <c r="D68" s="129">
        <v>0</v>
      </c>
      <c r="E68" s="129">
        <v>1</v>
      </c>
      <c r="F68" s="132" t="s">
        <v>444</v>
      </c>
      <c r="G68" s="129">
        <v>0</v>
      </c>
    </row>
    <row r="69" spans="1:7" s="128" customFormat="1">
      <c r="D69" s="129">
        <v>1</v>
      </c>
      <c r="E69" s="129">
        <v>1</v>
      </c>
      <c r="F69" s="132" t="s">
        <v>439</v>
      </c>
      <c r="G69" s="129">
        <v>1</v>
      </c>
    </row>
    <row r="70" spans="1:7" s="128" customFormat="1">
      <c r="D70" s="129" t="s">
        <v>440</v>
      </c>
      <c r="E70" s="129">
        <v>0</v>
      </c>
      <c r="F70" s="132" t="s">
        <v>445</v>
      </c>
      <c r="G70" s="129">
        <v>0</v>
      </c>
    </row>
    <row r="71" spans="1:7" s="128" customFormat="1">
      <c r="D71" s="129" t="s">
        <v>440</v>
      </c>
      <c r="E71" s="129">
        <v>0</v>
      </c>
      <c r="F71" s="132" t="s">
        <v>446</v>
      </c>
      <c r="G71" s="129">
        <v>1</v>
      </c>
    </row>
    <row r="72" spans="1:7" s="128" customFormat="1">
      <c r="D72" s="128" t="s">
        <v>441</v>
      </c>
    </row>
    <row r="73" spans="1:7" s="128" customFormat="1"/>
    <row r="75" spans="1:7">
      <c r="A75" s="78" t="s">
        <v>267</v>
      </c>
    </row>
    <row r="76" spans="1:7" ht="14.25" customHeight="1">
      <c r="B76" s="405" t="s">
        <v>271</v>
      </c>
      <c r="C76" s="405"/>
      <c r="D76" s="405"/>
      <c r="E76" s="405"/>
      <c r="F76" s="405"/>
      <c r="G76" s="405"/>
    </row>
    <row r="77" spans="1:7">
      <c r="B77" s="98" t="s">
        <v>278</v>
      </c>
      <c r="C77" s="98" t="s">
        <v>425</v>
      </c>
      <c r="D77" s="416" t="s">
        <v>272</v>
      </c>
      <c r="E77" s="180" t="s">
        <v>536</v>
      </c>
    </row>
    <row r="78" spans="1:7">
      <c r="B78" s="114"/>
      <c r="C78" s="100"/>
      <c r="D78" s="417"/>
    </row>
    <row r="79" spans="1:7" ht="14.25" customHeight="1">
      <c r="B79" s="99" t="s">
        <v>277</v>
      </c>
      <c r="C79" s="99" t="s">
        <v>276</v>
      </c>
      <c r="D79" s="417"/>
    </row>
    <row r="80" spans="1:7">
      <c r="B80" s="98" t="s">
        <v>278</v>
      </c>
      <c r="C80" s="98" t="s">
        <v>275</v>
      </c>
      <c r="D80" s="416" t="s">
        <v>273</v>
      </c>
    </row>
    <row r="81" spans="1:8">
      <c r="B81" s="100"/>
      <c r="C81" s="100"/>
      <c r="D81" s="417"/>
    </row>
    <row r="82" spans="1:8">
      <c r="B82" s="99" t="s">
        <v>277</v>
      </c>
      <c r="C82" s="99" t="s">
        <v>308</v>
      </c>
      <c r="D82" s="417"/>
    </row>
    <row r="83" spans="1:8">
      <c r="B83" s="98" t="s">
        <v>278</v>
      </c>
      <c r="C83" s="98" t="s">
        <v>309</v>
      </c>
      <c r="D83" s="416" t="s">
        <v>281</v>
      </c>
    </row>
    <row r="84" spans="1:8">
      <c r="B84" s="100"/>
      <c r="C84" s="100"/>
      <c r="D84" s="417"/>
    </row>
    <row r="85" spans="1:8">
      <c r="B85" s="99" t="s">
        <v>277</v>
      </c>
      <c r="C85" s="99" t="s">
        <v>534</v>
      </c>
      <c r="D85" s="417"/>
      <c r="E85" s="180" t="s">
        <v>535</v>
      </c>
    </row>
    <row r="87" spans="1:8">
      <c r="B87" s="404" t="s">
        <v>282</v>
      </c>
      <c r="C87" s="405"/>
      <c r="D87" s="405"/>
      <c r="E87" s="405"/>
      <c r="F87" s="405"/>
      <c r="G87" s="405"/>
    </row>
    <row r="88" spans="1:8">
      <c r="B88" s="117"/>
      <c r="C88" s="118"/>
      <c r="D88" s="118"/>
      <c r="E88" s="118"/>
      <c r="F88" s="118"/>
      <c r="G88" s="118"/>
    </row>
    <row r="89" spans="1:8">
      <c r="B89" s="86" t="s">
        <v>390</v>
      </c>
      <c r="C89" s="408" t="s">
        <v>397</v>
      </c>
      <c r="D89" s="409"/>
      <c r="E89" s="118"/>
      <c r="F89" s="118"/>
      <c r="G89" s="118"/>
    </row>
    <row r="90" spans="1:8">
      <c r="B90" s="119" t="s">
        <v>391</v>
      </c>
      <c r="C90" s="408" t="s">
        <v>393</v>
      </c>
      <c r="D90" s="409"/>
      <c r="E90" s="118"/>
      <c r="F90" s="118"/>
      <c r="G90" s="118"/>
    </row>
    <row r="91" spans="1:8">
      <c r="B91" s="119" t="s">
        <v>392</v>
      </c>
      <c r="C91" s="408" t="s">
        <v>395</v>
      </c>
      <c r="D91" s="409"/>
      <c r="E91" s="118"/>
      <c r="F91" s="118"/>
      <c r="G91" s="118"/>
    </row>
    <row r="92" spans="1:8" ht="19.7" customHeight="1">
      <c r="B92" s="119" t="s">
        <v>394</v>
      </c>
      <c r="C92" s="408" t="s">
        <v>396</v>
      </c>
      <c r="D92" s="409"/>
    </row>
    <row r="95" spans="1:8" ht="42.75" customHeight="1">
      <c r="A95" s="88" t="s">
        <v>284</v>
      </c>
    </row>
    <row r="96" spans="1:8" ht="25.5" customHeight="1">
      <c r="B96" s="110" t="s">
        <v>294</v>
      </c>
      <c r="C96" s="110" t="s">
        <v>305</v>
      </c>
      <c r="D96" s="418" t="s">
        <v>304</v>
      </c>
      <c r="E96" s="418"/>
      <c r="F96" s="418"/>
      <c r="G96" s="418"/>
      <c r="H96" s="110" t="s">
        <v>313</v>
      </c>
    </row>
    <row r="97" spans="2:8">
      <c r="B97" s="105" t="s">
        <v>285</v>
      </c>
      <c r="C97" s="101" t="s">
        <v>306</v>
      </c>
      <c r="D97" s="406" t="s">
        <v>408</v>
      </c>
      <c r="E97" s="407"/>
      <c r="F97" s="407"/>
      <c r="G97" s="407"/>
      <c r="H97" s="108" t="s">
        <v>316</v>
      </c>
    </row>
    <row r="98" spans="2:8" ht="46.5" customHeight="1">
      <c r="B98" s="105" t="s">
        <v>286</v>
      </c>
      <c r="C98" s="101" t="s">
        <v>306</v>
      </c>
      <c r="D98" s="406" t="s">
        <v>409</v>
      </c>
      <c r="E98" s="407"/>
      <c r="F98" s="407"/>
      <c r="G98" s="407"/>
      <c r="H98" s="108" t="s">
        <v>316</v>
      </c>
    </row>
    <row r="99" spans="2:8" ht="101.25" customHeight="1">
      <c r="B99" s="106" t="s">
        <v>287</v>
      </c>
      <c r="C99" s="102" t="s">
        <v>307</v>
      </c>
      <c r="D99" s="406" t="s">
        <v>429</v>
      </c>
      <c r="E99" s="407"/>
      <c r="F99" s="407"/>
      <c r="G99" s="407"/>
      <c r="H99" s="108" t="s">
        <v>317</v>
      </c>
    </row>
    <row r="100" spans="2:8" ht="45.75" customHeight="1">
      <c r="B100" s="105" t="s">
        <v>288</v>
      </c>
      <c r="C100" s="103" t="s">
        <v>307</v>
      </c>
      <c r="D100" s="406" t="s">
        <v>430</v>
      </c>
      <c r="E100" s="407"/>
      <c r="F100" s="407"/>
      <c r="G100" s="407"/>
      <c r="H100" s="108" t="s">
        <v>317</v>
      </c>
    </row>
    <row r="101" spans="2:8">
      <c r="B101" s="105" t="s">
        <v>289</v>
      </c>
      <c r="C101" s="104" t="s">
        <v>306</v>
      </c>
      <c r="D101" s="406" t="s">
        <v>410</v>
      </c>
      <c r="E101" s="407"/>
      <c r="F101" s="407"/>
      <c r="G101" s="407"/>
      <c r="H101" s="108" t="s">
        <v>316</v>
      </c>
    </row>
    <row r="102" spans="2:8">
      <c r="B102" s="105" t="s">
        <v>290</v>
      </c>
      <c r="C102" s="104" t="s">
        <v>306</v>
      </c>
      <c r="D102" s="406" t="s">
        <v>412</v>
      </c>
      <c r="E102" s="407"/>
      <c r="F102" s="407"/>
      <c r="G102" s="407"/>
      <c r="H102" s="108" t="s">
        <v>316</v>
      </c>
    </row>
    <row r="103" spans="2:8" ht="48" customHeight="1">
      <c r="B103" s="105" t="s">
        <v>291</v>
      </c>
      <c r="C103" s="103" t="s">
        <v>307</v>
      </c>
      <c r="D103" s="406" t="s">
        <v>413</v>
      </c>
      <c r="E103" s="407"/>
      <c r="F103" s="407"/>
      <c r="G103" s="407"/>
      <c r="H103" s="108" t="s">
        <v>319</v>
      </c>
    </row>
    <row r="104" spans="2:8">
      <c r="B104" s="105" t="s">
        <v>292</v>
      </c>
      <c r="C104" s="104" t="s">
        <v>306</v>
      </c>
      <c r="D104" s="406" t="s">
        <v>414</v>
      </c>
      <c r="E104" s="407"/>
      <c r="F104" s="407"/>
      <c r="G104" s="407"/>
      <c r="H104" s="108" t="s">
        <v>318</v>
      </c>
    </row>
    <row r="105" spans="2:8" ht="47.25" customHeight="1">
      <c r="B105" s="105" t="s">
        <v>293</v>
      </c>
      <c r="C105" s="104" t="s">
        <v>306</v>
      </c>
      <c r="D105" s="406" t="s">
        <v>415</v>
      </c>
      <c r="E105" s="407"/>
      <c r="F105" s="407"/>
      <c r="G105" s="407"/>
      <c r="H105" s="108" t="s">
        <v>318</v>
      </c>
    </row>
    <row r="106" spans="2:8" ht="49.5" customHeight="1">
      <c r="B106" s="106" t="s">
        <v>343</v>
      </c>
      <c r="C106" s="103" t="s">
        <v>307</v>
      </c>
      <c r="D106" s="406" t="s">
        <v>431</v>
      </c>
      <c r="E106" s="407"/>
      <c r="F106" s="407"/>
      <c r="G106" s="407"/>
      <c r="H106" s="108" t="s">
        <v>319</v>
      </c>
    </row>
    <row r="107" spans="2:8" ht="113.45" customHeight="1">
      <c r="B107" s="106" t="s">
        <v>296</v>
      </c>
      <c r="C107" s="103" t="s">
        <v>307</v>
      </c>
      <c r="D107" s="406" t="s">
        <v>416</v>
      </c>
      <c r="E107" s="407"/>
      <c r="F107" s="407"/>
      <c r="G107" s="407"/>
      <c r="H107" s="108" t="s">
        <v>319</v>
      </c>
    </row>
    <row r="108" spans="2:8" ht="28.5">
      <c r="B108" s="107" t="s">
        <v>297</v>
      </c>
      <c r="C108" s="104" t="s">
        <v>306</v>
      </c>
      <c r="D108" s="406" t="s">
        <v>432</v>
      </c>
      <c r="E108" s="407"/>
      <c r="F108" s="407"/>
      <c r="G108" s="407"/>
      <c r="H108" s="109" t="s">
        <v>314</v>
      </c>
    </row>
    <row r="109" spans="2:8" ht="32.25" customHeight="1">
      <c r="B109" s="106" t="s">
        <v>298</v>
      </c>
      <c r="C109" s="104" t="s">
        <v>306</v>
      </c>
      <c r="D109" s="406" t="s">
        <v>310</v>
      </c>
      <c r="E109" s="407"/>
      <c r="F109" s="407"/>
      <c r="G109" s="407"/>
      <c r="H109" s="108" t="s">
        <v>318</v>
      </c>
    </row>
    <row r="110" spans="2:8" ht="35.25" customHeight="1">
      <c r="B110" s="106" t="s">
        <v>337</v>
      </c>
      <c r="C110" s="103" t="s">
        <v>307</v>
      </c>
      <c r="D110" s="406" t="s">
        <v>433</v>
      </c>
      <c r="E110" s="407"/>
      <c r="F110" s="407"/>
      <c r="G110" s="407"/>
      <c r="H110" s="108" t="s">
        <v>316</v>
      </c>
    </row>
    <row r="111" spans="2:8" ht="28.5">
      <c r="B111" s="107" t="s">
        <v>336</v>
      </c>
      <c r="C111" s="103" t="s">
        <v>307</v>
      </c>
      <c r="D111" s="406" t="s">
        <v>311</v>
      </c>
      <c r="E111" s="407"/>
      <c r="F111" s="407"/>
      <c r="G111" s="407"/>
      <c r="H111" s="108" t="s">
        <v>316</v>
      </c>
    </row>
    <row r="112" spans="2:8" ht="179.25" customHeight="1">
      <c r="B112" s="105" t="s">
        <v>299</v>
      </c>
      <c r="C112" s="103" t="s">
        <v>307</v>
      </c>
      <c r="D112" s="406" t="s">
        <v>481</v>
      </c>
      <c r="E112" s="407"/>
      <c r="F112" s="407"/>
      <c r="G112" s="407"/>
      <c r="H112" s="108" t="s">
        <v>317</v>
      </c>
    </row>
    <row r="113" spans="2:10">
      <c r="B113" s="105" t="s">
        <v>300</v>
      </c>
      <c r="C113" s="103" t="s">
        <v>307</v>
      </c>
      <c r="D113" s="406" t="s">
        <v>338</v>
      </c>
      <c r="E113" s="407"/>
      <c r="F113" s="407"/>
      <c r="G113" s="407"/>
      <c r="H113" s="108" t="s">
        <v>317</v>
      </c>
    </row>
    <row r="114" spans="2:10">
      <c r="B114" s="105" t="s">
        <v>301</v>
      </c>
      <c r="C114" s="103" t="s">
        <v>307</v>
      </c>
      <c r="D114" s="406" t="s">
        <v>339</v>
      </c>
      <c r="E114" s="407"/>
      <c r="F114" s="407"/>
      <c r="G114" s="407"/>
      <c r="H114" s="108" t="s">
        <v>317</v>
      </c>
    </row>
    <row r="115" spans="2:10">
      <c r="B115" s="105" t="s">
        <v>302</v>
      </c>
      <c r="C115" s="104" t="s">
        <v>306</v>
      </c>
      <c r="D115" s="406" t="s">
        <v>331</v>
      </c>
      <c r="E115" s="407"/>
      <c r="F115" s="407"/>
      <c r="G115" s="407"/>
      <c r="H115" s="108" t="s">
        <v>315</v>
      </c>
    </row>
    <row r="116" spans="2:10">
      <c r="B116" s="105" t="s">
        <v>303</v>
      </c>
      <c r="C116" s="104" t="s">
        <v>306</v>
      </c>
      <c r="D116" s="406" t="s">
        <v>312</v>
      </c>
      <c r="E116" s="407"/>
      <c r="F116" s="407"/>
      <c r="G116" s="407"/>
      <c r="H116" s="108" t="s">
        <v>315</v>
      </c>
    </row>
    <row r="118" spans="2:10" ht="15" thickBot="1">
      <c r="B118" s="78" t="s">
        <v>342</v>
      </c>
    </row>
    <row r="119" spans="2:10" ht="20.25" customHeight="1" thickBot="1">
      <c r="B119" s="133" t="s">
        <v>344</v>
      </c>
      <c r="C119" s="134" t="s">
        <v>453</v>
      </c>
      <c r="D119" s="428" t="s">
        <v>452</v>
      </c>
      <c r="E119" s="429"/>
      <c r="F119" s="430" t="s">
        <v>345</v>
      </c>
      <c r="G119" s="429"/>
      <c r="H119" s="428" t="s">
        <v>346</v>
      </c>
      <c r="I119" s="429"/>
      <c r="J119" s="127"/>
    </row>
    <row r="120" spans="2:10" ht="144.75" customHeight="1" thickBot="1">
      <c r="B120" s="112" t="s">
        <v>99</v>
      </c>
      <c r="C120" s="124" t="s">
        <v>447</v>
      </c>
      <c r="D120" s="425"/>
      <c r="E120" s="426"/>
      <c r="F120" s="425" t="s">
        <v>351</v>
      </c>
      <c r="G120" s="426"/>
      <c r="H120" s="425"/>
      <c r="I120" s="426"/>
    </row>
    <row r="121" spans="2:10" ht="147" customHeight="1" thickBot="1">
      <c r="B121" s="112" t="s">
        <v>100</v>
      </c>
      <c r="C121" s="124" t="s">
        <v>448</v>
      </c>
      <c r="D121" s="425"/>
      <c r="E121" s="426"/>
      <c r="F121" s="425" t="s">
        <v>352</v>
      </c>
      <c r="G121" s="426"/>
      <c r="H121" s="425" t="s">
        <v>347</v>
      </c>
      <c r="I121" s="426"/>
    </row>
    <row r="122" spans="2:10" ht="142.5" customHeight="1" thickBot="1">
      <c r="B122" s="112" t="s">
        <v>175</v>
      </c>
      <c r="C122" s="160" t="s">
        <v>511</v>
      </c>
      <c r="D122" s="425"/>
      <c r="E122" s="426"/>
      <c r="F122" s="425" t="s">
        <v>353</v>
      </c>
      <c r="G122" s="426"/>
      <c r="H122" s="425" t="s">
        <v>347</v>
      </c>
      <c r="I122" s="426"/>
    </row>
    <row r="123" spans="2:10" ht="145.69999999999999" customHeight="1" thickBot="1">
      <c r="B123" s="112" t="s">
        <v>66</v>
      </c>
      <c r="C123" s="124" t="s">
        <v>449</v>
      </c>
      <c r="D123" s="425"/>
      <c r="E123" s="426"/>
      <c r="F123" s="425" t="s">
        <v>510</v>
      </c>
      <c r="G123" s="426"/>
      <c r="H123" s="425" t="s">
        <v>509</v>
      </c>
      <c r="I123" s="427"/>
    </row>
    <row r="124" spans="2:10" ht="143.25" customHeight="1" thickBot="1">
      <c r="B124" s="112" t="s">
        <v>178</v>
      </c>
      <c r="C124" s="124" t="s">
        <v>450</v>
      </c>
      <c r="D124" s="425"/>
      <c r="E124" s="426"/>
      <c r="F124" s="425" t="s">
        <v>354</v>
      </c>
      <c r="G124" s="426"/>
      <c r="H124" s="425" t="s">
        <v>350</v>
      </c>
      <c r="I124" s="427"/>
    </row>
    <row r="125" spans="2:10" ht="140.25" customHeight="1" thickBot="1">
      <c r="B125" s="112" t="s">
        <v>180</v>
      </c>
      <c r="C125" s="124" t="s">
        <v>451</v>
      </c>
      <c r="D125" s="425"/>
      <c r="E125" s="426"/>
      <c r="F125" s="425" t="s">
        <v>354</v>
      </c>
      <c r="G125" s="426"/>
      <c r="H125" s="425" t="s">
        <v>349</v>
      </c>
      <c r="I125" s="427"/>
    </row>
    <row r="127" spans="2:10">
      <c r="B127" s="402" t="s">
        <v>454</v>
      </c>
      <c r="C127" s="403"/>
      <c r="D127" s="403"/>
    </row>
    <row r="129" spans="2:5" ht="15" thickBot="1">
      <c r="B129" s="78" t="s">
        <v>340</v>
      </c>
    </row>
    <row r="130" spans="2:5" ht="16.5" thickBot="1">
      <c r="B130" s="111" t="s">
        <v>329</v>
      </c>
      <c r="C130" s="139" t="s">
        <v>295</v>
      </c>
      <c r="D130" s="425" t="s">
        <v>465</v>
      </c>
      <c r="E130" s="426"/>
    </row>
    <row r="131" spans="2:5" ht="50.25" customHeight="1" thickBot="1">
      <c r="B131" s="112" t="s">
        <v>109</v>
      </c>
      <c r="C131" s="128" t="s">
        <v>320</v>
      </c>
      <c r="D131" s="440"/>
      <c r="E131" s="441"/>
    </row>
    <row r="132" spans="2:5" ht="48.75" customHeight="1" thickBot="1">
      <c r="B132" s="112" t="s">
        <v>111</v>
      </c>
      <c r="C132" s="124" t="s">
        <v>321</v>
      </c>
      <c r="D132" s="425"/>
      <c r="E132" s="426"/>
    </row>
    <row r="133" spans="2:5" ht="88.5" customHeight="1" thickBot="1">
      <c r="B133" s="112" t="s">
        <v>110</v>
      </c>
      <c r="C133" s="124" t="s">
        <v>322</v>
      </c>
      <c r="D133" s="425"/>
      <c r="E133" s="426"/>
    </row>
    <row r="134" spans="2:5" ht="149.44999999999999" customHeight="1" thickBot="1">
      <c r="B134" s="113" t="s">
        <v>54</v>
      </c>
      <c r="C134" s="124" t="s">
        <v>323</v>
      </c>
      <c r="D134" s="425"/>
      <c r="E134" s="426"/>
    </row>
    <row r="135" spans="2:5" ht="149.44999999999999" customHeight="1" thickBot="1">
      <c r="B135" s="113" t="s">
        <v>53</v>
      </c>
      <c r="C135" s="124" t="s">
        <v>324</v>
      </c>
      <c r="D135" s="425"/>
      <c r="E135" s="426"/>
    </row>
    <row r="136" spans="2:5" ht="149.44999999999999" customHeight="1" thickBot="1">
      <c r="B136" s="113" t="s">
        <v>52</v>
      </c>
      <c r="C136" s="124" t="s">
        <v>325</v>
      </c>
      <c r="D136" s="425"/>
      <c r="E136" s="426"/>
    </row>
    <row r="137" spans="2:5" ht="145.69999999999999" customHeight="1" thickBot="1">
      <c r="B137" s="113" t="s">
        <v>115</v>
      </c>
      <c r="C137" s="124" t="s">
        <v>326</v>
      </c>
      <c r="D137" s="425"/>
      <c r="E137" s="426"/>
    </row>
    <row r="138" spans="2:5" ht="148.5" customHeight="1" thickBot="1">
      <c r="B138" s="113" t="s">
        <v>500</v>
      </c>
      <c r="C138" s="124" t="s">
        <v>330</v>
      </c>
      <c r="D138" s="425"/>
      <c r="E138" s="426"/>
    </row>
    <row r="139" spans="2:5" ht="163.69999999999999" customHeight="1" thickBot="1">
      <c r="B139" s="113" t="s">
        <v>51</v>
      </c>
      <c r="C139" s="124" t="s">
        <v>327</v>
      </c>
      <c r="D139" s="425"/>
      <c r="E139" s="426"/>
    </row>
    <row r="140" spans="2:5" ht="150.75" customHeight="1" thickBot="1">
      <c r="B140" s="113" t="s">
        <v>55</v>
      </c>
      <c r="C140" s="124" t="s">
        <v>328</v>
      </c>
      <c r="D140" s="425"/>
      <c r="E140" s="426"/>
    </row>
    <row r="142" spans="2:5" ht="32.25" customHeight="1">
      <c r="B142" s="402"/>
      <c r="C142" s="403"/>
      <c r="D142" s="403"/>
    </row>
    <row r="143" spans="2:5" s="128" customFormat="1">
      <c r="B143" s="125"/>
      <c r="C143" s="126"/>
      <c r="D143" s="126"/>
    </row>
    <row r="144" spans="2:5" s="128" customFormat="1">
      <c r="B144" s="125"/>
      <c r="C144" s="126"/>
      <c r="D144" s="126"/>
    </row>
    <row r="145" spans="1:7" ht="15" thickBot="1">
      <c r="B145" s="78" t="s">
        <v>341</v>
      </c>
    </row>
    <row r="146" spans="1:7" ht="16.5" thickBot="1">
      <c r="B146" s="442" t="s">
        <v>334</v>
      </c>
      <c r="C146" s="443"/>
      <c r="D146" s="442" t="s">
        <v>295</v>
      </c>
      <c r="E146" s="450"/>
      <c r="F146" s="451"/>
      <c r="G146" s="452"/>
    </row>
    <row r="147" spans="1:7" ht="305.25" customHeight="1" thickBot="1">
      <c r="B147" s="444" t="s">
        <v>505</v>
      </c>
      <c r="C147" s="445"/>
      <c r="D147" s="446" t="s">
        <v>504</v>
      </c>
      <c r="E147" s="447"/>
      <c r="F147" s="448"/>
      <c r="G147" s="449"/>
    </row>
    <row r="148" spans="1:7" ht="45.75" customHeight="1" thickBot="1">
      <c r="B148" s="444" t="s">
        <v>332</v>
      </c>
      <c r="C148" s="445"/>
      <c r="D148" s="425" t="s">
        <v>333</v>
      </c>
      <c r="E148" s="453"/>
      <c r="F148" s="454"/>
      <c r="G148" s="455"/>
    </row>
    <row r="149" spans="1:7" ht="15" customHeight="1"/>
    <row r="150" spans="1:7" ht="41.45" customHeight="1">
      <c r="B150" s="402" t="s">
        <v>466</v>
      </c>
      <c r="C150" s="403"/>
      <c r="D150" s="403"/>
      <c r="E150" s="403"/>
      <c r="F150" s="403"/>
      <c r="G150" s="403"/>
    </row>
    <row r="154" spans="1:7" ht="28.5">
      <c r="A154" s="88" t="s">
        <v>335</v>
      </c>
    </row>
    <row r="155" spans="1:7" ht="56.25" customHeight="1">
      <c r="B155" s="402" t="s">
        <v>467</v>
      </c>
      <c r="C155" s="403"/>
      <c r="D155" s="403"/>
      <c r="E155" s="403"/>
      <c r="F155" s="403"/>
      <c r="G155" s="403"/>
    </row>
    <row r="156" spans="1:7">
      <c r="B156" s="78" t="s">
        <v>355</v>
      </c>
    </row>
    <row r="157" spans="1:7">
      <c r="B157" s="69" t="s">
        <v>496</v>
      </c>
      <c r="C157" s="69" t="s">
        <v>67</v>
      </c>
      <c r="D157" s="71" t="s">
        <v>73</v>
      </c>
      <c r="E157" s="71" t="s">
        <v>74</v>
      </c>
      <c r="F157" s="71" t="s">
        <v>76</v>
      </c>
      <c r="G157" s="69" t="s">
        <v>69</v>
      </c>
    </row>
    <row r="158" spans="1:7" ht="42.75">
      <c r="B158" s="115" t="s">
        <v>357</v>
      </c>
      <c r="C158" s="72" t="s">
        <v>166</v>
      </c>
      <c r="D158" s="72" t="s">
        <v>165</v>
      </c>
      <c r="E158" s="72"/>
      <c r="F158" s="70"/>
      <c r="G158" s="74" t="s">
        <v>77</v>
      </c>
    </row>
    <row r="159" spans="1:7" ht="42.75">
      <c r="B159" s="70"/>
      <c r="C159" s="72" t="s">
        <v>167</v>
      </c>
      <c r="D159" s="72" t="s">
        <v>172</v>
      </c>
      <c r="E159" s="72"/>
      <c r="F159" s="70"/>
      <c r="G159" s="74" t="s">
        <v>77</v>
      </c>
    </row>
    <row r="160" spans="1:7" ht="42.75">
      <c r="B160" s="70"/>
      <c r="C160" s="72" t="s">
        <v>168</v>
      </c>
      <c r="D160" s="72" t="s">
        <v>169</v>
      </c>
      <c r="E160" s="72" t="s">
        <v>173</v>
      </c>
      <c r="F160" s="70"/>
      <c r="G160" s="74" t="s">
        <v>77</v>
      </c>
    </row>
    <row r="162" spans="1:8">
      <c r="B162" s="402" t="s">
        <v>468</v>
      </c>
      <c r="C162" s="403"/>
      <c r="D162" s="403"/>
      <c r="E162" s="403"/>
      <c r="F162" s="403"/>
      <c r="G162" s="403"/>
    </row>
    <row r="163" spans="1:8">
      <c r="B163" s="403"/>
      <c r="C163" s="403"/>
      <c r="D163" s="403"/>
      <c r="E163" s="403"/>
      <c r="F163" s="403"/>
      <c r="G163" s="403"/>
    </row>
    <row r="165" spans="1:8">
      <c r="B165" s="78" t="s">
        <v>356</v>
      </c>
    </row>
    <row r="166" spans="1:8">
      <c r="B166" s="71" t="s">
        <v>78</v>
      </c>
      <c r="C166" s="71" t="s">
        <v>79</v>
      </c>
      <c r="D166" s="71" t="s">
        <v>70</v>
      </c>
      <c r="E166" s="71" t="s">
        <v>171</v>
      </c>
      <c r="F166" s="71" t="s">
        <v>71</v>
      </c>
      <c r="G166" s="71" t="s">
        <v>72</v>
      </c>
      <c r="H166" s="69" t="s">
        <v>69</v>
      </c>
    </row>
    <row r="167" spans="1:8" ht="96.75" customHeight="1">
      <c r="B167" s="72" t="s">
        <v>80</v>
      </c>
      <c r="C167" s="70" t="s">
        <v>84</v>
      </c>
      <c r="D167" s="72" t="s">
        <v>82</v>
      </c>
      <c r="E167" s="72" t="s">
        <v>170</v>
      </c>
      <c r="F167" s="72"/>
      <c r="G167" s="70"/>
      <c r="H167" s="73" t="s">
        <v>87</v>
      </c>
    </row>
    <row r="168" spans="1:8" ht="38.25" customHeight="1">
      <c r="B168" s="72" t="s">
        <v>81</v>
      </c>
      <c r="C168" s="72" t="s">
        <v>86</v>
      </c>
      <c r="D168" s="72" t="s">
        <v>75</v>
      </c>
      <c r="E168" s="72" t="s">
        <v>170</v>
      </c>
      <c r="F168" s="70"/>
      <c r="G168" s="70"/>
      <c r="H168" s="73"/>
    </row>
    <row r="170" spans="1:8">
      <c r="B170" s="402" t="s">
        <v>469</v>
      </c>
      <c r="C170" s="403"/>
      <c r="D170" s="403"/>
      <c r="E170" s="403"/>
      <c r="F170" s="403"/>
      <c r="G170" s="403"/>
    </row>
    <row r="171" spans="1:8" ht="57.75" customHeight="1">
      <c r="B171" s="403"/>
      <c r="C171" s="403"/>
      <c r="D171" s="403"/>
      <c r="E171" s="403"/>
      <c r="F171" s="403"/>
      <c r="G171" s="403"/>
    </row>
    <row r="175" spans="1:8" ht="28.5">
      <c r="A175" s="88" t="s">
        <v>358</v>
      </c>
    </row>
    <row r="176" spans="1:8" ht="28.5" customHeight="1">
      <c r="B176" s="402" t="s">
        <v>470</v>
      </c>
      <c r="C176" s="403"/>
      <c r="D176" s="403"/>
      <c r="E176" s="403"/>
      <c r="F176" s="403"/>
      <c r="G176" s="403"/>
    </row>
    <row r="178" spans="2:6">
      <c r="B178" s="78" t="s">
        <v>359</v>
      </c>
    </row>
    <row r="179" spans="2:6">
      <c r="B179" s="110" t="s">
        <v>360</v>
      </c>
      <c r="C179" s="431" t="s">
        <v>361</v>
      </c>
      <c r="D179" s="432"/>
      <c r="E179" s="433"/>
    </row>
    <row r="180" spans="2:6" ht="33.950000000000003" customHeight="1">
      <c r="B180" s="87" t="s">
        <v>364</v>
      </c>
      <c r="C180" s="419" t="s">
        <v>366</v>
      </c>
      <c r="D180" s="420"/>
      <c r="E180" s="421"/>
    </row>
    <row r="181" spans="2:6" ht="32.25" customHeight="1">
      <c r="B181" s="87" t="s">
        <v>362</v>
      </c>
      <c r="C181" s="419" t="s">
        <v>471</v>
      </c>
      <c r="D181" s="420"/>
      <c r="E181" s="421"/>
    </row>
    <row r="182" spans="2:6" ht="14.25" customHeight="1">
      <c r="B182" s="87" t="s">
        <v>363</v>
      </c>
      <c r="C182" s="419" t="s">
        <v>365</v>
      </c>
      <c r="D182" s="420"/>
      <c r="E182" s="421"/>
    </row>
    <row r="185" spans="2:6">
      <c r="B185" s="67" t="s">
        <v>367</v>
      </c>
      <c r="C185" s="66"/>
      <c r="D185" s="66"/>
      <c r="E185" s="66"/>
      <c r="F185" s="66"/>
    </row>
    <row r="186" spans="2:6">
      <c r="B186" s="437" t="s">
        <v>88</v>
      </c>
      <c r="C186" s="80" t="s">
        <v>263</v>
      </c>
      <c r="D186" s="116" t="s">
        <v>399</v>
      </c>
      <c r="E186" s="80" t="s">
        <v>283</v>
      </c>
      <c r="F186" s="80" t="s">
        <v>539</v>
      </c>
    </row>
    <row r="187" spans="2:6">
      <c r="B187" s="438"/>
      <c r="C187" s="80" t="s">
        <v>94</v>
      </c>
      <c r="D187" s="81">
        <v>12</v>
      </c>
      <c r="E187" s="80" t="s">
        <v>97</v>
      </c>
      <c r="F187" s="80" t="s">
        <v>538</v>
      </c>
    </row>
    <row r="188" spans="2:6">
      <c r="B188" s="439"/>
      <c r="C188" s="80" t="s">
        <v>95</v>
      </c>
      <c r="D188" s="81">
        <v>32</v>
      </c>
      <c r="E188" s="80" t="s">
        <v>280</v>
      </c>
      <c r="F188" s="80" t="s">
        <v>531</v>
      </c>
    </row>
    <row r="190" spans="2:6">
      <c r="B190" s="110" t="s">
        <v>368</v>
      </c>
      <c r="C190" s="431" t="s">
        <v>361</v>
      </c>
      <c r="D190" s="432"/>
      <c r="E190" s="433"/>
    </row>
    <row r="191" spans="2:6" ht="34.5" customHeight="1">
      <c r="B191" s="87" t="s">
        <v>369</v>
      </c>
      <c r="C191" s="419" t="s">
        <v>370</v>
      </c>
      <c r="D191" s="420"/>
      <c r="E191" s="421"/>
    </row>
    <row r="192" spans="2:6">
      <c r="B192" s="87" t="s">
        <v>371</v>
      </c>
      <c r="C192" s="419" t="s">
        <v>373</v>
      </c>
      <c r="D192" s="420"/>
      <c r="E192" s="421"/>
    </row>
    <row r="193" spans="2:7">
      <c r="B193" s="87" t="s">
        <v>372</v>
      </c>
      <c r="C193" s="419" t="s">
        <v>377</v>
      </c>
      <c r="D193" s="420"/>
      <c r="E193" s="421"/>
    </row>
    <row r="194" spans="2:7" ht="53.25" customHeight="1">
      <c r="B194" s="87" t="s">
        <v>274</v>
      </c>
      <c r="C194" s="419" t="s">
        <v>472</v>
      </c>
      <c r="D194" s="420"/>
      <c r="E194" s="421"/>
    </row>
    <row r="195" spans="2:7" ht="26.25" customHeight="1">
      <c r="B195" s="87" t="s">
        <v>374</v>
      </c>
      <c r="C195" s="419" t="s">
        <v>376</v>
      </c>
      <c r="D195" s="420"/>
      <c r="E195" s="421"/>
    </row>
    <row r="196" spans="2:7" ht="27.75" customHeight="1">
      <c r="B196" s="87" t="s">
        <v>375</v>
      </c>
      <c r="C196" s="419" t="s">
        <v>378</v>
      </c>
      <c r="D196" s="420"/>
      <c r="E196" s="421"/>
    </row>
    <row r="198" spans="2:7">
      <c r="B198" s="67" t="s">
        <v>379</v>
      </c>
    </row>
    <row r="199" spans="2:7">
      <c r="B199" s="82" t="s">
        <v>153</v>
      </c>
      <c r="C199" s="82" t="s">
        <v>102</v>
      </c>
      <c r="D199" s="82" t="s">
        <v>383</v>
      </c>
      <c r="E199" s="82" t="s">
        <v>384</v>
      </c>
      <c r="F199" s="83" t="s">
        <v>156</v>
      </c>
      <c r="G199" s="82" t="s">
        <v>155</v>
      </c>
    </row>
    <row r="200" spans="2:7">
      <c r="B200" s="434" t="s">
        <v>157</v>
      </c>
      <c r="C200" s="83" t="s">
        <v>96</v>
      </c>
      <c r="D200" s="83">
        <v>11</v>
      </c>
      <c r="E200" s="83">
        <v>11</v>
      </c>
      <c r="F200" s="83" t="s">
        <v>99</v>
      </c>
      <c r="G200" s="82" t="s">
        <v>188</v>
      </c>
    </row>
    <row r="201" spans="2:7">
      <c r="B201" s="435"/>
      <c r="C201" s="82" t="s">
        <v>89</v>
      </c>
      <c r="D201" s="82">
        <v>10</v>
      </c>
      <c r="E201" s="83">
        <v>10</v>
      </c>
      <c r="F201" s="83" t="s">
        <v>100</v>
      </c>
      <c r="G201" s="82" t="s">
        <v>189</v>
      </c>
    </row>
    <row r="202" spans="2:7">
      <c r="B202" s="435"/>
      <c r="C202" s="82" t="s">
        <v>90</v>
      </c>
      <c r="D202" s="82">
        <v>9</v>
      </c>
      <c r="E202" s="83">
        <v>9</v>
      </c>
      <c r="F202" s="82" t="s">
        <v>175</v>
      </c>
      <c r="G202" s="82" t="s">
        <v>190</v>
      </c>
    </row>
    <row r="203" spans="2:7">
      <c r="B203" s="435"/>
      <c r="C203" s="82" t="s">
        <v>91</v>
      </c>
      <c r="D203" s="82">
        <v>8</v>
      </c>
      <c r="E203" s="83">
        <v>8</v>
      </c>
      <c r="F203" s="82" t="s">
        <v>66</v>
      </c>
      <c r="G203" s="82" t="s">
        <v>190</v>
      </c>
    </row>
    <row r="204" spans="2:7">
      <c r="B204" s="435"/>
      <c r="C204" s="82" t="s">
        <v>92</v>
      </c>
      <c r="D204" s="82">
        <v>7</v>
      </c>
      <c r="E204" s="83">
        <v>2</v>
      </c>
      <c r="F204" s="82" t="s">
        <v>178</v>
      </c>
      <c r="G204" s="82" t="s">
        <v>191</v>
      </c>
    </row>
    <row r="205" spans="2:7">
      <c r="B205" s="436"/>
      <c r="C205" s="82" t="s">
        <v>93</v>
      </c>
      <c r="D205" s="82">
        <v>1</v>
      </c>
      <c r="E205" s="83">
        <v>0</v>
      </c>
      <c r="F205" s="82" t="s">
        <v>180</v>
      </c>
      <c r="G205" s="82" t="s">
        <v>191</v>
      </c>
    </row>
    <row r="206" spans="2:7">
      <c r="B206" s="397" t="s">
        <v>160</v>
      </c>
      <c r="C206" s="82" t="s">
        <v>158</v>
      </c>
      <c r="D206" s="83">
        <v>1</v>
      </c>
      <c r="E206" s="83">
        <v>1</v>
      </c>
      <c r="F206" s="83" t="s">
        <v>99</v>
      </c>
      <c r="G206" s="82" t="s">
        <v>185</v>
      </c>
    </row>
    <row r="207" spans="2:7">
      <c r="B207" s="398"/>
      <c r="C207" s="82" t="s">
        <v>159</v>
      </c>
      <c r="D207" s="83">
        <v>0</v>
      </c>
      <c r="E207" s="83">
        <v>0</v>
      </c>
      <c r="F207" s="83" t="s">
        <v>100</v>
      </c>
      <c r="G207" s="82" t="s">
        <v>185</v>
      </c>
    </row>
    <row r="208" spans="2:7">
      <c r="B208" s="399"/>
      <c r="C208" s="82"/>
      <c r="D208" s="82"/>
      <c r="E208" s="82"/>
      <c r="F208" s="82" t="s">
        <v>175</v>
      </c>
      <c r="G208" s="82" t="s">
        <v>186</v>
      </c>
    </row>
    <row r="209" spans="2:7">
      <c r="B209" s="399"/>
      <c r="C209" s="82"/>
      <c r="D209" s="82"/>
      <c r="E209" s="82"/>
      <c r="F209" s="82" t="s">
        <v>66</v>
      </c>
      <c r="G209" s="82" t="s">
        <v>186</v>
      </c>
    </row>
    <row r="210" spans="2:7">
      <c r="B210" s="399"/>
      <c r="C210" s="82"/>
      <c r="D210" s="82"/>
      <c r="E210" s="82"/>
      <c r="F210" s="82" t="s">
        <v>178</v>
      </c>
      <c r="G210" s="82" t="s">
        <v>187</v>
      </c>
    </row>
    <row r="211" spans="2:7">
      <c r="B211" s="399"/>
      <c r="C211" s="82"/>
      <c r="D211" s="82"/>
      <c r="E211" s="83"/>
      <c r="F211" s="82" t="s">
        <v>180</v>
      </c>
      <c r="G211" s="82" t="s">
        <v>187</v>
      </c>
    </row>
    <row r="212" spans="2:7">
      <c r="B212" s="397" t="s">
        <v>164</v>
      </c>
      <c r="C212" s="82" t="s">
        <v>158</v>
      </c>
      <c r="D212" s="83">
        <v>4</v>
      </c>
      <c r="E212" s="83">
        <v>4</v>
      </c>
      <c r="F212" s="83" t="s">
        <v>99</v>
      </c>
      <c r="G212" s="82" t="s">
        <v>181</v>
      </c>
    </row>
    <row r="213" spans="2:7">
      <c r="B213" s="398"/>
      <c r="C213" s="82" t="s">
        <v>99</v>
      </c>
      <c r="D213" s="83">
        <v>3</v>
      </c>
      <c r="E213" s="83">
        <v>3</v>
      </c>
      <c r="F213" s="83" t="s">
        <v>100</v>
      </c>
      <c r="G213" s="82" t="s">
        <v>182</v>
      </c>
    </row>
    <row r="214" spans="2:7">
      <c r="B214" s="399"/>
      <c r="C214" s="82" t="s">
        <v>90</v>
      </c>
      <c r="D214" s="83">
        <v>2</v>
      </c>
      <c r="E214" s="83">
        <v>2</v>
      </c>
      <c r="F214" s="82" t="s">
        <v>175</v>
      </c>
      <c r="G214" s="82" t="s">
        <v>183</v>
      </c>
    </row>
    <row r="215" spans="2:7">
      <c r="B215" s="399"/>
      <c r="C215" s="82" t="s">
        <v>163</v>
      </c>
      <c r="D215" s="83">
        <v>1</v>
      </c>
      <c r="E215" s="83">
        <v>0</v>
      </c>
      <c r="F215" s="82" t="s">
        <v>66</v>
      </c>
      <c r="G215" s="82" t="s">
        <v>183</v>
      </c>
    </row>
    <row r="216" spans="2:7">
      <c r="B216" s="399"/>
      <c r="C216" s="83"/>
      <c r="D216" s="83"/>
      <c r="E216" s="83"/>
      <c r="F216" s="82" t="s">
        <v>178</v>
      </c>
      <c r="G216" s="83" t="s">
        <v>184</v>
      </c>
    </row>
    <row r="217" spans="2:7">
      <c r="B217" s="399"/>
      <c r="C217" s="83"/>
      <c r="D217" s="83"/>
      <c r="E217" s="83"/>
      <c r="F217" s="82" t="s">
        <v>180</v>
      </c>
      <c r="G217" s="83" t="s">
        <v>184</v>
      </c>
    </row>
    <row r="220" spans="2:7">
      <c r="B220" s="110" t="s">
        <v>381</v>
      </c>
      <c r="C220" s="431" t="s">
        <v>361</v>
      </c>
      <c r="D220" s="432"/>
      <c r="E220" s="433"/>
    </row>
    <row r="221" spans="2:7">
      <c r="B221" s="87" t="s">
        <v>380</v>
      </c>
      <c r="C221" s="419" t="s">
        <v>389</v>
      </c>
      <c r="D221" s="420"/>
      <c r="E221" s="421"/>
    </row>
    <row r="222" spans="2:7" ht="64.5" customHeight="1">
      <c r="B222" s="87" t="s">
        <v>295</v>
      </c>
      <c r="C222" s="419" t="s">
        <v>474</v>
      </c>
      <c r="D222" s="420"/>
      <c r="E222" s="421"/>
    </row>
    <row r="223" spans="2:7" ht="34.5" customHeight="1">
      <c r="B223" s="87" t="s">
        <v>382</v>
      </c>
      <c r="C223" s="419" t="s">
        <v>475</v>
      </c>
      <c r="D223" s="420"/>
      <c r="E223" s="421"/>
    </row>
    <row r="224" spans="2:7" ht="37.700000000000003" customHeight="1">
      <c r="B224" s="87" t="s">
        <v>385</v>
      </c>
      <c r="C224" s="419" t="s">
        <v>476</v>
      </c>
      <c r="D224" s="420"/>
      <c r="E224" s="421"/>
    </row>
    <row r="225" spans="1:7">
      <c r="B225" s="87" t="s">
        <v>386</v>
      </c>
      <c r="C225" s="422" t="s">
        <v>388</v>
      </c>
      <c r="D225" s="423"/>
      <c r="E225" s="424"/>
    </row>
    <row r="226" spans="1:7" ht="36" customHeight="1">
      <c r="B226" s="87" t="s">
        <v>387</v>
      </c>
      <c r="C226" s="419" t="s">
        <v>473</v>
      </c>
      <c r="D226" s="420"/>
      <c r="E226" s="421"/>
    </row>
    <row r="229" spans="1:7" s="120" customFormat="1"/>
    <row r="231" spans="1:7">
      <c r="A231" s="88" t="s">
        <v>400</v>
      </c>
    </row>
    <row r="232" spans="1:7" ht="44.25" customHeight="1">
      <c r="B232" s="402" t="s">
        <v>402</v>
      </c>
      <c r="C232" s="403"/>
      <c r="D232" s="403"/>
      <c r="E232" s="403"/>
      <c r="F232" s="403"/>
      <c r="G232" s="403"/>
    </row>
    <row r="233" spans="1:7" ht="74.25" customHeight="1">
      <c r="B233" s="402" t="s">
        <v>485</v>
      </c>
      <c r="C233" s="403"/>
      <c r="D233" s="403"/>
      <c r="E233" s="403"/>
      <c r="F233" s="403"/>
      <c r="G233" s="403"/>
    </row>
    <row r="234" spans="1:7" ht="19.7" customHeight="1">
      <c r="B234" s="85"/>
      <c r="C234" s="85"/>
      <c r="D234" s="85"/>
      <c r="E234" s="85"/>
      <c r="F234" s="85"/>
      <c r="G234" s="85"/>
    </row>
    <row r="237" spans="1:7" s="120" customFormat="1">
      <c r="A237" s="121" t="s">
        <v>417</v>
      </c>
    </row>
    <row r="238" spans="1:7">
      <c r="B238" s="123" t="s">
        <v>406</v>
      </c>
      <c r="C238" s="122" t="s">
        <v>405</v>
      </c>
    </row>
    <row r="239" spans="1:7" ht="147" customHeight="1">
      <c r="B239" s="402" t="s">
        <v>515</v>
      </c>
      <c r="C239" s="402"/>
      <c r="D239" s="402"/>
      <c r="E239" s="402"/>
      <c r="F239" s="402"/>
      <c r="G239" s="402"/>
    </row>
  </sheetData>
  <mergeCells count="115">
    <mergeCell ref="D124:E124"/>
    <mergeCell ref="D125:E125"/>
    <mergeCell ref="D131:E131"/>
    <mergeCell ref="D132:E132"/>
    <mergeCell ref="D133:E133"/>
    <mergeCell ref="D134:E134"/>
    <mergeCell ref="C221:E221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C226:E226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0:E220"/>
    <mergeCell ref="B186:B188"/>
    <mergeCell ref="C190:E190"/>
    <mergeCell ref="C191:E191"/>
    <mergeCell ref="C192:E192"/>
    <mergeCell ref="C193:E193"/>
    <mergeCell ref="C194:E194"/>
    <mergeCell ref="C222:E222"/>
    <mergeCell ref="C223:E223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C89:D89"/>
    <mergeCell ref="B21:E21"/>
    <mergeCell ref="B3:G3"/>
    <mergeCell ref="B232:G232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24:E224"/>
    <mergeCell ref="C225:E225"/>
    <mergeCell ref="B239:G239"/>
    <mergeCell ref="B233:G233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</mergeCells>
  <phoneticPr fontId="39" type="noConversion"/>
  <dataValidations disablePrompts="1" count="3">
    <dataValidation type="list" allowBlank="1" showInputMessage="1" showErrorMessage="1" sqref="C238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4:E47"/>
  <sheetViews>
    <sheetView topLeftCell="A19" workbookViewId="0">
      <selection activeCell="F36" sqref="F36"/>
    </sheetView>
  </sheetViews>
  <sheetFormatPr defaultRowHeight="14.25"/>
  <cols>
    <col min="1" max="1" width="9" style="147"/>
    <col min="2" max="6" width="24.875" style="147" customWidth="1"/>
    <col min="7" max="16384" width="9" style="147"/>
  </cols>
  <sheetData>
    <row r="4" spans="1:4">
      <c r="A4" s="274" t="s">
        <v>1075</v>
      </c>
      <c r="B4" s="147" t="str">
        <f>'IO Pad'!U4</f>
        <v>clkin_sleep</v>
      </c>
    </row>
    <row r="5" spans="1:4">
      <c r="A5" s="274" t="s">
        <v>1075</v>
      </c>
      <c r="B5" s="147" t="str">
        <f>'IO Pad'!U5</f>
        <v>rstin_n</v>
      </c>
    </row>
    <row r="6" spans="1:4">
      <c r="A6" s="274" t="s">
        <v>1075</v>
      </c>
      <c r="B6" s="147" t="str">
        <f>'IO Pad'!U6</f>
        <v>rstout_n</v>
      </c>
    </row>
    <row r="7" spans="1:4">
      <c r="A7" s="275" t="s">
        <v>1075</v>
      </c>
      <c r="B7" s="147" t="str">
        <f>'IO Pad'!U7</f>
        <v>pmu_irq_n</v>
      </c>
      <c r="C7" s="147" t="str">
        <f>'IO Pad'!AJ7</f>
        <v>et2abb_et_mode_sel</v>
      </c>
    </row>
    <row r="8" spans="1:4">
      <c r="A8" s="275" t="s">
        <v>1075</v>
      </c>
      <c r="B8" s="147" t="str">
        <f>'IO Pad'!U8</f>
        <v>pmu_ssi</v>
      </c>
      <c r="C8" s="147" t="str">
        <f>'IO Pad'!AJ8</f>
        <v>ch1_rx_clk</v>
      </c>
    </row>
    <row r="9" spans="1:4">
      <c r="A9" s="275" t="s">
        <v>1075</v>
      </c>
      <c r="B9" s="147" t="str">
        <f>'IO Pad'!U9</f>
        <v>pmu_hkadc_ssi</v>
      </c>
      <c r="C9" s="147" t="str">
        <f>'IO Pad'!AJ9</f>
        <v>ch1_rx_vld</v>
      </c>
    </row>
    <row r="10" spans="1:4">
      <c r="A10" s="275" t="s">
        <v>1075</v>
      </c>
      <c r="B10" s="147" t="str">
        <f>'IO Pad'!U10</f>
        <v>pmu_auxdac0_ssi</v>
      </c>
      <c r="C10" s="147" t="str">
        <f>'IO Pad'!Z10</f>
        <v>gpio0[0]</v>
      </c>
      <c r="D10" s="147" t="str">
        <f>'IO Pad'!AJ10</f>
        <v>ch1_rxa_data[0]</v>
      </c>
    </row>
    <row r="11" spans="1:4">
      <c r="A11" s="275" t="s">
        <v>1075</v>
      </c>
      <c r="B11" s="147" t="str">
        <f>'IO Pad'!U11</f>
        <v>gpio0[1]</v>
      </c>
      <c r="C11" s="147" t="str">
        <f>'IO Pad'!Z11</f>
        <v>pmu_auxdac1_ssi</v>
      </c>
      <c r="D11" s="147" t="str">
        <f>'IO Pad'!AJ11</f>
        <v>ch1_rxa_data[1]</v>
      </c>
    </row>
    <row r="12" spans="1:4">
      <c r="A12" s="275" t="s">
        <v>1075</v>
      </c>
      <c r="B12" s="147" t="str">
        <f>'IO Pad'!U12</f>
        <v>pmu_ssi_clk</v>
      </c>
      <c r="C12" s="147" t="str">
        <f>'IO Pad'!Z12</f>
        <v>gpio0[2]</v>
      </c>
      <c r="D12" s="147" t="str">
        <f>'IO Pad'!AJ12</f>
        <v>ch1_rxa_data[2]</v>
      </c>
    </row>
    <row r="13" spans="1:4">
      <c r="A13" s="275" t="s">
        <v>1075</v>
      </c>
      <c r="B13" s="147" t="str">
        <f>'IO Pad'!U13</f>
        <v>ch0_tcxo_en</v>
      </c>
      <c r="C13" s="147" t="str">
        <f>'IO Pad'!Z13</f>
        <v>gpio0[3]</v>
      </c>
      <c r="D13" s="147" t="str">
        <f>'IO Pad'!AJ13</f>
        <v>ch1_rxa_data[3]</v>
      </c>
    </row>
    <row r="14" spans="1:4">
      <c r="A14" s="275" t="s">
        <v>1075</v>
      </c>
      <c r="B14" s="147" t="str">
        <f>'IO Pad'!U14</f>
        <v>ch1_tcxo_en</v>
      </c>
      <c r="C14" s="147" t="str">
        <f>'IO Pad'!Z14</f>
        <v>gpio0[4]</v>
      </c>
      <c r="D14" s="147" t="str">
        <f>'IO Pad'!AJ14</f>
        <v>ch1_rxa_data[4]</v>
      </c>
    </row>
    <row r="15" spans="1:4">
      <c r="A15" s="275" t="s">
        <v>1075</v>
      </c>
      <c r="B15" s="147" t="str">
        <f>'IO Pad'!U15</f>
        <v>peri_en</v>
      </c>
      <c r="C15" s="147" t="str">
        <f>'IO Pad'!Z15</f>
        <v>gpio0[5]</v>
      </c>
      <c r="D15" s="147" t="str">
        <f>'IO Pad'!AJ15</f>
        <v>ch1_rxa_data[5]</v>
      </c>
    </row>
    <row r="16" spans="1:4">
      <c r="A16" s="275" t="s">
        <v>1075</v>
      </c>
      <c r="B16" s="147" t="str">
        <f>'IO Pad'!U16</f>
        <v>pmu_hold</v>
      </c>
      <c r="C16" s="147" t="str">
        <f>'IO Pad'!Z16</f>
        <v>gpio0[6]</v>
      </c>
      <c r="D16" s="147" t="str">
        <f>'IO Pad'!AJ16</f>
        <v>ch1_rxa_data[6]</v>
      </c>
    </row>
    <row r="17" spans="1:4">
      <c r="A17" s="275"/>
    </row>
    <row r="18" spans="1:4">
      <c r="A18" s="275" t="s">
        <v>1075</v>
      </c>
      <c r="B18" s="147" t="str">
        <f>'IO Pad'!U18</f>
        <v>usim0_clk</v>
      </c>
      <c r="C18" s="147" t="str">
        <f>'IO Pad'!Z18</f>
        <v>gpio0[7]</v>
      </c>
      <c r="D18" s="147" t="str">
        <f>'IO Pad'!AJ18</f>
        <v>ch1_rxa_data[7]</v>
      </c>
    </row>
    <row r="19" spans="1:4">
      <c r="A19" s="275" t="s">
        <v>1075</v>
      </c>
      <c r="B19" s="147" t="str">
        <f>'IO Pad'!U19</f>
        <v>usim0_rst</v>
      </c>
      <c r="C19" s="147" t="str">
        <f>'IO Pad'!Z19</f>
        <v>gpio0[8]</v>
      </c>
      <c r="D19" s="147" t="str">
        <f>'IO Pad'!AJ19</f>
        <v>ch1_rxa_data[8]</v>
      </c>
    </row>
    <row r="20" spans="1:4">
      <c r="A20" s="275" t="s">
        <v>1075</v>
      </c>
      <c r="B20" s="147" t="str">
        <f>'IO Pad'!U20</f>
        <v>usim0_data</v>
      </c>
      <c r="C20" s="147" t="str">
        <f>'IO Pad'!Z20</f>
        <v>gpio0[9]</v>
      </c>
      <c r="D20" s="147" t="str">
        <f>'IO Pad'!AJ20</f>
        <v>ch1_rxa_data[9]</v>
      </c>
    </row>
    <row r="21" spans="1:4">
      <c r="A21" s="275"/>
    </row>
    <row r="22" spans="1:4">
      <c r="A22" s="275" t="s">
        <v>1075</v>
      </c>
      <c r="B22" s="147" t="str">
        <f>'IO Pad'!U22</f>
        <v>gpio0[10]</v>
      </c>
      <c r="C22" s="147" t="str">
        <f>'IO Pad'!Z22</f>
        <v>usim1_clk</v>
      </c>
      <c r="D22" s="147" t="str">
        <f>'IO Pad'!AJ22</f>
        <v>ch1_rxa_data[10]</v>
      </c>
    </row>
    <row r="23" spans="1:4">
      <c r="A23" s="275" t="s">
        <v>1075</v>
      </c>
      <c r="B23" s="147" t="str">
        <f>'IO Pad'!U23</f>
        <v>gpio0[11]</v>
      </c>
      <c r="C23" s="147" t="str">
        <f>'IO Pad'!Z23</f>
        <v>usim1_rst</v>
      </c>
      <c r="D23" s="147" t="str">
        <f>'IO Pad'!AJ23</f>
        <v>ch1_rxa_data[11]</v>
      </c>
    </row>
    <row r="24" spans="1:4">
      <c r="A24" s="275" t="s">
        <v>1075</v>
      </c>
      <c r="B24" s="147" t="str">
        <f>'IO Pad'!U24</f>
        <v>gpio0[12]</v>
      </c>
      <c r="C24" s="147" t="str">
        <f>'IO Pad'!Z24</f>
        <v>usim1_data</v>
      </c>
      <c r="D24" s="147" t="str">
        <f>'IO Pad'!AJ24</f>
        <v>ch1_rxa_data[12]</v>
      </c>
    </row>
    <row r="25" spans="1:4">
      <c r="A25" s="275"/>
    </row>
    <row r="26" spans="1:4">
      <c r="A26" s="275" t="s">
        <v>1075</v>
      </c>
      <c r="B26" s="147" t="str">
        <f>'IO Pad'!U26</f>
        <v>uart0_txd</v>
      </c>
      <c r="C26" s="147" t="str">
        <f>'IO Pad'!Z26</f>
        <v>gpio0[13]</v>
      </c>
      <c r="D26" s="147" t="str">
        <f>'IO Pad'!AJ26</f>
        <v>ch1_rxa_data[13]</v>
      </c>
    </row>
    <row r="27" spans="1:4">
      <c r="A27" s="275" t="s">
        <v>1075</v>
      </c>
      <c r="B27" s="147" t="str">
        <f>'IO Pad'!U27</f>
        <v>uart0_rxd</v>
      </c>
      <c r="C27" s="147" t="str">
        <f>'IO Pad'!Z27</f>
        <v>gpio0[14]</v>
      </c>
      <c r="D27" s="147" t="str">
        <f>'IO Pad'!AJ27</f>
        <v>ch0_tx_data[6]</v>
      </c>
    </row>
    <row r="28" spans="1:4">
      <c r="A28" s="275"/>
    </row>
    <row r="29" spans="1:4">
      <c r="A29" s="275" t="s">
        <v>1075</v>
      </c>
      <c r="B29" s="147" t="str">
        <f>'IO Pad'!U29</f>
        <v>gpio0[15]</v>
      </c>
      <c r="C29" s="147" t="str">
        <f>'IO Pad'!Z29</f>
        <v>soc_mipi_clk</v>
      </c>
      <c r="D29" s="147" t="str">
        <f>'IO Pad'!AJ29</f>
        <v>ch0_tx_clk</v>
      </c>
    </row>
    <row r="30" spans="1:4">
      <c r="A30" s="275" t="s">
        <v>1075</v>
      </c>
      <c r="B30" s="147" t="str">
        <f>'IO Pad'!U30</f>
        <v>gpio0[16]</v>
      </c>
      <c r="C30" s="147" t="str">
        <f>'IO Pad'!Z30</f>
        <v>soc_mipi_data</v>
      </c>
      <c r="D30" s="147" t="str">
        <f>'IO Pad'!AJ30</f>
        <v>ch0_tx_vld</v>
      </c>
    </row>
    <row r="31" spans="1:4">
      <c r="A31" s="275" t="s">
        <v>1075</v>
      </c>
      <c r="B31" s="147" t="str">
        <f>'IO Pad'!U31</f>
        <v>gpio0[17]</v>
      </c>
      <c r="C31" s="147" t="str">
        <f>'IO Pad'!AJ31</f>
        <v>ch0_line_ctrl_mode[0]</v>
      </c>
    </row>
    <row r="32" spans="1:4">
      <c r="A32" s="275" t="s">
        <v>1075</v>
      </c>
      <c r="B32" s="147" t="str">
        <f>'IO Pad'!U32</f>
        <v>gpio0[18]</v>
      </c>
      <c r="C32" s="147" t="str">
        <f>'IO Pad'!AJ32</f>
        <v>ch0_line_ctrl_mode[1]</v>
      </c>
    </row>
    <row r="33" spans="1:5">
      <c r="A33" s="275" t="s">
        <v>1075</v>
      </c>
      <c r="B33" s="147" t="str">
        <f>'IO Pad'!U33</f>
        <v>gpio0[19]</v>
      </c>
      <c r="C33" s="147" t="str">
        <f>'IO Pad'!AJ33</f>
        <v>ch0_line_ctrl_mode[2]</v>
      </c>
    </row>
    <row r="34" spans="1:5">
      <c r="A34" s="275"/>
    </row>
    <row r="35" spans="1:5">
      <c r="A35" s="275" t="s">
        <v>1075</v>
      </c>
      <c r="B35" s="147" t="str">
        <f>'IO Pad'!U35</f>
        <v>gpio0[20]</v>
      </c>
      <c r="C35" s="147" t="str">
        <f>'IO Pad'!Z35</f>
        <v>mmc1_clk</v>
      </c>
      <c r="D35" s="147" t="str">
        <f>'IO Pad'!AE35</f>
        <v>sdio_clk</v>
      </c>
      <c r="E35" s="147" t="str">
        <f>'IO Pad'!AJ35</f>
        <v>ch0_tx_data[0]</v>
      </c>
    </row>
    <row r="36" spans="1:5">
      <c r="A36" s="275" t="s">
        <v>1075</v>
      </c>
      <c r="B36" s="147" t="str">
        <f>'IO Pad'!U36</f>
        <v>gpio0[21]</v>
      </c>
      <c r="C36" s="147" t="str">
        <f>'IO Pad'!Z36</f>
        <v>mmc1_cmd</v>
      </c>
      <c r="D36" s="147" t="str">
        <f>'IO Pad'!AE36</f>
        <v>sdio_cmd</v>
      </c>
      <c r="E36" s="147" t="str">
        <f>'IO Pad'!AJ36</f>
        <v>ch0_tx_data[1]</v>
      </c>
    </row>
    <row r="37" spans="1:5">
      <c r="A37" s="275" t="s">
        <v>1075</v>
      </c>
      <c r="B37" s="147" t="str">
        <f>'IO Pad'!U37</f>
        <v>gpio0[22]</v>
      </c>
      <c r="C37" s="147" t="str">
        <f>'IO Pad'!Z37</f>
        <v>mmc1_data[0]</v>
      </c>
      <c r="D37" s="147" t="str">
        <f>'IO Pad'!AE37</f>
        <v>sdio_data[0]</v>
      </c>
      <c r="E37" s="147" t="str">
        <f>'IO Pad'!AJ37</f>
        <v>ch0_tx_data[2]</v>
      </c>
    </row>
    <row r="38" spans="1:5">
      <c r="A38" s="275" t="s">
        <v>1075</v>
      </c>
      <c r="B38" s="147" t="str">
        <f>'IO Pad'!U38</f>
        <v>gpio0[23]</v>
      </c>
      <c r="C38" s="147" t="str">
        <f>'IO Pad'!Z38</f>
        <v>mmc1_data[1]</v>
      </c>
      <c r="D38" s="147" t="str">
        <f>'IO Pad'!AE38</f>
        <v>sdio_data[1]</v>
      </c>
      <c r="E38" s="147" t="str">
        <f>'IO Pad'!AJ38</f>
        <v>ch0_tx_data[3]</v>
      </c>
    </row>
    <row r="39" spans="1:5">
      <c r="A39" s="275" t="s">
        <v>1075</v>
      </c>
      <c r="B39" s="147" t="str">
        <f>'IO Pad'!U39</f>
        <v>gpio0[24]</v>
      </c>
      <c r="C39" s="147" t="str">
        <f>'IO Pad'!Z39</f>
        <v>mmc1_data[2]</v>
      </c>
      <c r="D39" s="147" t="str">
        <f>'IO Pad'!AE39</f>
        <v>sdio_data[2]</v>
      </c>
      <c r="E39" s="147" t="str">
        <f>'IO Pad'!AJ39</f>
        <v>ch0_tx_data[4]</v>
      </c>
    </row>
    <row r="40" spans="1:5">
      <c r="A40" s="275" t="s">
        <v>1075</v>
      </c>
      <c r="B40" s="147" t="str">
        <f>'IO Pad'!U40</f>
        <v>gpio0[25]</v>
      </c>
      <c r="C40" s="147" t="str">
        <f>'IO Pad'!Z40</f>
        <v>mmc1_data[3]</v>
      </c>
      <c r="D40" s="147" t="str">
        <f>'IO Pad'!AE40</f>
        <v>sdio_data[3]</v>
      </c>
      <c r="E40" s="147" t="str">
        <f>'IO Pad'!AJ40</f>
        <v>ch0_tx_data[5]</v>
      </c>
    </row>
    <row r="41" spans="1:5">
      <c r="A41" s="274" t="s">
        <v>1075</v>
      </c>
      <c r="B41" s="147" t="str">
        <f>'IO Pad'!U41</f>
        <v>mmc1_clk_fb_out</v>
      </c>
    </row>
    <row r="42" spans="1:5">
      <c r="A42" s="274" t="s">
        <v>1075</v>
      </c>
      <c r="B42" s="147" t="str">
        <f>'IO Pad'!U42</f>
        <v>mmc1_clk_fb_in</v>
      </c>
    </row>
    <row r="43" spans="1:5">
      <c r="A43" s="275"/>
    </row>
    <row r="44" spans="1:5">
      <c r="A44" s="275" t="s">
        <v>1075</v>
      </c>
      <c r="B44" s="147" t="str">
        <f>'IO Pad'!U44</f>
        <v>jtag_dft_mode</v>
      </c>
    </row>
    <row r="45" spans="1:5">
      <c r="A45" s="275"/>
    </row>
    <row r="46" spans="1:5">
      <c r="A46" s="274" t="s">
        <v>1075</v>
      </c>
      <c r="B46" s="147" t="str">
        <f>'IO Pad'!U46</f>
        <v>HSIC_STROBE</v>
      </c>
    </row>
    <row r="47" spans="1:5">
      <c r="A47" s="274" t="s">
        <v>1075</v>
      </c>
      <c r="B47" s="147" t="str">
        <f>'IO Pad'!U47</f>
        <v>HSIC_DATA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30</vt:i4>
      </vt:variant>
    </vt:vector>
  </HeadingPairs>
  <TitlesOfParts>
    <vt:vector size="43" baseType="lpstr">
      <vt:lpstr>note</vt:lpstr>
      <vt:lpstr>Package</vt:lpstr>
      <vt:lpstr>Die</vt:lpstr>
      <vt:lpstr>Performance</vt:lpstr>
      <vt:lpstr>IO Pad</vt:lpstr>
      <vt:lpstr>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_10</vt:lpstr>
      <vt:lpstr>_11</vt:lpstr>
      <vt:lpstr>_12</vt:lpstr>
      <vt:lpstr>_13</vt:lpstr>
      <vt:lpstr>_14</vt:lpstr>
      <vt:lpstr>_15</vt:lpstr>
      <vt:lpstr>_16</vt:lpstr>
      <vt:lpstr>_18</vt:lpstr>
      <vt:lpstr>_19</vt:lpstr>
      <vt:lpstr>_20</vt:lpstr>
      <vt:lpstr>_22</vt:lpstr>
      <vt:lpstr>_23</vt:lpstr>
      <vt:lpstr>_24</vt:lpstr>
      <vt:lpstr>_26</vt:lpstr>
      <vt:lpstr>_27</vt:lpstr>
      <vt:lpstr>_29</vt:lpstr>
      <vt:lpstr>_30</vt:lpstr>
      <vt:lpstr>_31</vt:lpstr>
      <vt:lpstr>_32</vt:lpstr>
      <vt:lpstr>_33</vt:lpstr>
      <vt:lpstr>_35</vt:lpstr>
      <vt:lpstr>_36</vt:lpstr>
      <vt:lpstr>_37</vt:lpstr>
      <vt:lpstr>_38</vt:lpstr>
      <vt:lpstr>_39</vt:lpstr>
      <vt:lpstr>_40</vt:lpstr>
      <vt:lpstr>_7</vt:lpstr>
      <vt:lpstr>_8</vt:lpstr>
      <vt:lpstr>_9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LocalAccount</cp:lastModifiedBy>
  <cp:lastPrinted>2010-07-08T11:53:37Z</cp:lastPrinted>
  <dcterms:created xsi:type="dcterms:W3CDTF">2004-05-21T06:54:18Z</dcterms:created>
  <dcterms:modified xsi:type="dcterms:W3CDTF">2013-08-19T09:29:41Z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
Gz4xznzqqSoYI3AhQ2FDeO3xZLfeF3SfhZE08Za+GXilo7swfJckZbDSAklzBOPj53tBxp1H
EgAHXDZ5DE4XSIi0jq40bkmEVH06LldatlbrH5RR/F9Ujw+/8qCGrcVXiB4cnarPSA1xiuDD
voay9cfeQp10JJQyC9IG7</vt:lpwstr>
  </property>
  <property fmtid="{D5CDD505-2E9C-101B-9397-08002B2CF9AE}" pid="3" name="_ms_pID_7253431">
    <vt:lpwstr>I3umUgvSGp8V2Aemv5lw9UjIlj8PqS1fwvGozf8lkVSM8oErgvb
rmkUz4WQXbyHgZC1Ra8DPWWfvKt5KWh03EOTCuxJxqhFsGiHB/jH0vUnAkGF4qgmCiFna6QU
AkuzFXWRrAoClV2oIvu+URThbf7fvu2YZkeN9Cd7b7Kn1KRNXuCUJZFUk6242n7YYnWHHOLL
RGCU3rT3nZfRUL9Uma2T0RI0zB2eAWCtQ5ASgPt5o3</vt:lpwstr>
  </property>
  <property fmtid="{D5CDD505-2E9C-101B-9397-08002B2CF9AE}" pid="4" name="_ms_pID_7253432">
    <vt:lpwstr>c8QpIDRLrgaH2E7fpGzip4ZSWA2idz
AS2qEQOyDfaBu1IO2p9on1YZ+ckET121IFavs2z1PiUNhC/nMH0=</vt:lpwstr>
  </property>
  <property fmtid="{D5CDD505-2E9C-101B-9397-08002B2CF9AE}" pid="5" name="sflag">
    <vt:lpwstr>1376903532</vt:lpwstr>
  </property>
</Properties>
</file>