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embeddings/oleObject8.bin" ContentType="application/vnd.openxmlformats-officedocument.oleObject"/>
  <Override PartName="/xl/embeddings/oleObject14.bin" ContentType="application/vnd.openxmlformats-officedocument.oleOb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6.bin" ContentType="application/vnd.openxmlformats-officedocument.oleObject"/>
  <Override PartName="/xl/embeddings/oleObject12.bin" ContentType="application/vnd.openxmlformats-officedocument.oleObject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activeX/activeX5.xml" ContentType="application/vnd.ms-office.activeX+xml"/>
  <Override PartName="/xl/embeddings/oleObject4.bin" ContentType="application/vnd.openxmlformats-officedocument.oleObject"/>
  <Override PartName="/xl/embeddings/oleObject10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embeddings/oleObject18.bin" ContentType="application/vnd.openxmlformats-officedocument.oleObject"/>
  <Override PartName="/xl/activeX/activeX5.bin" ContentType="application/vnd.ms-office.activeX"/>
  <Override PartName="/xl/embeddings/oleObject9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embeddings/oleObject7.bin" ContentType="application/vnd.openxmlformats-officedocument.oleObject"/>
  <Override PartName="/xl/embeddings/oleObject15.bin" ContentType="application/vnd.openxmlformats-officedocument.oleObject"/>
  <Override PartName="/xl/worksheets/sheet14.xml" ContentType="application/vnd.openxmlformats-officedocument.spreadsheetml.worksheet+xml"/>
  <Override PartName="/xl/activeX/activeX1.bin" ContentType="application/vnd.ms-office.activeX"/>
  <Override PartName="/xl/embeddings/oleObject5.bin" ContentType="application/vnd.openxmlformats-officedocument.oleObject"/>
  <Override PartName="/xl/embeddings/oleObject13.bin" ContentType="application/vnd.openxmlformats-officedocument.oleObject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Default Extension="jpeg" ContentType="image/jpeg"/>
  <Override PartName="/xl/embeddings/oleObject3.bin" ContentType="application/vnd.openxmlformats-officedocument.oleObject"/>
  <Override PartName="/xl/embeddings/oleObject11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0" yWindow="0" windowWidth="11700" windowHeight="2310" tabRatio="628" firstSheet="2" activeTab="4"/>
  </bookViews>
  <sheets>
    <sheet name="note" sheetId="5" r:id="rId1"/>
    <sheet name="Package" sheetId="1" r:id="rId2"/>
    <sheet name="Die" sheetId="2" r:id="rId3"/>
    <sheet name="Performance" sheetId="3" r:id="rId4"/>
    <sheet name="IO Pad" sheetId="18" r:id="rId5"/>
    <sheet name="GSBI复用说明" sheetId="32" state="hidden" r:id="rId6"/>
    <sheet name="Power&amp;Gnd" sheetId="33" r:id="rId7"/>
    <sheet name="硬件使用说明" sheetId="22" r:id="rId8"/>
    <sheet name="接口位置图" sheetId="23" r:id="rId9"/>
    <sheet name="IP list" sheetId="19" r:id="rId10"/>
    <sheet name="特殊信号处理" sheetId="26" r:id="rId11"/>
    <sheet name="代码生成" sheetId="25" r:id="rId12"/>
    <sheet name="使用手册" sheetId="31" r:id="rId13"/>
    <sheet name="Sheet1" sheetId="34" state="hidden" r:id="rId14"/>
  </sheets>
  <functionGroups/>
  <externalReferences>
    <externalReference r:id="rId15"/>
  </externalReferences>
  <definedNames>
    <definedName name="_10">Sheet1!$A$10:$C$10</definedName>
    <definedName name="_100">Sheet1!$A$100:$U$100</definedName>
    <definedName name="_101">Sheet1!$A$101:$U$101</definedName>
    <definedName name="_102">Sheet1!$A$102:$U$102</definedName>
    <definedName name="_103">Sheet1!$A$103:$U$103</definedName>
    <definedName name="_104">Sheet1!$A$104:$U$104</definedName>
    <definedName name="_105">Sheet1!$A$105:$U$105</definedName>
    <definedName name="_11">Sheet1!$A$11:$C$11</definedName>
    <definedName name="_12">Sheet1!$A$12:$D$12</definedName>
    <definedName name="_13">Sheet1!$A$13:$D$13</definedName>
    <definedName name="_14">Sheet1!$A$14:$D$14</definedName>
    <definedName name="_15">Sheet1!$A$15:$D$15</definedName>
    <definedName name="_16">Sheet1!$A$16:$D$16</definedName>
    <definedName name="_17">Sheet1!$A$17:$D$17</definedName>
    <definedName name="_18">Sheet1!$A$18:$E$18</definedName>
    <definedName name="_20">Sheet1!$A$20:$F$20</definedName>
    <definedName name="_21">Sheet1!$A$21:$F$21</definedName>
    <definedName name="_22">Sheet1!$A$22:$F$22</definedName>
    <definedName name="_23">Sheet1!$A$23:$F$23</definedName>
    <definedName name="_24">Sheet1!$A$24:$F$24</definedName>
    <definedName name="_25">Sheet1!$A$25:$F$25</definedName>
    <definedName name="_27">Sheet1!$A$27:$G$27</definedName>
    <definedName name="_28">Sheet1!$A$28:$H$28</definedName>
    <definedName name="_29">Sheet1!$A$29:$H$29</definedName>
    <definedName name="_30">Sheet1!$A$30:$H$30</definedName>
    <definedName name="_31">Sheet1!$A$31:$G$31</definedName>
    <definedName name="_32">Sheet1!$A$32:$F$32</definedName>
    <definedName name="_36">Sheet1!$A$36:$C$36</definedName>
    <definedName name="_37">Sheet1!$A$37:$B$37</definedName>
    <definedName name="_38">Sheet1!$A$38:$C$38</definedName>
    <definedName name="_39">Sheet1!$A$39:$C$39</definedName>
    <definedName name="_4">Sheet1!$A$4:$C$4</definedName>
    <definedName name="_40">Sheet1!$A$40:$C$40</definedName>
    <definedName name="_41">Sheet1!$A$41:$B$41</definedName>
    <definedName name="_43">Sheet1!$A$43:$V$43</definedName>
    <definedName name="_44">Sheet1!$A$44:$V$44</definedName>
    <definedName name="_45">Sheet1!$A$45:$V$45</definedName>
    <definedName name="_46">Sheet1!$A$46:$V$46</definedName>
    <definedName name="_47">Sheet1!$A$47:$V$47</definedName>
    <definedName name="_48">Sheet1!$A$48:$V$48</definedName>
    <definedName name="_49">Sheet1!$A$49:$V$49</definedName>
    <definedName name="_5">Sheet1!$A$5:$C$5</definedName>
    <definedName name="_50">Sheet1!$A$50:$V$50</definedName>
    <definedName name="_51">Sheet1!$A$51:$V$51</definedName>
    <definedName name="_52">Sheet1!$A$52:$V$52</definedName>
    <definedName name="_53">Sheet1!$A$53:$V$53</definedName>
    <definedName name="_54">Sheet1!$A$54:$V$54</definedName>
    <definedName name="_55">Sheet1!$A$55:$V$55</definedName>
    <definedName name="_56">Sheet1!$A$56:$V$56</definedName>
    <definedName name="_57">Sheet1!$A$57:$V$57</definedName>
    <definedName name="_58">Sheet1!$A$58:$U$58</definedName>
    <definedName name="_6">Sheet1!$A$6:$C$6</definedName>
    <definedName name="_60">Sheet1!$A$60:$U$60</definedName>
    <definedName name="_61">Sheet1!$A$61:$V$61</definedName>
    <definedName name="_62">Sheet1!$A$62:$V$62</definedName>
    <definedName name="_63">Sheet1!$A$63:$V$63</definedName>
    <definedName name="_64">Sheet1!$A$64:$V$64</definedName>
    <definedName name="_65">Sheet1!$A$65:$V$65</definedName>
    <definedName name="_66">Sheet1!$A$66:$V$66</definedName>
    <definedName name="_68">Sheet1!$A$68:$G$68</definedName>
    <definedName name="_69">Sheet1!$A$69:$F$69</definedName>
    <definedName name="_7">Sheet1!$A$7:$C$7</definedName>
    <definedName name="_70">Sheet1!$A$70:$F$70</definedName>
    <definedName name="_71">Sheet1!$A$71:$H$71</definedName>
    <definedName name="_72">Sheet1!$A$72:$G$72</definedName>
    <definedName name="_73">Sheet1!$A$73:$G$73</definedName>
    <definedName name="_75">Sheet1!$A$75:$F$75</definedName>
    <definedName name="_76">Sheet1!$A$76:$E$76</definedName>
    <definedName name="_77">Sheet1!$A$77:$E$77</definedName>
    <definedName name="_78">Sheet1!$A$78:$G$78</definedName>
    <definedName name="_79">Sheet1!$A$79:$F$79</definedName>
    <definedName name="_8">Sheet1!$A$8:$C$8</definedName>
    <definedName name="_80">Sheet1!$A$80:$F$80</definedName>
    <definedName name="_82">Sheet1!$A$82:$G$82</definedName>
    <definedName name="_83">Sheet1!$A$83:$F$83</definedName>
    <definedName name="_85">Sheet1!$A$85:$E$85</definedName>
    <definedName name="_86">Sheet1!$A$86:$E$86</definedName>
    <definedName name="_87">Sheet1!$A$87:$E$87</definedName>
    <definedName name="_88">Sheet1!$A$88:$E$88</definedName>
    <definedName name="_89">Sheet1!$A$89:$E$89</definedName>
    <definedName name="_9">Sheet1!$A$9:$C$9</definedName>
    <definedName name="_90">Sheet1!$A$90:$E$90</definedName>
    <definedName name="_91">Sheet1!$A$91:$E$91</definedName>
    <definedName name="_92">Sheet1!$A$92:$E$92</definedName>
    <definedName name="_93">Sheet1!$A$93:$E$93</definedName>
    <definedName name="_94">Sheet1!$A$94:$E$94</definedName>
    <definedName name="_95">Sheet1!$A$95:$E$95</definedName>
    <definedName name="_96">Sheet1!$A$96:$E$96</definedName>
    <definedName name="_97">Sheet1!$A$97:$S$97</definedName>
    <definedName name="_98">Sheet1!$A$98:$T$98</definedName>
    <definedName name="_99">Sheet1!$A$99:$T$99</definedName>
    <definedName name="_xlnm._FilterDatabase" localSheetId="4" hidden="1">'IO Pad'!$T$1:$T$245</definedName>
    <definedName name="_xlnm.Print_Area" localSheetId="4">'IO Pad'!$F$1:$T$56</definedName>
    <definedName name="SigRegion">[1]config!$P$5:$P$664</definedName>
  </definedNames>
  <calcPr calcId="125725"/>
</workbook>
</file>

<file path=xl/calcChain.xml><?xml version="1.0" encoding="utf-8"?>
<calcChain xmlns="http://schemas.openxmlformats.org/spreadsheetml/2006/main">
  <c r="B5" i="34"/>
  <c r="C5"/>
  <c r="B6"/>
  <c r="C6"/>
  <c r="B7"/>
  <c r="C7"/>
  <c r="B8"/>
  <c r="C8"/>
  <c r="B9"/>
  <c r="C9"/>
  <c r="B10"/>
  <c r="C10"/>
  <c r="B11"/>
  <c r="C11"/>
  <c r="B12"/>
  <c r="C12"/>
  <c r="D12"/>
  <c r="B13"/>
  <c r="C13"/>
  <c r="D13"/>
  <c r="B14"/>
  <c r="C14"/>
  <c r="D14"/>
  <c r="B15"/>
  <c r="C15"/>
  <c r="D15"/>
  <c r="B16"/>
  <c r="C16"/>
  <c r="D16"/>
  <c r="B17"/>
  <c r="C17"/>
  <c r="D17"/>
  <c r="B18"/>
  <c r="C18"/>
  <c r="D18"/>
  <c r="E18"/>
  <c r="B20"/>
  <c r="C20"/>
  <c r="D20"/>
  <c r="E20"/>
  <c r="F20"/>
  <c r="B21"/>
  <c r="C21"/>
  <c r="D21"/>
  <c r="E21"/>
  <c r="F21"/>
  <c r="B22"/>
  <c r="C22"/>
  <c r="D22"/>
  <c r="E22"/>
  <c r="F22"/>
  <c r="B23"/>
  <c r="C23"/>
  <c r="D23"/>
  <c r="E23"/>
  <c r="F23"/>
  <c r="B24"/>
  <c r="C24"/>
  <c r="D24"/>
  <c r="E24"/>
  <c r="F24"/>
  <c r="B25"/>
  <c r="C25"/>
  <c r="D25"/>
  <c r="E25"/>
  <c r="F25"/>
  <c r="B27"/>
  <c r="C27"/>
  <c r="D27"/>
  <c r="E27"/>
  <c r="F27"/>
  <c r="G27"/>
  <c r="B28"/>
  <c r="C28"/>
  <c r="D28"/>
  <c r="E28"/>
  <c r="F28"/>
  <c r="G28"/>
  <c r="H28"/>
  <c r="B29"/>
  <c r="C29"/>
  <c r="D29"/>
  <c r="E29"/>
  <c r="F29"/>
  <c r="G29"/>
  <c r="H29"/>
  <c r="B30"/>
  <c r="C30"/>
  <c r="D30"/>
  <c r="E30"/>
  <c r="F30"/>
  <c r="G30"/>
  <c r="H30"/>
  <c r="B31"/>
  <c r="C31"/>
  <c r="D31"/>
  <c r="E31"/>
  <c r="F31"/>
  <c r="G31"/>
  <c r="B32"/>
  <c r="C32"/>
  <c r="D32"/>
  <c r="E32"/>
  <c r="F32"/>
  <c r="B33"/>
  <c r="B34"/>
  <c r="B36"/>
  <c r="C36"/>
  <c r="B37"/>
  <c r="B38"/>
  <c r="C38"/>
  <c r="B39"/>
  <c r="C39"/>
  <c r="B40"/>
  <c r="C40"/>
  <c r="B41"/>
  <c r="B43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B44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B45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B46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B47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B48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B49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B50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B51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B52"/>
  <c r="C52"/>
  <c r="D52"/>
  <c r="E52"/>
  <c r="F52"/>
  <c r="G52"/>
  <c r="H52"/>
  <c r="I52"/>
  <c r="J52"/>
  <c r="K52"/>
  <c r="L52"/>
  <c r="M52"/>
  <c r="N52"/>
  <c r="O52"/>
  <c r="P52"/>
  <c r="Q52"/>
  <c r="R52"/>
  <c r="S52"/>
  <c r="T52"/>
  <c r="U52"/>
  <c r="V52"/>
  <c r="B53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B54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B55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B56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B57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B58"/>
  <c r="C58"/>
  <c r="D58"/>
  <c r="E58"/>
  <c r="F58"/>
  <c r="G58"/>
  <c r="H58"/>
  <c r="I58"/>
  <c r="J58"/>
  <c r="K58"/>
  <c r="L58"/>
  <c r="M58"/>
  <c r="N58"/>
  <c r="O58"/>
  <c r="P58"/>
  <c r="Q58"/>
  <c r="R58"/>
  <c r="S58"/>
  <c r="T58"/>
  <c r="U58"/>
  <c r="B60"/>
  <c r="C60"/>
  <c r="D60"/>
  <c r="E60"/>
  <c r="F60"/>
  <c r="G60"/>
  <c r="H60"/>
  <c r="I60"/>
  <c r="J60"/>
  <c r="K60"/>
  <c r="L60"/>
  <c r="M60"/>
  <c r="N60"/>
  <c r="O60"/>
  <c r="P60"/>
  <c r="Q60"/>
  <c r="R60"/>
  <c r="S60"/>
  <c r="T60"/>
  <c r="U60"/>
  <c r="B61"/>
  <c r="C61"/>
  <c r="D61"/>
  <c r="E61"/>
  <c r="F61"/>
  <c r="G61"/>
  <c r="H61"/>
  <c r="I61"/>
  <c r="J61"/>
  <c r="K61"/>
  <c r="L61"/>
  <c r="M61"/>
  <c r="N61"/>
  <c r="O61"/>
  <c r="P61"/>
  <c r="Q61"/>
  <c r="R61"/>
  <c r="S61"/>
  <c r="T61"/>
  <c r="U61"/>
  <c r="V61"/>
  <c r="B62"/>
  <c r="C62"/>
  <c r="D62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B63"/>
  <c r="C63"/>
  <c r="D63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B64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B65"/>
  <c r="C65"/>
  <c r="D65"/>
  <c r="E65"/>
  <c r="F65"/>
  <c r="G65"/>
  <c r="H65"/>
  <c r="I65"/>
  <c r="J65"/>
  <c r="K65"/>
  <c r="L65"/>
  <c r="M65"/>
  <c r="N65"/>
  <c r="O65"/>
  <c r="P65"/>
  <c r="Q65"/>
  <c r="R65"/>
  <c r="S65"/>
  <c r="T65"/>
  <c r="U65"/>
  <c r="V65"/>
  <c r="B66"/>
  <c r="C66"/>
  <c r="D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B68"/>
  <c r="C68"/>
  <c r="D68"/>
  <c r="E68"/>
  <c r="F68"/>
  <c r="G68"/>
  <c r="B69"/>
  <c r="C69"/>
  <c r="D69"/>
  <c r="E69"/>
  <c r="F69"/>
  <c r="B70"/>
  <c r="C70"/>
  <c r="D70"/>
  <c r="E70"/>
  <c r="F70"/>
  <c r="B71"/>
  <c r="C71"/>
  <c r="D71"/>
  <c r="E71"/>
  <c r="F71"/>
  <c r="G71"/>
  <c r="H71"/>
  <c r="B72"/>
  <c r="C72"/>
  <c r="D72"/>
  <c r="E72"/>
  <c r="F72"/>
  <c r="G72"/>
  <c r="B73"/>
  <c r="C73"/>
  <c r="D73"/>
  <c r="E73"/>
  <c r="F73"/>
  <c r="G73"/>
  <c r="B75"/>
  <c r="C75"/>
  <c r="D75"/>
  <c r="E75"/>
  <c r="F75"/>
  <c r="B76"/>
  <c r="C76"/>
  <c r="D76"/>
  <c r="E76"/>
  <c r="B77"/>
  <c r="C77"/>
  <c r="D77"/>
  <c r="E77"/>
  <c r="B78"/>
  <c r="C78"/>
  <c r="D78"/>
  <c r="E78"/>
  <c r="F78"/>
  <c r="G78"/>
  <c r="B79"/>
  <c r="C79"/>
  <c r="D79"/>
  <c r="E79"/>
  <c r="F79"/>
  <c r="B80"/>
  <c r="C80"/>
  <c r="D80"/>
  <c r="E80"/>
  <c r="F80"/>
  <c r="B82"/>
  <c r="C82"/>
  <c r="D82"/>
  <c r="E82"/>
  <c r="F82"/>
  <c r="G82"/>
  <c r="B83"/>
  <c r="C83"/>
  <c r="D83"/>
  <c r="E83"/>
  <c r="F83"/>
  <c r="B85"/>
  <c r="C85"/>
  <c r="D85"/>
  <c r="E85"/>
  <c r="B86"/>
  <c r="C86"/>
  <c r="D86"/>
  <c r="E86"/>
  <c r="B87"/>
  <c r="C87"/>
  <c r="D87"/>
  <c r="E87"/>
  <c r="B88"/>
  <c r="C88"/>
  <c r="D88"/>
  <c r="E88"/>
  <c r="B89"/>
  <c r="C89"/>
  <c r="D89"/>
  <c r="E89"/>
  <c r="B90"/>
  <c r="C90"/>
  <c r="D90"/>
  <c r="E90"/>
  <c r="B91"/>
  <c r="C91"/>
  <c r="D91"/>
  <c r="E91"/>
  <c r="B92"/>
  <c r="C92"/>
  <c r="D92"/>
  <c r="E92"/>
  <c r="B93"/>
  <c r="C93"/>
  <c r="D93"/>
  <c r="E93"/>
  <c r="B94"/>
  <c r="C94"/>
  <c r="D94"/>
  <c r="E94"/>
  <c r="B95"/>
  <c r="C95"/>
  <c r="D95"/>
  <c r="E95"/>
  <c r="B96"/>
  <c r="C96"/>
  <c r="D96"/>
  <c r="E96"/>
  <c r="B97"/>
  <c r="C97"/>
  <c r="T97"/>
  <c r="U97"/>
  <c r="V97"/>
  <c r="B98"/>
  <c r="C98"/>
  <c r="D98"/>
  <c r="E98"/>
  <c r="F98"/>
  <c r="G98"/>
  <c r="H98"/>
  <c r="I98"/>
  <c r="J98"/>
  <c r="K98"/>
  <c r="L98"/>
  <c r="M98"/>
  <c r="N98"/>
  <c r="O98"/>
  <c r="P98"/>
  <c r="Q98"/>
  <c r="R98"/>
  <c r="S98"/>
  <c r="T98"/>
  <c r="B99"/>
  <c r="C99"/>
  <c r="D99"/>
  <c r="E99"/>
  <c r="F99"/>
  <c r="G99"/>
  <c r="H99"/>
  <c r="I99"/>
  <c r="J99"/>
  <c r="K99"/>
  <c r="L99"/>
  <c r="M99"/>
  <c r="N99"/>
  <c r="O99"/>
  <c r="P99"/>
  <c r="Q99"/>
  <c r="R99"/>
  <c r="S99"/>
  <c r="T99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S100"/>
  <c r="T100"/>
  <c r="U100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S101"/>
  <c r="T101"/>
  <c r="U101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S102"/>
  <c r="T102"/>
  <c r="U102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S103"/>
  <c r="T103"/>
  <c r="U103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S104"/>
  <c r="T104"/>
  <c r="U104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S105"/>
  <c r="T105"/>
  <c r="U105"/>
  <c r="B4"/>
  <c r="C4"/>
  <c r="D232" i="18" l="1"/>
  <c r="E232"/>
  <c r="C232"/>
  <c r="B232"/>
  <c r="U155" l="1"/>
  <c r="U205"/>
  <c r="U157"/>
  <c r="U158"/>
  <c r="U159"/>
  <c r="U154"/>
  <c r="U76" l="1"/>
  <c r="U77"/>
  <c r="U75"/>
  <c r="U69"/>
  <c r="U70"/>
  <c r="U68"/>
  <c r="U33" l="1"/>
  <c r="U34"/>
  <c r="U36"/>
  <c r="U37"/>
  <c r="U38"/>
  <c r="U39"/>
  <c r="U40"/>
  <c r="U41"/>
  <c r="U82"/>
  <c r="AE82"/>
  <c r="U83"/>
  <c r="AE83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40"/>
  <c r="U141"/>
  <c r="U142"/>
  <c r="U143"/>
  <c r="U197"/>
  <c r="U198"/>
  <c r="U199"/>
  <c r="U200"/>
  <c r="U201"/>
  <c r="U202"/>
  <c r="U203"/>
  <c r="U204"/>
  <c r="U156"/>
  <c r="U220"/>
  <c r="T26" i="23" l="1"/>
  <c r="T59"/>
  <c r="O41" l="1"/>
  <c r="Z41" l="1"/>
  <c r="T41" l="1"/>
</calcChain>
</file>

<file path=xl/sharedStrings.xml><?xml version="1.0" encoding="utf-8"?>
<sst xmlns="http://schemas.openxmlformats.org/spreadsheetml/2006/main" count="9464" uniqueCount="3152">
  <si>
    <t>Off-chip Clock Frequency(MHz)</t>
    <phoneticPr fontId="3" type="noConversion"/>
  </si>
  <si>
    <t>Electrical Performace</t>
    <phoneticPr fontId="3" type="noConversion"/>
  </si>
  <si>
    <t>Pin pitch</t>
    <phoneticPr fontId="3" type="noConversion"/>
  </si>
  <si>
    <t>Package Type</t>
    <phoneticPr fontId="3" type="noConversion"/>
  </si>
  <si>
    <t xml:space="preserve">Body Size(mm) (Length*width*Thickness) </t>
    <phoneticPr fontId="3" type="noConversion"/>
  </si>
  <si>
    <t>MIN</t>
    <phoneticPr fontId="3" type="noConversion"/>
  </si>
  <si>
    <t>TYP</t>
    <phoneticPr fontId="3" type="noConversion"/>
  </si>
  <si>
    <t>MAX</t>
    <phoneticPr fontId="3" type="noConversion"/>
  </si>
  <si>
    <t>Thermal performance</t>
    <phoneticPr fontId="3" type="noConversion"/>
  </si>
  <si>
    <t>Storage temperatrure（℃）</t>
    <phoneticPr fontId="3" type="noConversion"/>
  </si>
  <si>
    <t>Air Flow</t>
    <phoneticPr fontId="3" type="noConversion"/>
  </si>
  <si>
    <t>Die Size(mm*mm)</t>
    <phoneticPr fontId="3" type="noConversion"/>
  </si>
  <si>
    <t>NA</t>
  </si>
  <si>
    <t xml:space="preserve">Number of PCB layers </t>
    <phoneticPr fontId="3" type="noConversion"/>
  </si>
  <si>
    <t>IP type</t>
    <phoneticPr fontId="3" type="noConversion"/>
  </si>
  <si>
    <t>IP name</t>
    <phoneticPr fontId="3" type="noConversion"/>
  </si>
  <si>
    <t>Frequrency</t>
    <phoneticPr fontId="3" type="noConversion"/>
  </si>
  <si>
    <t>vender</t>
    <phoneticPr fontId="3" type="noConversion"/>
  </si>
  <si>
    <t>Version</t>
    <phoneticPr fontId="3" type="noConversion"/>
  </si>
  <si>
    <t>Comment</t>
    <phoneticPr fontId="3" type="noConversion"/>
  </si>
  <si>
    <t>PCB Application Requirement:</t>
    <phoneticPr fontId="3" type="noConversion"/>
  </si>
  <si>
    <t>typ</t>
    <phoneticPr fontId="3" type="noConversion"/>
  </si>
  <si>
    <t>max</t>
    <phoneticPr fontId="3" type="noConversion"/>
  </si>
  <si>
    <t>min</t>
    <phoneticPr fontId="3" type="noConversion"/>
  </si>
  <si>
    <t xml:space="preserve"> package information:</t>
    <phoneticPr fontId="3" type="noConversion"/>
  </si>
  <si>
    <t xml:space="preserve"> Wafer process</t>
    <phoneticPr fontId="3" type="noConversion"/>
  </si>
  <si>
    <t>修改日期</t>
    <phoneticPr fontId="3" type="noConversion"/>
  </si>
  <si>
    <t>修改内容</t>
    <phoneticPr fontId="3" type="noConversion"/>
  </si>
  <si>
    <t>作者</t>
    <phoneticPr fontId="3" type="noConversion"/>
  </si>
  <si>
    <t>RoHS</t>
  </si>
  <si>
    <t xml:space="preserve">Environment requirement </t>
    <phoneticPr fontId="3" type="noConversion"/>
  </si>
  <si>
    <t xml:space="preserve"> Wafer manufacture vendor</t>
    <phoneticPr fontId="3" type="noConversion"/>
  </si>
  <si>
    <t xml:space="preserve"> Wafer Fab location</t>
    <phoneticPr fontId="3" type="noConversion"/>
  </si>
  <si>
    <t>3.other requirement:</t>
    <phoneticPr fontId="3" type="noConversion"/>
  </si>
  <si>
    <t>other Requirement：      （MCP,SIP,or multi-pkg for the same die,some signal bonding to P/G pin...)</t>
    <phoneticPr fontId="3" type="noConversion"/>
  </si>
  <si>
    <t>* Manufacture model</t>
    <phoneticPr fontId="3" type="noConversion"/>
  </si>
  <si>
    <t>4.Manufacture model</t>
    <phoneticPr fontId="3" type="noConversion"/>
  </si>
  <si>
    <t>Ambient temperatrure（℃）</t>
    <phoneticPr fontId="3" type="noConversion"/>
  </si>
  <si>
    <t>Junction temperatrure（℃）</t>
    <phoneticPr fontId="3" type="noConversion"/>
  </si>
  <si>
    <t>Moisture Sensitivity Level</t>
    <phoneticPr fontId="3" type="noConversion"/>
  </si>
  <si>
    <t>合封芯片</t>
    <phoneticPr fontId="3" type="noConversion"/>
  </si>
  <si>
    <t>Power Dissipation(W)</t>
    <phoneticPr fontId="3" type="noConversion"/>
  </si>
  <si>
    <t>1. LTE Package:</t>
    <phoneticPr fontId="3" type="noConversion"/>
  </si>
  <si>
    <t>TaiWan</t>
    <phoneticPr fontId="3" type="noConversion"/>
  </si>
  <si>
    <t>LTE Die information</t>
    <phoneticPr fontId="3" type="noConversion"/>
  </si>
  <si>
    <t>LTE package performance</t>
    <phoneticPr fontId="3" type="noConversion"/>
  </si>
  <si>
    <t>pull-up/down control</t>
  </si>
  <si>
    <t>TOP</t>
  </si>
  <si>
    <t>MUX_D</t>
  </si>
  <si>
    <t>MUX_C</t>
  </si>
  <si>
    <t>MUX_NA</t>
  </si>
  <si>
    <t>OZ</t>
  </si>
  <si>
    <t>B</t>
  </si>
  <si>
    <t>DO</t>
  </si>
  <si>
    <t>DI</t>
  </si>
  <si>
    <t>SI</t>
  </si>
  <si>
    <t>BOD</t>
  </si>
  <si>
    <t>N</t>
  </si>
  <si>
    <t>Y</t>
  </si>
  <si>
    <t>IOM_CTRL7</t>
  </si>
  <si>
    <t>IOM_CTRL13</t>
  </si>
  <si>
    <t>IOM_CTRL14</t>
  </si>
  <si>
    <t>IOM_CTRL18</t>
  </si>
  <si>
    <t>IOM_CTRL19</t>
  </si>
  <si>
    <t>IOM_CTRL22</t>
  </si>
  <si>
    <t>IOM_CTRL24</t>
  </si>
  <si>
    <t>IOM_CTRL26</t>
  </si>
  <si>
    <t>IOM_CTRL43</t>
  </si>
  <si>
    <t>IOM_CTRL45</t>
  </si>
  <si>
    <t>OZ</t>
    <phoneticPr fontId="3" type="noConversion"/>
  </si>
  <si>
    <t>Pad Name</t>
    <phoneticPr fontId="39" type="noConversion"/>
  </si>
  <si>
    <t xml:space="preserve">DFT </t>
    <phoneticPr fontId="39" type="noConversion"/>
  </si>
  <si>
    <t>comment</t>
    <phoneticPr fontId="39" type="noConversion"/>
  </si>
  <si>
    <t>Replace0 Name</t>
    <phoneticPr fontId="39" type="noConversion"/>
  </si>
  <si>
    <t>Replace1 Name</t>
    <phoneticPr fontId="39" type="noConversion"/>
  </si>
  <si>
    <t>Replace1 CTRL</t>
    <phoneticPr fontId="39" type="noConversion"/>
  </si>
  <si>
    <t>Fuction0 Name</t>
    <phoneticPr fontId="39" type="noConversion"/>
  </si>
  <si>
    <r>
      <t>F</t>
    </r>
    <r>
      <rPr>
        <sz val="12"/>
        <rFont val="宋体"/>
        <family val="3"/>
        <charset val="134"/>
      </rPr>
      <t>uction1 Name</t>
    </r>
    <phoneticPr fontId="39" type="noConversion"/>
  </si>
  <si>
    <r>
      <t>u</t>
    </r>
    <r>
      <rPr>
        <sz val="12"/>
        <rFont val="宋体"/>
        <family val="3"/>
        <charset val="134"/>
      </rPr>
      <t>icc_sw2_en</t>
    </r>
    <phoneticPr fontId="39" type="noConversion"/>
  </si>
  <si>
    <t>Fuction2 Name</t>
    <phoneticPr fontId="39" type="noConversion"/>
  </si>
  <si>
    <t>增加DFT信号，需要按照次行进行复制粘贴</t>
    <phoneticPr fontId="39" type="noConversion"/>
  </si>
  <si>
    <t>PAD Name</t>
    <phoneticPr fontId="39" type="noConversion"/>
  </si>
  <si>
    <t xml:space="preserve">IOM </t>
    <phoneticPr fontId="39" type="noConversion"/>
  </si>
  <si>
    <t>UICC_DP</t>
    <phoneticPr fontId="39" type="noConversion"/>
  </si>
  <si>
    <t>UICC_DM</t>
    <phoneticPr fontId="39" type="noConversion"/>
  </si>
  <si>
    <t>uicc_sw1_en</t>
    <phoneticPr fontId="39" type="noConversion"/>
  </si>
  <si>
    <t>PD</t>
  </si>
  <si>
    <t>PD</t>
    <phoneticPr fontId="39" type="noConversion"/>
  </si>
  <si>
    <t>PU</t>
  </si>
  <si>
    <r>
      <t>P</t>
    </r>
    <r>
      <rPr>
        <sz val="12"/>
        <rFont val="宋体"/>
        <family val="3"/>
        <charset val="134"/>
      </rPr>
      <t>D</t>
    </r>
    <phoneticPr fontId="39" type="noConversion"/>
  </si>
  <si>
    <t>需要替换管脚IOM的控制信息，改信息的起始位置要与DFT的最后一个信号保持8行的间距</t>
    <phoneticPr fontId="39" type="noConversion"/>
  </si>
  <si>
    <t>APB</t>
    <phoneticPr fontId="36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</si>
  <si>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</si>
  <si>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</si>
  <si>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r>
      <t>S</t>
    </r>
    <r>
      <rPr>
        <sz val="12"/>
        <rFont val="宋体"/>
        <family val="3"/>
        <charset val="134"/>
      </rPr>
      <t>US</t>
    </r>
    <phoneticPr fontId="3" type="noConversion"/>
  </si>
  <si>
    <r>
      <t>C</t>
    </r>
    <r>
      <rPr>
        <sz val="12"/>
        <rFont val="宋体"/>
        <family val="3"/>
        <charset val="134"/>
      </rPr>
      <t>TL</t>
    </r>
    <phoneticPr fontId="3" type="noConversion"/>
  </si>
  <si>
    <r>
      <t>S</t>
    </r>
    <r>
      <rPr>
        <sz val="12"/>
        <rFont val="宋体"/>
        <family val="3"/>
        <charset val="134"/>
      </rPr>
      <t>L</t>
    </r>
    <phoneticPr fontId="3" type="noConversion"/>
  </si>
  <si>
    <t>地址位宽</t>
    <phoneticPr fontId="3" type="noConversion"/>
  </si>
  <si>
    <t>数据位宽</t>
    <phoneticPr fontId="3" type="noConversion"/>
  </si>
  <si>
    <t>OE</t>
    <phoneticPr fontId="3" type="noConversion"/>
  </si>
  <si>
    <t>IOS_AF_CTRL基地址</t>
    <phoneticPr fontId="3" type="noConversion"/>
  </si>
  <si>
    <t>配置信息</t>
    <phoneticPr fontId="36" type="noConversion"/>
  </si>
  <si>
    <t>PD</t>
    <phoneticPr fontId="3" type="noConversion"/>
  </si>
  <si>
    <t>PU</t>
    <phoneticPr fontId="3" type="noConversion"/>
  </si>
  <si>
    <t>SV interface</t>
    <phoneticPr fontId="3" type="noConversion"/>
  </si>
  <si>
    <t>含义</t>
    <phoneticPr fontId="3" type="noConversion"/>
  </si>
  <si>
    <t>MUX</t>
    <phoneticPr fontId="3" type="noConversion"/>
  </si>
  <si>
    <t>IOM_CTRL9</t>
  </si>
  <si>
    <t>IOM_CTRL17</t>
  </si>
  <si>
    <t>IOM_CTRL20</t>
  </si>
  <si>
    <t>IOM_CTRL23</t>
  </si>
  <si>
    <t>IOM_CTRL25</t>
  </si>
  <si>
    <t>NA_CTRL</t>
  </si>
  <si>
    <t>管脚配置寄存器</t>
    <phoneticPr fontId="3" type="noConversion"/>
  </si>
  <si>
    <t>芯片内部上拉下拉处理</t>
    <phoneticPr fontId="3" type="noConversion"/>
  </si>
  <si>
    <t>NF_DATA1</t>
  </si>
  <si>
    <t>NF_DATA2</t>
  </si>
  <si>
    <t>NF_DATA3</t>
  </si>
  <si>
    <t>NF_DATA4</t>
  </si>
  <si>
    <t>NF_DATA5</t>
  </si>
  <si>
    <t>NF_DATA6</t>
  </si>
  <si>
    <t>NF_DATA7</t>
  </si>
  <si>
    <t>boot_mode[1]</t>
  </si>
  <si>
    <t>boot_mode[2]</t>
  </si>
  <si>
    <t>boot_mode[3]</t>
  </si>
  <si>
    <t>jtag_mode[1]</t>
  </si>
  <si>
    <t>nf_data[1]</t>
  </si>
  <si>
    <t>nf_data[2]</t>
  </si>
  <si>
    <t>nf_data[3]</t>
  </si>
  <si>
    <t>nf_data[4]</t>
  </si>
  <si>
    <t>nf_data[5]</t>
  </si>
  <si>
    <t>nf_data[6]</t>
  </si>
  <si>
    <t>nf_data[7]</t>
  </si>
  <si>
    <t>MMC0（6个pin,wifi接口）</t>
    <phoneticPr fontId="3" type="noConversion"/>
  </si>
  <si>
    <t>MMC1（6个pin，SD卡或emmc接口）</t>
  </si>
  <si>
    <t>AI</t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</si>
  <si>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</si>
  <si>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</si>
  <si>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</si>
  <si>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bit4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</si>
  <si>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bit5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</si>
  <si>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bit6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</si>
  <si>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bit7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</si>
  <si>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bit8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</si>
  <si>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</si>
  <si>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</si>
  <si>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</si>
  <si>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</si>
  <si>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</si>
  <si>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</si>
  <si>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</si>
  <si>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bit4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</si>
  <si>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bit5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</si>
  <si>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bit6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</si>
  <si>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bit7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</si>
  <si>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bit8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</si>
  <si>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</si>
  <si>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bit10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</si>
  <si>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</si>
  <si>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</si>
  <si>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</si>
  <si>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bit14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</si>
  <si>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bit15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</si>
  <si>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bit16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</si>
  <si>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bit17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</si>
  <si>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bit18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</si>
  <si>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</si>
  <si>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bit20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</si>
  <si>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</si>
  <si>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</si>
  <si>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</si>
  <si>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bit24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</si>
  <si>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bit25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</si>
  <si>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bit26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</si>
  <si>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bit27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</si>
  <si>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bit28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</si>
  <si>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</si>
  <si>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bit30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</si>
  <si>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bit31</t>
    </r>
    <r>
      <rPr>
        <sz val="12"/>
        <rFont val="宋体"/>
        <family val="3"/>
        <charset val="134"/>
      </rPr>
      <t/>
    </r>
  </si>
  <si>
    <t>AIO</t>
  </si>
  <si>
    <t>AO</t>
  </si>
  <si>
    <t>IOM_CTRL8</t>
  </si>
  <si>
    <t>LVCMOS</t>
  </si>
  <si>
    <t>4mA</t>
  </si>
  <si>
    <t>OD</t>
  </si>
  <si>
    <t>0mA</t>
  </si>
  <si>
    <t>启动模式选择开关1</t>
  </si>
  <si>
    <t>启动模式选择开关2</t>
  </si>
  <si>
    <t>启动模式选择开关3</t>
  </si>
  <si>
    <t>Alternative function (5)</t>
    <phoneticPr fontId="3" type="noConversion"/>
  </si>
  <si>
    <r>
      <t>G</t>
    </r>
    <r>
      <rPr>
        <sz val="12"/>
        <rFont val="宋体"/>
        <family val="3"/>
        <charset val="134"/>
      </rPr>
      <t>PIO需求</t>
    </r>
    <phoneticPr fontId="3" type="noConversion"/>
  </si>
  <si>
    <t>NF_WP_N</t>
    <phoneticPr fontId="3" type="noConversion"/>
  </si>
  <si>
    <t>NandFlash</t>
    <phoneticPr fontId="3" type="noConversion"/>
  </si>
  <si>
    <t>BCM***_RST_N</t>
    <phoneticPr fontId="3" type="noConversion"/>
  </si>
  <si>
    <t>BCM***_WAKEUP_BB</t>
    <phoneticPr fontId="3" type="noConversion"/>
  </si>
  <si>
    <t>BB_WAKEU_BCM***</t>
    <phoneticPr fontId="3" type="noConversion"/>
  </si>
  <si>
    <t>43239:43362</t>
    <phoneticPr fontId="3" type="noConversion"/>
  </si>
  <si>
    <t>43239:43362:43236</t>
    <phoneticPr fontId="3" type="noConversion"/>
  </si>
  <si>
    <t>SPI/FLASH</t>
    <phoneticPr fontId="3" type="noConversion"/>
  </si>
  <si>
    <t>EMMC_RST_N</t>
    <phoneticPr fontId="3" type="noConversion"/>
  </si>
  <si>
    <t>EMMC</t>
    <phoneticPr fontId="3" type="noConversion"/>
  </si>
  <si>
    <t>SD_CARD_IN_N</t>
    <phoneticPr fontId="3" type="noConversion"/>
  </si>
  <si>
    <t>SD卡</t>
    <phoneticPr fontId="3" type="noConversion"/>
  </si>
  <si>
    <t>LCD</t>
    <phoneticPr fontId="3" type="noConversion"/>
  </si>
  <si>
    <t>LCD1_ID0</t>
    <phoneticPr fontId="3" type="noConversion"/>
  </si>
  <si>
    <t>LCD1_ID1</t>
  </si>
  <si>
    <t>OLED_12V_EN</t>
    <phoneticPr fontId="3" type="noConversion"/>
  </si>
  <si>
    <t>OLED_12V_IN_EN</t>
    <phoneticPr fontId="3" type="noConversion"/>
  </si>
  <si>
    <t>OLED_I8080/8bit:OLED_3bit:LCD_TFT_I8080/8bit/9bit-SPI/3-wire</t>
    <phoneticPr fontId="3" type="noConversion"/>
  </si>
  <si>
    <t>OLED_3bit:LCD_TFT_I8080/8bit/9bit-SPI/3-wire</t>
    <phoneticPr fontId="3" type="noConversion"/>
  </si>
  <si>
    <t>OLED_I8080/8bit:OLED_3bit</t>
    <phoneticPr fontId="3" type="noConversion"/>
  </si>
  <si>
    <t>GMAC</t>
    <phoneticPr fontId="3" type="noConversion"/>
  </si>
  <si>
    <t>GMII_RST_N</t>
    <phoneticPr fontId="3" type="noConversion"/>
  </si>
  <si>
    <t>GMII_INT_N</t>
    <phoneticPr fontId="3" type="noConversion"/>
  </si>
  <si>
    <t>Charger</t>
    <phoneticPr fontId="3" type="noConversion"/>
  </si>
  <si>
    <t>CURRENT_FAULT</t>
    <phoneticPr fontId="3" type="noConversion"/>
  </si>
  <si>
    <t>BQ24161_CD</t>
    <phoneticPr fontId="3" type="noConversion"/>
  </si>
  <si>
    <t>Charger_INT</t>
    <phoneticPr fontId="3" type="noConversion"/>
  </si>
  <si>
    <t>GPS</t>
    <phoneticPr fontId="3" type="noConversion"/>
  </si>
  <si>
    <t>GPS_PWR_ON</t>
    <phoneticPr fontId="3" type="noConversion"/>
  </si>
  <si>
    <t>GPS_ON_OFF</t>
    <phoneticPr fontId="3" type="noConversion"/>
  </si>
  <si>
    <t>GPS_RST_N</t>
    <phoneticPr fontId="3" type="noConversion"/>
  </si>
  <si>
    <t>USIM0,USIM1</t>
    <phoneticPr fontId="3" type="noConversion"/>
  </si>
  <si>
    <t>USIM0_DETECT</t>
    <phoneticPr fontId="3" type="noConversion"/>
  </si>
  <si>
    <t>USIM1_DETECT</t>
    <phoneticPr fontId="3" type="noConversion"/>
  </si>
  <si>
    <t>说明：GPIO是按照V7R1 Pilot的使用情况来分配的。上面共20个GPIO，可使用独立GPIO和与中断信号复用的GPIO</t>
    <phoneticPr fontId="3" type="noConversion"/>
  </si>
  <si>
    <t>IO Foundry</t>
    <phoneticPr fontId="3" type="noConversion"/>
  </si>
  <si>
    <t>IO Foundry</t>
    <phoneticPr fontId="3" type="noConversion"/>
  </si>
  <si>
    <t>12'h70</t>
    <phoneticPr fontId="3" type="noConversion"/>
  </si>
  <si>
    <t>12'h100</t>
    <phoneticPr fontId="3" type="noConversion"/>
  </si>
  <si>
    <t>初始值</t>
  </si>
  <si>
    <t>初始状态</t>
    <phoneticPr fontId="3" type="noConversion"/>
  </si>
  <si>
    <t>Dolphin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</si>
  <si>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</si>
  <si>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r>
      <t>T</t>
    </r>
    <r>
      <rPr>
        <sz val="12"/>
        <rFont val="宋体"/>
        <family val="3"/>
        <charset val="134"/>
      </rPr>
      <t>SMC</t>
    </r>
    <phoneticPr fontId="3" type="noConversion"/>
  </si>
  <si>
    <t>PD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</si>
  <si>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</si>
  <si>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HISI4D</t>
    <phoneticPr fontId="3" type="noConversion"/>
  </si>
  <si>
    <t>gmii_rx_clk</t>
    <phoneticPr fontId="39" type="noConversion"/>
  </si>
  <si>
    <t>GMII_RX_CLK</t>
    <phoneticPr fontId="39" type="noConversion"/>
  </si>
  <si>
    <t>GMII_TX_CLK</t>
    <phoneticPr fontId="39" type="noConversion"/>
  </si>
  <si>
    <t>GMII_CLK_125</t>
    <phoneticPr fontId="39" type="noConversion"/>
  </si>
  <si>
    <t>gmii_clk_125</t>
    <phoneticPr fontId="39" type="noConversion"/>
  </si>
  <si>
    <t>uicc_ctrl1_1</t>
    <phoneticPr fontId="39" type="noConversion"/>
  </si>
  <si>
    <t>Replace0 CTRL</t>
    <phoneticPr fontId="39" type="noConversion"/>
  </si>
  <si>
    <t>gmii_tx_clk</t>
    <phoneticPr fontId="39" type="noConversion"/>
  </si>
  <si>
    <t>P1-0</t>
    <phoneticPr fontId="3" type="noConversion"/>
  </si>
  <si>
    <r>
      <t>1</t>
    </r>
    <r>
      <rPr>
        <sz val="12"/>
        <rFont val="宋体"/>
        <family val="3"/>
        <charset val="134"/>
      </rPr>
      <t>.2V</t>
    </r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</si>
  <si>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</si>
  <si>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P</t>
    <phoneticPr fontId="3" type="noConversion"/>
  </si>
  <si>
    <t>V</t>
    <phoneticPr fontId="3" type="noConversion"/>
  </si>
  <si>
    <t>NUM</t>
    <phoneticPr fontId="3" type="noConversion"/>
  </si>
  <si>
    <t>function3</t>
    <phoneticPr fontId="3" type="noConversion"/>
  </si>
  <si>
    <t>function2</t>
    <phoneticPr fontId="3" type="noConversion"/>
  </si>
  <si>
    <t>function1</t>
    <phoneticPr fontId="3" type="noConversion"/>
  </si>
  <si>
    <t>function0</t>
    <phoneticPr fontId="3" type="noConversion"/>
  </si>
  <si>
    <t>LEFT</t>
    <phoneticPr fontId="3" type="noConversion"/>
  </si>
  <si>
    <t>RIGHT</t>
    <phoneticPr fontId="3" type="noConversion"/>
  </si>
  <si>
    <t>1.8V</t>
    <phoneticPr fontId="3" type="noConversion"/>
  </si>
  <si>
    <t>GPIO(6)</t>
    <phoneticPr fontId="3" type="noConversion"/>
  </si>
  <si>
    <t>GPIO(5)</t>
    <phoneticPr fontId="3" type="noConversion"/>
  </si>
  <si>
    <t>BOTTOM</t>
    <phoneticPr fontId="3" type="noConversion"/>
  </si>
  <si>
    <t>1.2V</t>
    <phoneticPr fontId="3" type="noConversion"/>
  </si>
  <si>
    <t>sdio_clk</t>
    <phoneticPr fontId="39" type="noConversion"/>
  </si>
  <si>
    <t>LPDDR2</t>
    <phoneticPr fontId="3" type="noConversion"/>
  </si>
  <si>
    <t>no_ctrl</t>
  </si>
  <si>
    <t>P1-0</t>
    <phoneticPr fontId="3" type="noConversion"/>
  </si>
  <si>
    <t>IX</t>
  </si>
  <si>
    <t>IX</t>
    <phoneticPr fontId="3" type="noConversion"/>
  </si>
  <si>
    <t>OZ</t>
    <phoneticPr fontId="3" type="noConversion"/>
  </si>
  <si>
    <t>OH</t>
  </si>
  <si>
    <t>OH</t>
    <phoneticPr fontId="3" type="noConversion"/>
  </si>
  <si>
    <t>OL</t>
  </si>
  <si>
    <t>OL</t>
    <phoneticPr fontId="3" type="noConversion"/>
  </si>
  <si>
    <t>5'h8</t>
    <phoneticPr fontId="3" type="noConversion"/>
  </si>
  <si>
    <t>5'h4</t>
    <phoneticPr fontId="3" type="noConversion"/>
  </si>
  <si>
    <t>5'h0</t>
    <phoneticPr fontId="3" type="noConversion"/>
  </si>
  <si>
    <t>5'h10</t>
    <phoneticPr fontId="3" type="noConversion"/>
  </si>
  <si>
    <t>2'h1</t>
    <phoneticPr fontId="3" type="noConversion"/>
  </si>
  <si>
    <t>2'h0</t>
    <phoneticPr fontId="3" type="noConversion"/>
  </si>
  <si>
    <t>2'h2</t>
    <phoneticPr fontId="3" type="noConversion"/>
  </si>
  <si>
    <t>12'h40C</t>
    <phoneticPr fontId="3" type="noConversion"/>
  </si>
  <si>
    <t>12'h20C</t>
    <phoneticPr fontId="3" type="noConversion"/>
  </si>
  <si>
    <t>12'h00C</t>
    <phoneticPr fontId="3" type="noConversion"/>
  </si>
  <si>
    <t>12'h80C</t>
    <phoneticPr fontId="3" type="noConversion"/>
  </si>
  <si>
    <r>
      <t>n</t>
    </r>
    <r>
      <rPr>
        <sz val="12"/>
        <rFont val="宋体"/>
        <family val="3"/>
        <charset val="134"/>
      </rPr>
      <t>ote</t>
    </r>
    <phoneticPr fontId="40" type="noConversion"/>
  </si>
  <si>
    <r>
      <t>I</t>
    </r>
    <r>
      <rPr>
        <sz val="12"/>
        <rFont val="宋体"/>
        <family val="3"/>
        <charset val="134"/>
      </rPr>
      <t>O Pad</t>
    </r>
    <phoneticPr fontId="40" type="noConversion"/>
  </si>
  <si>
    <t>硬件使用说明</t>
    <phoneticPr fontId="40" type="noConversion"/>
  </si>
  <si>
    <t>表单名称</t>
    <phoneticPr fontId="40" type="noConversion"/>
  </si>
  <si>
    <t>功能介绍</t>
    <phoneticPr fontId="40" type="noConversion"/>
  </si>
  <si>
    <t>接口位置图</t>
    <phoneticPr fontId="40" type="noConversion"/>
  </si>
  <si>
    <t>特殊信号处理</t>
    <phoneticPr fontId="40" type="noConversion"/>
  </si>
  <si>
    <t>代码生成</t>
    <phoneticPr fontId="40" type="noConversion"/>
  </si>
  <si>
    <t>使用手册</t>
    <phoneticPr fontId="40" type="noConversion"/>
  </si>
  <si>
    <t>更改记录简要说明</t>
    <phoneticPr fontId="40" type="noConversion"/>
  </si>
  <si>
    <t>后端关注度</t>
    <phoneticPr fontId="40" type="noConversion"/>
  </si>
  <si>
    <t>验证/底软关注度</t>
    <phoneticPr fontId="40" type="noConversion"/>
  </si>
  <si>
    <t>表单信息来源</t>
    <phoneticPr fontId="40" type="noConversion"/>
  </si>
  <si>
    <t>硬件关注度</t>
    <phoneticPr fontId="40" type="noConversion"/>
  </si>
  <si>
    <t>IP list</t>
    <phoneticPr fontId="40" type="noConversion"/>
  </si>
  <si>
    <t>设计者</t>
    <phoneticPr fontId="40" type="noConversion"/>
  </si>
  <si>
    <t>芯片部门</t>
    <phoneticPr fontId="40" type="noConversion"/>
  </si>
  <si>
    <t>本文档可以用作以下用途：
1：IO复用设计人员产生IO复用设计代码，一般由设计人员对此表单进行维护；
2：为底软和验证人员提供切换IO功能的软件配置指导（相关寄存器配置）；
3：为硬件同事，提供软硬件接口文档；
4：为后端（Die和封装）同事提供详细的芯片IO信息（数目、复用功能、频率和位置等）</t>
    <phoneticPr fontId="40" type="noConversion"/>
  </si>
  <si>
    <t>摆放芯片Die中管脚位置</t>
    <phoneticPr fontId="40" type="noConversion"/>
  </si>
  <si>
    <t>填写IO复用设计信息及整理后端同事需要的IO信息</t>
    <phoneticPr fontId="40" type="noConversion"/>
  </si>
  <si>
    <t>记录芯片中重要IP的信息</t>
    <phoneticPr fontId="40" type="noConversion"/>
  </si>
  <si>
    <t>记录硬件单板设计需要的信息（例:可用GPIO数目）</t>
    <phoneticPr fontId="40" type="noConversion"/>
  </si>
  <si>
    <t>用于填写IO复用关系整理需要特殊处理的信息</t>
    <phoneticPr fontId="40" type="noConversion"/>
  </si>
  <si>
    <t>生成IO复用代码文件，及更新提取SI&amp;PKG_REG和SoftWare_REQ表单</t>
    <phoneticPr fontId="40" type="noConversion"/>
  </si>
  <si>
    <t>注：灰色部分的表单内容，可以到芯片稳定后期进行填写，设计阶段不涉及；</t>
    <phoneticPr fontId="40" type="noConversion"/>
  </si>
  <si>
    <t>一、使用须知</t>
    <phoneticPr fontId="40" type="noConversion"/>
  </si>
  <si>
    <t>二、表单介绍</t>
    <phoneticPr fontId="40" type="noConversion"/>
  </si>
  <si>
    <t>三、代码特点</t>
    <phoneticPr fontId="40" type="noConversion"/>
  </si>
  <si>
    <t>四、代码产生</t>
    <phoneticPr fontId="40" type="noConversion"/>
  </si>
  <si>
    <t xml:space="preserve">5：代码接口信号简单；
</t>
    <phoneticPr fontId="40" type="noConversion"/>
  </si>
  <si>
    <t>五、接口介绍</t>
    <phoneticPr fontId="40" type="noConversion"/>
  </si>
  <si>
    <t>Signal</t>
  </si>
  <si>
    <t>Num of Bits</t>
  </si>
  <si>
    <t>I/O</t>
  </si>
  <si>
    <t>Descriptions</t>
  </si>
  <si>
    <t>System interface</t>
  </si>
  <si>
    <t>pclk</t>
  </si>
  <si>
    <t>I</t>
  </si>
  <si>
    <t>presetn</t>
  </si>
  <si>
    <r>
      <t xml:space="preserve">APB </t>
    </r>
    <r>
      <rPr>
        <sz val="10.5"/>
        <rFont val="宋体"/>
        <family val="3"/>
        <charset val="134"/>
      </rPr>
      <t>异步复位信号</t>
    </r>
  </si>
  <si>
    <t>psel</t>
  </si>
  <si>
    <r>
      <t xml:space="preserve">APB </t>
    </r>
    <r>
      <rPr>
        <sz val="10.5"/>
        <rFont val="宋体"/>
        <family val="3"/>
        <charset val="134"/>
      </rPr>
      <t>片选信号</t>
    </r>
  </si>
  <si>
    <t>pwrite</t>
  </si>
  <si>
    <r>
      <t xml:space="preserve">APB </t>
    </r>
    <r>
      <rPr>
        <sz val="10.5"/>
        <rFont val="宋体"/>
        <family val="3"/>
        <charset val="134"/>
      </rPr>
      <t>读写操作指示信号</t>
    </r>
  </si>
  <si>
    <t>paddr</t>
  </si>
  <si>
    <r>
      <t xml:space="preserve">APB </t>
    </r>
    <r>
      <rPr>
        <sz val="10.5"/>
        <rFont val="宋体"/>
        <family val="3"/>
        <charset val="134"/>
      </rPr>
      <t>地址信号</t>
    </r>
  </si>
  <si>
    <t>pwdata</t>
  </si>
  <si>
    <t>`IOS_DATA_WIDTH</t>
  </si>
  <si>
    <r>
      <t xml:space="preserve">APB </t>
    </r>
    <r>
      <rPr>
        <sz val="10.5"/>
        <rFont val="宋体"/>
        <family val="3"/>
        <charset val="134"/>
      </rPr>
      <t>写数据信号</t>
    </r>
  </si>
  <si>
    <t>prdata</t>
  </si>
  <si>
    <t>O</t>
  </si>
  <si>
    <r>
      <t xml:space="preserve">APB </t>
    </r>
    <r>
      <rPr>
        <sz val="10.5"/>
        <rFont val="宋体"/>
        <family val="3"/>
        <charset val="134"/>
      </rPr>
      <t>读数据信号</t>
    </r>
  </si>
  <si>
    <t>tst_gatedclock</t>
  </si>
  <si>
    <t>低功耗接口信号</t>
  </si>
  <si>
    <t>auto_gatedclock_en</t>
  </si>
  <si>
    <t>dft_mode</t>
  </si>
  <si>
    <r>
      <t>DFT</t>
    </r>
    <r>
      <rPr>
        <sz val="10.5"/>
        <rFont val="宋体"/>
        <family val="3"/>
        <charset val="134"/>
      </rPr>
      <t>模式选择信号</t>
    </r>
  </si>
  <si>
    <t>PAD interface</t>
  </si>
  <si>
    <r>
      <t>PAD</t>
    </r>
    <r>
      <rPr>
        <sz val="10.5"/>
        <rFont val="宋体"/>
        <family val="3"/>
        <charset val="134"/>
      </rPr>
      <t>输入端口</t>
    </r>
  </si>
  <si>
    <t>pad_fuc_out</t>
  </si>
  <si>
    <r>
      <t xml:space="preserve">PAD </t>
    </r>
    <r>
      <rPr>
        <sz val="10.5"/>
        <rFont val="宋体"/>
        <family val="3"/>
        <charset val="134"/>
      </rPr>
      <t>输出端口</t>
    </r>
  </si>
  <si>
    <t>Pad_fuc_oe</t>
  </si>
  <si>
    <r>
      <t xml:space="preserve">PAD </t>
    </r>
    <r>
      <rPr>
        <sz val="10.5"/>
        <rFont val="宋体"/>
        <family val="3"/>
        <charset val="134"/>
      </rPr>
      <t>输出端口使能</t>
    </r>
  </si>
  <si>
    <t>pad_fuc_cfg</t>
  </si>
  <si>
    <t>`IOS_IOM_WIDTH-1</t>
  </si>
  <si>
    <r>
      <t xml:space="preserve">PAD </t>
    </r>
    <r>
      <rPr>
        <sz val="10.5"/>
        <rFont val="宋体"/>
        <family val="3"/>
        <charset val="134"/>
      </rPr>
      <t>端口配置信号</t>
    </r>
  </si>
  <si>
    <t>Soc interface</t>
  </si>
  <si>
    <t>fuc_out</t>
  </si>
  <si>
    <t>fuc_oe</t>
  </si>
  <si>
    <t>fuc_in</t>
  </si>
  <si>
    <t>interface</t>
    <phoneticPr fontId="40" type="noConversion"/>
  </si>
  <si>
    <t>接口类型</t>
    <phoneticPr fontId="36" type="noConversion"/>
  </si>
  <si>
    <t>代码产生分为两个阶段；
Step1：填写表单，产生代码蓝本；此步骤需要填写的表单有《IO Pad》、《特殊信号处理》和《代码生成》三个表单，填写完毕后，点击《代码生成》表单中的生成代码按钮，将会在指定目录下，产生一个auto_ioshare.txt代码蓝本文档；
Step2：上传蓝本文件至工作站，使用 perl 脚本 auto_ioshare 运行 auto_ioshare auto_ioshare.txt 便可在当前目录下的src/文件夹中产生最终的代码。代码共三个文件 :ioshare_def.v 、ioshare.v和ioshare_undef.v</t>
    <phoneticPr fontId="40" type="noConversion"/>
  </si>
  <si>
    <t>IOS_APB_SLV</t>
    <phoneticPr fontId="40" type="noConversion"/>
  </si>
  <si>
    <r>
      <t>APB intercface</t>
    </r>
    <r>
      <rPr>
        <sz val="10.5"/>
        <color rgb="FFFF0000"/>
        <rFont val="宋体"/>
        <family val="3"/>
        <charset val="134"/>
      </rPr>
      <t>，只有当《代码生成》表单中</t>
    </r>
    <r>
      <rPr>
        <sz val="10.5"/>
        <color rgb="FFFF0000"/>
        <rFont val="Arial"/>
        <family val="2"/>
      </rPr>
      <t xml:space="preserve"> </t>
    </r>
    <r>
      <rPr>
        <sz val="10.5"/>
        <color rgb="FFFF0000"/>
        <rFont val="宋体"/>
        <family val="3"/>
        <charset val="134"/>
      </rPr>
      <t>接口类型选择</t>
    </r>
    <r>
      <rPr>
        <sz val="10.5"/>
        <color rgb="FFFF0000"/>
        <rFont val="Arial"/>
        <family val="2"/>
      </rPr>
      <t>SV interface</t>
    </r>
    <r>
      <rPr>
        <sz val="10.5"/>
        <color rgb="FFFF0000"/>
        <rFont val="宋体"/>
        <family val="3"/>
        <charset val="134"/>
      </rPr>
      <t>时有效，且与上面的</t>
    </r>
    <r>
      <rPr>
        <sz val="10.5"/>
        <color rgb="FFFF0000"/>
        <rFont val="Arial"/>
        <family val="2"/>
      </rPr>
      <t>APB</t>
    </r>
    <r>
      <rPr>
        <sz val="10.5"/>
        <color rgb="FFFF0000"/>
        <rFont val="宋体"/>
        <family val="3"/>
        <charset val="134"/>
      </rPr>
      <t>总线接口信号不能共存</t>
    </r>
    <phoneticPr fontId="40" type="noConversion"/>
  </si>
  <si>
    <t>六、地址划分</t>
    <phoneticPr fontId="40" type="noConversion"/>
  </si>
  <si>
    <r>
      <t xml:space="preserve">APB </t>
    </r>
    <r>
      <rPr>
        <sz val="10.5"/>
        <rFont val="宋体"/>
        <family val="3"/>
        <charset val="134"/>
      </rPr>
      <t>时钟</t>
    </r>
    <phoneticPr fontId="40" type="noConversion"/>
  </si>
  <si>
    <t>IOS_AF_CTRL基地址</t>
    <phoneticPr fontId="3" type="noConversion"/>
  </si>
  <si>
    <t>2：标准 APB2.0 接口，32bit对齐，可选择interface类型；</t>
    <phoneticPr fontId="40" type="noConversion"/>
  </si>
  <si>
    <t>IOS寄存器空间划分为三段</t>
    <phoneticPr fontId="40" type="noConversion"/>
  </si>
  <si>
    <r>
      <t>I</t>
    </r>
    <r>
      <rPr>
        <sz val="12"/>
        <rFont val="宋体"/>
        <family val="3"/>
        <charset val="134"/>
      </rPr>
      <t>OS_MF_CTRL寄存器</t>
    </r>
    <phoneticPr fontId="40" type="noConversion"/>
  </si>
  <si>
    <t>IOS_AF_CTRL寄存器</t>
    <phoneticPr fontId="40" type="noConversion"/>
  </si>
  <si>
    <t>IOS基地址</t>
    <phoneticPr fontId="40" type="noConversion"/>
  </si>
  <si>
    <t>IOS_AF_CTRL基地址</t>
    <phoneticPr fontId="40" type="noConversion"/>
  </si>
  <si>
    <t>IOS_AF_CTRL基地址-4'h4</t>
    <phoneticPr fontId="40" type="noConversion"/>
  </si>
  <si>
    <t>末地址</t>
    <phoneticPr fontId="40" type="noConversion"/>
  </si>
  <si>
    <t>起地址</t>
    <phoneticPr fontId="40" type="noConversion"/>
  </si>
  <si>
    <t>`IOS_ADDR_WIDTH</t>
    <phoneticPr fontId="40" type="noConversion"/>
  </si>
  <si>
    <t>IOS_IOM_CTRL基地址</t>
    <phoneticPr fontId="3" type="noConversion"/>
  </si>
  <si>
    <t>IOS_IOM_CTRL寄存器</t>
    <phoneticPr fontId="40" type="noConversion"/>
  </si>
  <si>
    <t>注：地址位宽及地址划分的基地址，可在《代码生成》表单中配置信息处进行填写。</t>
    <phoneticPr fontId="40" type="noConversion"/>
  </si>
  <si>
    <t>IOS基地址</t>
    <phoneticPr fontId="3" type="noConversion"/>
  </si>
  <si>
    <t>七、《IO Pad》
     表单介绍</t>
    <phoneticPr fontId="40" type="noConversion"/>
  </si>
  <si>
    <t>Voltage</t>
  </si>
  <si>
    <t>Voltage</t>
    <phoneticPr fontId="3" type="noConversion"/>
  </si>
  <si>
    <t>PKG</t>
  </si>
  <si>
    <r>
      <t>M</t>
    </r>
    <r>
      <rPr>
        <sz val="12"/>
        <rFont val="宋体"/>
        <family val="3"/>
        <charset val="134"/>
      </rPr>
      <t>UX</t>
    </r>
    <phoneticPr fontId="40" type="noConversion"/>
  </si>
  <si>
    <t>Pad Name</t>
  </si>
  <si>
    <t>Pad Name</t>
    <phoneticPr fontId="3" type="noConversion"/>
  </si>
  <si>
    <t>IO Direct</t>
  </si>
  <si>
    <t>IO Direct</t>
    <phoneticPr fontId="3" type="noConversion"/>
  </si>
  <si>
    <t>Freq. max</t>
  </si>
  <si>
    <t>Freq. max</t>
    <phoneticPr fontId="3" type="noConversion"/>
  </si>
  <si>
    <t>IO Foundry</t>
  </si>
  <si>
    <t>IO TYPE</t>
  </si>
  <si>
    <t>IO TYPE</t>
    <phoneticPr fontId="3" type="noConversion"/>
  </si>
  <si>
    <t>Drive</t>
  </si>
  <si>
    <t>Drive</t>
    <phoneticPr fontId="3" type="noConversion"/>
  </si>
  <si>
    <t>表单信息</t>
    <phoneticPr fontId="40" type="noConversion"/>
  </si>
  <si>
    <t>含义</t>
    <phoneticPr fontId="40" type="noConversion"/>
  </si>
  <si>
    <t>管脚配置寄存器</t>
    <phoneticPr fontId="40" type="noConversion"/>
  </si>
  <si>
    <t>芯片内部上拉下
拉处理</t>
    <phoneticPr fontId="40" type="noConversion"/>
  </si>
  <si>
    <t xml:space="preserve"> Buffer name</t>
    <phoneticPr fontId="3" type="noConversion"/>
  </si>
  <si>
    <t xml:space="preserve">Main Function </t>
    <phoneticPr fontId="3" type="noConversion"/>
  </si>
  <si>
    <t>Buffer name</t>
    <phoneticPr fontId="40" type="noConversion"/>
  </si>
  <si>
    <t>Sig name</t>
  </si>
  <si>
    <t>Direct</t>
  </si>
  <si>
    <t>IOS_CTRL</t>
  </si>
  <si>
    <t>Freq</t>
  </si>
  <si>
    <t>Description</t>
  </si>
  <si>
    <t>含义及输入内容</t>
    <phoneticPr fontId="40" type="noConversion"/>
  </si>
  <si>
    <t>是否影响代码生成</t>
    <phoneticPr fontId="40" type="noConversion"/>
  </si>
  <si>
    <t>否</t>
    <phoneticPr fontId="40" type="noConversion"/>
  </si>
  <si>
    <t>是</t>
    <phoneticPr fontId="40" type="noConversion"/>
  </si>
  <si>
    <t>IOS_IOM_CTRL基地址-4'h4</t>
    <phoneticPr fontId="40" type="noConversion"/>
  </si>
  <si>
    <t>IOS_IOM_CTRL基地址</t>
    <phoneticPr fontId="40" type="noConversion"/>
  </si>
  <si>
    <t>表示芯片顶层代码例化PAD使用的Moudle名称，此处虽不涉及IO复用代码，但尽量要写的精确，以提高表单的精准度；</t>
    <phoneticPr fontId="40" type="noConversion"/>
  </si>
  <si>
    <t>用于填写芯片PAD的其它复用功能信息；</t>
    <phoneticPr fontId="40" type="noConversion"/>
  </si>
  <si>
    <r>
      <t>描述复用功能的含义，尽量写准确，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</si>
  <si>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重要等级</t>
    <phoneticPr fontId="40" type="noConversion"/>
  </si>
  <si>
    <t>★</t>
  </si>
  <si>
    <t>★</t>
    <phoneticPr fontId="40" type="noConversion"/>
  </si>
  <si>
    <t>★★★</t>
    <phoneticPr fontId="40" type="noConversion"/>
  </si>
  <si>
    <t>★★★★★</t>
    <phoneticPr fontId="40" type="noConversion"/>
  </si>
  <si>
    <t>★★</t>
    <phoneticPr fontId="40" type="noConversion"/>
  </si>
  <si>
    <t>★★★★</t>
    <phoneticPr fontId="40" type="noConversion"/>
  </si>
  <si>
    <t>Analog input</t>
  </si>
  <si>
    <t>Analog output</t>
  </si>
  <si>
    <t>Analog inout</t>
  </si>
  <si>
    <t>Schmitt trigger input</t>
  </si>
  <si>
    <t>Digital input (CMOS)</t>
  </si>
  <si>
    <t>Digital output (CMOS)</t>
  </si>
  <si>
    <t>Open Drain output</t>
  </si>
  <si>
    <t>Bidirectional digital with CMOS input</t>
  </si>
  <si>
    <t>Bidirectional digital with Open Drain output and CMOS input</t>
  </si>
  <si>
    <t>Direct</t>
    <phoneticPr fontId="40" type="noConversion"/>
  </si>
  <si>
    <t>Three State ouput</t>
    <phoneticPr fontId="40" type="noConversion"/>
  </si>
  <si>
    <r>
      <t>描述复用功能的频率，尽量写准确，便于后端同事参考，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</si>
  <si>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no_ctrl</t>
    <phoneticPr fontId="40" type="noConversion"/>
  </si>
  <si>
    <r>
      <rPr>
        <sz val="12"/>
        <rFont val="宋体"/>
        <family val="3"/>
        <charset val="134"/>
      </rPr>
      <t>表示该功能复用在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上不需要控制信息；</t>
    </r>
    <r>
      <rPr>
        <sz val="12"/>
        <rFont val="Arial"/>
        <family val="2"/>
      </rPr>
      <t>eg. PAD</t>
    </r>
    <r>
      <rPr>
        <sz val="12"/>
        <rFont val="宋体"/>
        <family val="3"/>
        <charset val="134"/>
      </rPr>
      <t>只复用一种功能或者该功能是硬线输入</t>
    </r>
    <r>
      <rPr>
        <vertAlign val="superscript"/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；</t>
    </r>
    <phoneticPr fontId="40" type="noConversion"/>
  </si>
  <si>
    <r>
      <t>I</t>
    </r>
    <r>
      <rPr>
        <b/>
        <sz val="12"/>
        <rFont val="宋体"/>
        <family val="3"/>
        <charset val="134"/>
      </rPr>
      <t>OS_CTRL</t>
    </r>
    <phoneticPr fontId="40" type="noConversion"/>
  </si>
  <si>
    <t>八、《特殊信号处理》表单介绍</t>
    <phoneticPr fontId="40" type="noConversion"/>
  </si>
  <si>
    <t>Alternative 
function (n)…..</t>
    <phoneticPr fontId="40" type="noConversion"/>
  </si>
  <si>
    <t xml:space="preserve">Main Function </t>
    <phoneticPr fontId="40" type="noConversion"/>
  </si>
  <si>
    <r>
      <t>描述复用功能的方向，有下拉菜单可选，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；详细说明见下表2；</t>
    </r>
    <phoneticPr fontId="40" type="noConversion"/>
  </si>
  <si>
    <r>
      <t>描述复用功能复用在PAD的详细信息，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；详细说明见下表3；</t>
    </r>
    <phoneticPr fontId="40" type="noConversion"/>
  </si>
  <si>
    <t>表2</t>
    <phoneticPr fontId="40" type="noConversion"/>
  </si>
  <si>
    <t>表3</t>
    <phoneticPr fontId="40" type="noConversion"/>
  </si>
  <si>
    <t>表1</t>
    <phoneticPr fontId="40" type="noConversion"/>
  </si>
  <si>
    <t>管脚上电默认状态</t>
    <phoneticPr fontId="40" type="noConversion"/>
  </si>
  <si>
    <t>管脚上电默认状态</t>
    <phoneticPr fontId="40" type="noConversion"/>
  </si>
  <si>
    <r>
      <t>IOM</t>
    </r>
    <r>
      <rPr>
        <b/>
        <sz val="12"/>
        <rFont val="宋体"/>
        <family val="3"/>
        <charset val="134"/>
      </rPr>
      <t>初值设置（推荐）</t>
    </r>
    <phoneticPr fontId="40" type="noConversion"/>
  </si>
  <si>
    <t>说明</t>
    <phoneticPr fontId="40" type="noConversion"/>
  </si>
  <si>
    <t>同上</t>
    <phoneticPr fontId="40" type="noConversion"/>
  </si>
  <si>
    <t>3：经过IO复用处理的每个PAD维护一套独立的IO控制信息寄存器——IOM_CTRL，该控制寄存器主要包含两大部分，一是PAD的OE控制信号(OE为高，表示输出使能,只作用于方向为DO的信号)，该信号参与MUX逻辑，经过MUX后的OE信号与顶层PAD的OE端相连；二是PAD的config信号，直接输出与顶层PAD端控制接口相连；不同的IO有不同的控制信息，本工具可最多支持6种config信息。比如，对于Dolphin IO，config信号包含的信息有PD，PU，SUS，CTL和SL，config信息的含义和位宽可以根据具体对接IO的类型而改变；</t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</si>
  <si>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OZ/DO/B/BOD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OZ/B/BOD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OZ/DO/B/BOD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</si>
  <si>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</si>
  <si>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下拉，管脚采用默认驱动值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</si>
  <si>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</si>
  <si>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</si>
  <si>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r>
      <t>OE=1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</si>
  <si>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t>表4</t>
    <phoneticPr fontId="40" type="noConversion"/>
  </si>
  <si>
    <t>表5</t>
    <phoneticPr fontId="40" type="noConversion"/>
  </si>
  <si>
    <t>此列不用填写</t>
    <phoneticPr fontId="40" type="noConversion"/>
  </si>
  <si>
    <t>九、《代码生成》表单介绍</t>
    <phoneticPr fontId="40" type="noConversion"/>
  </si>
  <si>
    <t>表6</t>
    <phoneticPr fontId="40" type="noConversion"/>
  </si>
  <si>
    <t>按钮名称</t>
    <phoneticPr fontId="40" type="noConversion"/>
  </si>
  <si>
    <t>功能</t>
    <phoneticPr fontId="40" type="noConversion"/>
  </si>
  <si>
    <t>更新软硬件接口文档</t>
    <phoneticPr fontId="40" type="noConversion"/>
  </si>
  <si>
    <t>获取文件路径</t>
    <phoneticPr fontId="40" type="noConversion"/>
  </si>
  <si>
    <t>生成代码</t>
    <phoneticPr fontId="40" type="noConversion"/>
  </si>
  <si>
    <r>
      <t>用于选择存放生成a</t>
    </r>
    <r>
      <rPr>
        <sz val="12"/>
        <rFont val="宋体"/>
        <family val="3"/>
        <charset val="134"/>
      </rPr>
      <t>uto_ioshare.txt的路径</t>
    </r>
    <phoneticPr fontId="40" type="noConversion"/>
  </si>
  <si>
    <t>根据《IO Pad》、《特殊信号处理》和《代码生成》表单的内容生成auto_ioshare.txt文档</t>
    <phoneticPr fontId="40" type="noConversion"/>
  </si>
  <si>
    <t>表7：配置信息</t>
    <phoneticPr fontId="36" type="noConversion"/>
  </si>
  <si>
    <t>配置信息</t>
    <phoneticPr fontId="40" type="noConversion"/>
  </si>
  <si>
    <t>接口类型</t>
    <phoneticPr fontId="40" type="noConversion"/>
  </si>
  <si>
    <t>下拉菜单可选；只能选择 SV interface或 Verilog两种；决定APB总线的代码类型；</t>
    <phoneticPr fontId="40" type="noConversion"/>
  </si>
  <si>
    <t>地址位宽</t>
    <phoneticPr fontId="40" type="noConversion"/>
  </si>
  <si>
    <t>数据位宽</t>
    <phoneticPr fontId="40" type="noConversion"/>
  </si>
  <si>
    <t>IOS代码APB总线的地址位宽；</t>
    <phoneticPr fontId="40" type="noConversion"/>
  </si>
  <si>
    <t>IOS_AF_CTRL基地址</t>
    <phoneticPr fontId="40" type="noConversion"/>
  </si>
  <si>
    <t>IOS_IOM_CTRL基地址</t>
    <phoneticPr fontId="40" type="noConversion"/>
  </si>
  <si>
    <t>用于确定IOS_AF_CTRL寄存器的基地址；注意位宽要与地址位宽保持相同；</t>
    <phoneticPr fontId="40" type="noConversion"/>
  </si>
  <si>
    <t>APB总线的数据位宽；通常为32bit；</t>
    <phoneticPr fontId="40" type="noConversion"/>
  </si>
  <si>
    <t>用于确定IOS_IOM_CTRL寄存器的基地址；注意位宽要与地址位宽保持相同；</t>
    <phoneticPr fontId="40" type="noConversion"/>
  </si>
  <si>
    <t>表8</t>
    <phoneticPr fontId="36" type="noConversion"/>
  </si>
  <si>
    <t>IO Foundry</t>
    <phoneticPr fontId="40" type="noConversion"/>
  </si>
  <si>
    <t>配置信息</t>
    <phoneticPr fontId="40" type="noConversion"/>
  </si>
  <si>
    <t>高bit位置</t>
    <phoneticPr fontId="40" type="noConversion"/>
  </si>
  <si>
    <t>高bit位置</t>
    <phoneticPr fontId="3" type="noConversion"/>
  </si>
  <si>
    <t>低bit位置</t>
    <phoneticPr fontId="3" type="noConversion"/>
  </si>
  <si>
    <t>低bit位置</t>
    <phoneticPr fontId="40" type="noConversion"/>
  </si>
  <si>
    <t>初始状态</t>
    <phoneticPr fontId="40" type="noConversion"/>
  </si>
  <si>
    <t>初始值</t>
    <phoneticPr fontId="40" type="noConversion"/>
  </si>
  <si>
    <t>禁止改动，只支持6种管脚上电默认状态，不支持个人定义及扩展；</t>
    <phoneticPr fontId="40" type="noConversion"/>
  </si>
  <si>
    <t>寄存器类型</t>
    <phoneticPr fontId="40" type="noConversion"/>
  </si>
  <si>
    <t>IOS_MF_CTRL</t>
    <phoneticPr fontId="40" type="noConversion"/>
  </si>
  <si>
    <t>IOS_AF_CTRL</t>
    <phoneticPr fontId="40" type="noConversion"/>
  </si>
  <si>
    <t>`IOS_DATA_WIDTH{1'b1}</t>
    <phoneticPr fontId="40" type="noConversion"/>
  </si>
  <si>
    <t>IOS_IOM_CTRL</t>
    <phoneticPr fontId="40" type="noConversion"/>
  </si>
  <si>
    <t>`IOS_DATA_WIDTH{1'b0}</t>
    <phoneticPr fontId="40" type="noConversion"/>
  </si>
  <si>
    <r>
      <rPr>
        <sz val="10.5"/>
        <rFont val="宋体"/>
        <family val="3"/>
        <charset val="134"/>
      </rPr>
      <t>具体根据</t>
    </r>
    <r>
      <rPr>
        <sz val="10.5"/>
        <rFont val="Arial"/>
        <family val="2"/>
      </rPr>
      <t>IO</t>
    </r>
    <r>
      <rPr>
        <sz val="10.5"/>
        <rFont val="宋体"/>
        <family val="3"/>
        <charset val="134"/>
      </rPr>
      <t>类型及上电默认状态，初值参考下面的表</t>
    </r>
    <r>
      <rPr>
        <sz val="10.5"/>
        <rFont val="Arial"/>
        <family val="2"/>
      </rPr>
      <t>1</t>
    </r>
    <r>
      <rPr>
        <sz val="10.5"/>
        <rFont val="宋体"/>
        <family val="3"/>
        <charset val="134"/>
      </rPr>
      <t>和表</t>
    </r>
    <r>
      <rPr>
        <sz val="10.5"/>
        <rFont val="Arial"/>
        <family val="2"/>
      </rPr>
      <t>8</t>
    </r>
    <phoneticPr fontId="40" type="noConversion"/>
  </si>
  <si>
    <t>寄存器初值</t>
    <phoneticPr fontId="40" type="noConversion"/>
  </si>
  <si>
    <t>高bit位置</t>
    <phoneticPr fontId="3" type="noConversion"/>
  </si>
  <si>
    <t>PCIE</t>
    <phoneticPr fontId="3" type="noConversion"/>
  </si>
  <si>
    <t>SV interface</t>
  </si>
  <si>
    <t>九、注意事项</t>
    <phoneticPr fontId="40" type="noConversion"/>
  </si>
  <si>
    <t>pad_fuc_in/pad_fuc_sh_in</t>
    <phoneticPr fontId="40" type="noConversion"/>
  </si>
  <si>
    <t>1：如果IO的其中一种复用功能是施密特输入（即功能的方向为SI），则针对该IO的顶层接口信号会存在两个输入信号：pad_fuc_in和pad_fuc_sh_in，对于同时支持两种输入接口的IO（Dolphin）是没有问题的；而对于只支持施密特或者非施密特输入的IO（TSMC or HISI4D），集成时需要做如下处理：assign pad_fuc_in = pad_fuc_sh_in，否则pad_fuc_in将没有驱动，造成不可预知的问题；</t>
    <phoneticPr fontId="40" type="noConversion"/>
  </si>
  <si>
    <t>设计人员关注度</t>
    <phoneticPr fontId="40" type="noConversion"/>
  </si>
  <si>
    <t>4：可在同一个IO复用代码中支持多种Foundry 数字IO；</t>
    <phoneticPr fontId="40" type="noConversion"/>
  </si>
  <si>
    <t>是</t>
  </si>
  <si>
    <t>输入门控控制</t>
    <phoneticPr fontId="3" type="noConversion"/>
  </si>
  <si>
    <t>pull-down</t>
  </si>
  <si>
    <t>pull-up</t>
  </si>
  <si>
    <r>
      <t>描述*</t>
    </r>
    <r>
      <rPr>
        <sz val="12"/>
        <rFont val="宋体"/>
        <family val="3"/>
        <charset val="134"/>
      </rPr>
      <t>**_SI&amp;PKG_REQ_auto_ios文档使用方法</t>
    </r>
    <phoneticPr fontId="40" type="noConversion"/>
  </si>
  <si>
    <t>描述PAD供电电压及电压域；</t>
    <phoneticPr fontId="40" type="noConversion"/>
  </si>
  <si>
    <t>描述PAD是否出封装；
Y代表出Die和出封装，N表示不出封装但出Die;
空白表示不能确定，可用于初期排布电源、地或其它信号；</t>
    <phoneticPr fontId="40" type="noConversion"/>
  </si>
  <si>
    <t>描述PAD方向，IO Direct 是PAD的所有复用功能方向的并集；</t>
    <phoneticPr fontId="40" type="noConversion"/>
  </si>
  <si>
    <t>1：使用STD_CELL标准MUX单元去搭建IOSHARE(以下简称IOS)代码，并兼容代码的可读性和后续网表ECO性；</t>
    <phoneticPr fontId="40" type="noConversion"/>
  </si>
  <si>
    <t>描述PAD最大工作频率，Freq.max是PAD的所有复用功能频率的最大值；</t>
    <phoneticPr fontId="40" type="noConversion"/>
  </si>
  <si>
    <r>
      <t xml:space="preserve">描述PAD的IO Foundry；
不同Foundry 数字IO的IOM控制信息不同，具体参见《代码生成》表单的IO Foundry信息；IO Foundry 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。</t>
    </r>
    <phoneticPr fontId="40" type="noConversion"/>
  </si>
  <si>
    <r>
      <t>描述PAD 电平特性；LVCMOS ，SSTL等，</t>
    </r>
    <r>
      <rPr>
        <b/>
        <sz val="12"/>
        <rFont val="宋体"/>
        <family val="3"/>
        <charset val="134"/>
      </rPr>
      <t>可以为空</t>
    </r>
    <phoneticPr fontId="40" type="noConversion"/>
  </si>
  <si>
    <r>
      <t>描述数字PAD的默认驱动强度，可以依据IO Direct进行填写，输入方向可以写0mA，输出或双向功能的PAD可以写默认强度值；此处有下拉菜单可选，对于模拟IO</t>
    </r>
    <r>
      <rPr>
        <b/>
        <sz val="12"/>
        <rFont val="宋体"/>
        <family val="3"/>
        <charset val="134"/>
      </rPr>
      <t>可以为空</t>
    </r>
    <r>
      <rPr>
        <sz val="12"/>
        <rFont val="宋体"/>
        <family val="3"/>
        <charset val="134"/>
      </rPr>
      <t>；</t>
    </r>
    <phoneticPr fontId="40" type="noConversion"/>
  </si>
  <si>
    <t>十、新增特性</t>
    <phoneticPr fontId="40" type="noConversion"/>
  </si>
  <si>
    <t>SSP0(5)</t>
    <phoneticPr fontId="3" type="noConversion"/>
  </si>
  <si>
    <t>tsmc</t>
    <phoneticPr fontId="3" type="noConversion"/>
  </si>
  <si>
    <t>28hpm</t>
    <phoneticPr fontId="3" type="noConversion"/>
  </si>
  <si>
    <t>8.3x9.7(before shrink)</t>
    <phoneticPr fontId="3" type="noConversion"/>
  </si>
  <si>
    <t>FCBGA</t>
    <phoneticPr fontId="3" type="noConversion"/>
  </si>
  <si>
    <t>25x25x2.13</t>
    <phoneticPr fontId="3" type="noConversion"/>
  </si>
  <si>
    <t>25x25x2.3</t>
    <phoneticPr fontId="3" type="noConversion"/>
  </si>
  <si>
    <t>25x25x2.47</t>
    <phoneticPr fontId="3" type="noConversion"/>
  </si>
  <si>
    <t>IOS_ADDR_WIDTH{1'b0}</t>
    <phoneticPr fontId="40" type="noConversion"/>
  </si>
  <si>
    <t>IOS_ADDR_WIDTH{1'b1}-4'h4</t>
    <phoneticPr fontId="40" type="noConversion"/>
  </si>
  <si>
    <r>
      <t xml:space="preserve">SOC 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输出使能信号</t>
    </r>
    <phoneticPr fontId="40" type="noConversion"/>
  </si>
  <si>
    <r>
      <t>SOC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输出信号</t>
    </r>
    <phoneticPr fontId="40" type="noConversion"/>
  </si>
  <si>
    <r>
      <t>ioshare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SOC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输入信号</t>
    </r>
    <phoneticPr fontId="40" type="noConversion"/>
  </si>
  <si>
    <t>描述顶层PAD名称，一般大写；
代码会根据此PAD名称，将其转换为小写，增加前后缀，作为与顶层的接口信号；eg:pad_(Pad Name)_in/sh_in/out/oe/cfg；</t>
    <phoneticPr fontId="40" type="noConversion"/>
  </si>
  <si>
    <r>
      <t>描述在芯片上电且处于复位状态,或芯片解复位，但无程序运行状态下的PAD状态；
此处有下拉菜单可选，详细说明见下表1，</t>
    </r>
    <r>
      <rPr>
        <b/>
        <sz val="12"/>
        <rFont val="宋体"/>
        <family val="3"/>
        <charset val="134"/>
      </rPr>
      <t>不能为空。</t>
    </r>
    <phoneticPr fontId="40" type="noConversion"/>
  </si>
  <si>
    <r>
      <t>表示PAD的上、下拉，是否寄存器可配置；</t>
    </r>
    <r>
      <rPr>
        <b/>
        <sz val="12"/>
        <rFont val="宋体"/>
        <family val="3"/>
        <charset val="134"/>
      </rPr>
      <t>可以为空；</t>
    </r>
    <phoneticPr fontId="40" type="noConversion"/>
  </si>
  <si>
    <r>
      <t>用于填写芯片上电后，软件无配置的PAD第一功能，此处</t>
    </r>
    <r>
      <rPr>
        <b/>
        <sz val="12"/>
        <rFont val="宋体"/>
        <family val="3"/>
        <charset val="134"/>
      </rPr>
      <t>不能为空；</t>
    </r>
    <phoneticPr fontId="40" type="noConversion"/>
  </si>
  <si>
    <t>PAD真值表</t>
    <phoneticPr fontId="40" type="noConversion"/>
  </si>
  <si>
    <t>OUT</t>
    <phoneticPr fontId="40" type="noConversion"/>
  </si>
  <si>
    <t>OE</t>
    <phoneticPr fontId="40" type="noConversion"/>
  </si>
  <si>
    <t>PAD</t>
    <phoneticPr fontId="40" type="noConversion"/>
  </si>
  <si>
    <t>Z</t>
    <phoneticPr fontId="40" type="noConversion"/>
  </si>
  <si>
    <t>x/x</t>
    <phoneticPr fontId="40" type="noConversion"/>
  </si>
  <si>
    <t>x</t>
    <phoneticPr fontId="40" type="noConversion"/>
  </si>
  <si>
    <t>x表示0或1</t>
    <phoneticPr fontId="40" type="noConversion"/>
  </si>
  <si>
    <r>
      <t>P</t>
    </r>
    <r>
      <rPr>
        <sz val="12"/>
        <rFont val="宋体"/>
        <family val="3"/>
        <charset val="134"/>
      </rPr>
      <t>U/PD</t>
    </r>
    <phoneticPr fontId="40" type="noConversion"/>
  </si>
  <si>
    <r>
      <t>0</t>
    </r>
    <r>
      <rPr>
        <sz val="12"/>
        <rFont val="宋体"/>
        <family val="3"/>
        <charset val="134"/>
      </rPr>
      <t>/0</t>
    </r>
    <phoneticPr fontId="40" type="noConversion"/>
  </si>
  <si>
    <r>
      <t>x</t>
    </r>
    <r>
      <rPr>
        <sz val="12"/>
        <rFont val="宋体"/>
        <family val="3"/>
        <charset val="134"/>
      </rPr>
      <t>/x</t>
    </r>
    <phoneticPr fontId="40" type="noConversion"/>
  </si>
  <si>
    <r>
      <t>0</t>
    </r>
    <r>
      <rPr>
        <sz val="12"/>
        <rFont val="宋体"/>
        <family val="3"/>
        <charset val="134"/>
      </rPr>
      <t>/1</t>
    </r>
    <phoneticPr fontId="40" type="noConversion"/>
  </si>
  <si>
    <r>
      <t>1</t>
    </r>
    <r>
      <rPr>
        <sz val="12"/>
        <rFont val="宋体"/>
        <family val="3"/>
        <charset val="134"/>
      </rPr>
      <t>/0</t>
    </r>
    <phoneticPr fontId="40" type="noConversion"/>
  </si>
  <si>
    <t>internal PAD Pull-Down enable , PAD in input State</t>
    <phoneticPr fontId="40" type="noConversion"/>
  </si>
  <si>
    <t>internal PAD Pull-Up enable , PAD in input State</t>
    <phoneticPr fontId="40" type="noConversion"/>
  </si>
  <si>
    <t>internal PAD Pull-Down/Pull-Up disable , PAD in output  High-Z State</t>
    <phoneticPr fontId="40" type="noConversion"/>
  </si>
  <si>
    <t>internal PAD Pull-Down/Pull-Up disable , PAD in output High State</t>
    <phoneticPr fontId="40" type="noConversion"/>
  </si>
  <si>
    <t>internal PAD Pull-Down/Pull-Up disable , PAD  in output Low State</t>
    <phoneticPr fontId="40" type="noConversion"/>
  </si>
  <si>
    <t>结构图</t>
    <phoneticPr fontId="40" type="noConversion"/>
  </si>
  <si>
    <t>含义</t>
    <phoneticPr fontId="40" type="noConversion"/>
  </si>
  <si>
    <t>注1：管脚上电默认状态的OZ与功能方向的OZ含义不同；</t>
    <phoneticPr fontId="40" type="noConversion"/>
  </si>
  <si>
    <t>Packgae</t>
    <phoneticPr fontId="40" type="noConversion"/>
  </si>
  <si>
    <t>填写芯片封装信息</t>
    <phoneticPr fontId="40" type="noConversion"/>
  </si>
  <si>
    <t>后端同事</t>
    <phoneticPr fontId="40" type="noConversion"/>
  </si>
  <si>
    <t>Die</t>
    <phoneticPr fontId="40" type="noConversion"/>
  </si>
  <si>
    <t>填写芯片Die信息</t>
    <phoneticPr fontId="40" type="noConversion"/>
  </si>
  <si>
    <t>Performance</t>
    <phoneticPr fontId="40" type="noConversion"/>
  </si>
  <si>
    <t>填写芯片封装性能</t>
    <phoneticPr fontId="40" type="noConversion"/>
  </si>
  <si>
    <t>Y</t>
    <phoneticPr fontId="40" type="noConversion"/>
  </si>
  <si>
    <t>N</t>
    <phoneticPr fontId="40" type="noConversion"/>
  </si>
  <si>
    <t>设计及硬件同事共同确认</t>
    <phoneticPr fontId="40" type="noConversion"/>
  </si>
  <si>
    <r>
      <rPr>
        <sz val="12"/>
        <rFont val="宋体"/>
        <family val="3"/>
        <charset val="134"/>
      </rPr>
      <t>对接</t>
    </r>
    <r>
      <rPr>
        <sz val="12"/>
        <rFont val="Arial"/>
        <family val="2"/>
      </rPr>
      <t>IO</t>
    </r>
    <r>
      <rPr>
        <sz val="12"/>
        <rFont val="宋体"/>
        <family val="3"/>
        <charset val="134"/>
      </rPr>
      <t>结构图</t>
    </r>
    <phoneticPr fontId="40" type="noConversion"/>
  </si>
  <si>
    <t>注1：硬线输入功能是指复用在该PAD的输入功能一直存在，不受功能复用寄存器控制，不影响其他复用功能工作；一般芯片上电解复位后会自动锁存管脚状态，之后PAD切换到其它功能，可以采用硬线输入。通常使用硬线输入的目的是为了节约芯片PAD数目。</t>
    <phoneticPr fontId="40" type="noConversion"/>
  </si>
  <si>
    <t>IO复用关系的自动化产生，难免顾虑不到一些特殊信号的要求。比如后端需要某些时钟信号DFT时可控；或者一些IP内部会控制一些IOM的信息，例如uicc管脚的下拉控制就来自于其ip内部；针对这些特殊需求，SI&amp;PKG_REQ专门提供《特殊信号处理》表单用于描述这些信息，以便脚本自动化完成这些功能；</t>
    <phoneticPr fontId="40" type="noConversion"/>
  </si>
  <si>
    <r>
      <t>表4描述的是DFT处理表格，在DFT模式下，即芯片在dft_mode=1时，fuction中描述的各时钟信号都可以从复用的PAD中获得，而不需软件切换复用功能；</t>
    </r>
    <r>
      <rPr>
        <sz val="12"/>
        <color rgb="FFFF0000"/>
        <rFont val="宋体"/>
        <family val="3"/>
        <charset val="134"/>
      </rPr>
      <t>fuctionN_name可以依据复用关系的复杂度，按照表格形式自由增加；</t>
    </r>
    <phoneticPr fontId="40" type="noConversion"/>
  </si>
  <si>
    <r>
      <t>表5描述的是IOM特殊处理表格，IOM列表示当功能切换时，IOM相应的属性（PD，PU，SL，CTL，DS等，不同IO属性可能略有不同）不受IOM_CTRL的相应bit控制,而是受IP的控制；</t>
    </r>
    <r>
      <rPr>
        <sz val="12"/>
        <color rgb="FFFF0000"/>
        <rFont val="宋体"/>
        <family val="3"/>
        <charset val="134"/>
      </rPr>
      <t>ReplceN_name 用来描述IP替换IOM相应属性的信号；ReplaceN_CTRL 为功能切换控制信号，此信号要于IOS_CTRL的fuc_ctrlN_n保持一致；RepalceN_name和RelpaceN_CTRL可按照复用关系的复杂度，按照表格形式组对增加，切记，每一行只能对应一种IOM属性；</t>
    </r>
    <phoneticPr fontId="40" type="noConversion"/>
  </si>
  <si>
    <t>《代码生成》表单实现了最终代码产生的方式及一些代码全局配置信息；</t>
    <phoneticPr fontId="40" type="noConversion"/>
  </si>
  <si>
    <t>目前已经不支持，所有人员共同使用IO Pad 表单</t>
    <phoneticPr fontId="40" type="noConversion"/>
  </si>
  <si>
    <t>用于根据PAD的上电默认状态确定IOM_CTRL初值，具体初值需要根据PAD的类型确定，初值的推荐原则请参考表1；</t>
    <phoneticPr fontId="40" type="noConversion"/>
  </si>
  <si>
    <t>定义属性在IOM_CTRL的高bit起始位置；如果是1bit信号，高bit位置等于低bit位置；</t>
    <phoneticPr fontId="40" type="noConversion"/>
  </si>
  <si>
    <t>定义属性在IOM_CTRL的低bit起始位置；如果是1bit信号，低bit位置等于高bit位置；</t>
    <phoneticPr fontId="40" type="noConversion"/>
  </si>
  <si>
    <t>Analog</t>
  </si>
  <si>
    <t>GPIO6</t>
  </si>
  <si>
    <t>GPIO7</t>
  </si>
  <si>
    <t>GPIO8</t>
  </si>
  <si>
    <t>GPIO10</t>
  </si>
  <si>
    <t>GPIO11</t>
  </si>
  <si>
    <t>GPIO12</t>
  </si>
  <si>
    <t>IOM_CTRL82</t>
  </si>
  <si>
    <t>IOM_CTRL84</t>
  </si>
  <si>
    <t>IOM_CTRL85</t>
  </si>
  <si>
    <t>IOM_CTRL86</t>
  </si>
  <si>
    <t>IOM_CTRL87</t>
  </si>
  <si>
    <t>IOM_CTRL88</t>
  </si>
  <si>
    <t>GSBI0</t>
    <phoneticPr fontId="50" type="noConversion"/>
  </si>
  <si>
    <t>GSBI1</t>
    <phoneticPr fontId="50" type="noConversion"/>
  </si>
  <si>
    <t>GSBI2</t>
    <phoneticPr fontId="50" type="noConversion"/>
  </si>
  <si>
    <t>GPIO1</t>
    <phoneticPr fontId="50" type="noConversion"/>
  </si>
  <si>
    <t>GPIO2</t>
    <phoneticPr fontId="50" type="noConversion"/>
  </si>
  <si>
    <t>GPIO3</t>
    <phoneticPr fontId="50" type="noConversion"/>
  </si>
  <si>
    <t>GPIO4</t>
    <phoneticPr fontId="50" type="noConversion"/>
  </si>
  <si>
    <t>GPIO5</t>
    <phoneticPr fontId="50" type="noConversion"/>
  </si>
  <si>
    <t>GPIO9</t>
    <phoneticPr fontId="50" type="noConversion"/>
  </si>
  <si>
    <t>SPI_CLK</t>
    <phoneticPr fontId="50" type="noConversion"/>
  </si>
  <si>
    <t>SPI_DIO</t>
    <phoneticPr fontId="50" type="noConversion"/>
  </si>
  <si>
    <t>SPI_DO</t>
    <phoneticPr fontId="50" type="noConversion"/>
  </si>
  <si>
    <t>USIM1_CLK</t>
    <phoneticPr fontId="50" type="noConversion"/>
  </si>
  <si>
    <t>USIM1_DATA</t>
    <phoneticPr fontId="50" type="noConversion"/>
  </si>
  <si>
    <t>UICC_DP</t>
    <phoneticPr fontId="50" type="noConversion"/>
  </si>
  <si>
    <t>UICC_DM</t>
    <phoneticPr fontId="50" type="noConversion"/>
  </si>
  <si>
    <t>PCM_CLK</t>
    <phoneticPr fontId="50" type="noConversion"/>
  </si>
  <si>
    <t>PCM_SYNC</t>
    <phoneticPr fontId="50" type="noConversion"/>
  </si>
  <si>
    <t>PCM_DI</t>
    <phoneticPr fontId="50" type="noConversion"/>
  </si>
  <si>
    <t>PCM_DO</t>
    <phoneticPr fontId="50" type="noConversion"/>
  </si>
  <si>
    <t>HS_UART_TXD</t>
    <phoneticPr fontId="50" type="noConversion"/>
  </si>
  <si>
    <t>HS_UART_RXD</t>
    <phoneticPr fontId="50" type="noConversion"/>
  </si>
  <si>
    <t>HS_UART_RTS_N</t>
    <phoneticPr fontId="50" type="noConversion"/>
  </si>
  <si>
    <t>HS_UART_CTS_N</t>
    <phoneticPr fontId="50" type="noConversion"/>
  </si>
  <si>
    <t>I2C_SCL</t>
    <phoneticPr fontId="50" type="noConversion"/>
  </si>
  <si>
    <t>I2C_SDA</t>
    <phoneticPr fontId="50" type="noConversion"/>
  </si>
  <si>
    <t>LCD_CS_N</t>
    <phoneticPr fontId="50" type="noConversion"/>
  </si>
  <si>
    <t>LCD_RST_N</t>
    <phoneticPr fontId="50" type="noConversion"/>
  </si>
  <si>
    <t>UART2_TXD</t>
    <phoneticPr fontId="50" type="noConversion"/>
  </si>
  <si>
    <t>UART2_RXD</t>
    <phoneticPr fontId="50" type="noConversion"/>
  </si>
  <si>
    <t>UART3_TXD</t>
    <phoneticPr fontId="50" type="noConversion"/>
  </si>
  <si>
    <t>UART3_RXD</t>
    <phoneticPr fontId="50" type="noConversion"/>
  </si>
  <si>
    <t>UART1_TXD</t>
    <phoneticPr fontId="50" type="noConversion"/>
  </si>
  <si>
    <t>UART1_RXD</t>
    <phoneticPr fontId="50" type="noConversion"/>
  </si>
  <si>
    <t>GPIO</t>
    <phoneticPr fontId="50" type="noConversion"/>
  </si>
  <si>
    <t>CH0_RXA_I_P</t>
  </si>
  <si>
    <t>CH0_RXA_I_N</t>
  </si>
  <si>
    <t>CH0_RXA_Q_P</t>
  </si>
  <si>
    <t>CH0_RXA_Q_N</t>
  </si>
  <si>
    <t>CH0_RXB_I_P</t>
  </si>
  <si>
    <t>CH0_RXB_I_N</t>
  </si>
  <si>
    <t>CH0_RXB_Q_P</t>
  </si>
  <si>
    <t>CH0_RXB_Q_N</t>
  </si>
  <si>
    <t>CH1_RXA_I_P</t>
  </si>
  <si>
    <t>CH1_RXA_I_N</t>
  </si>
  <si>
    <t>CH1_RXA_Q_P</t>
  </si>
  <si>
    <t>CH1_RXA_Q_N</t>
  </si>
  <si>
    <t>CH1_RXB_I_P</t>
  </si>
  <si>
    <t>CH1_RXB_I_N</t>
  </si>
  <si>
    <t>CH1_RXB_Q_P</t>
  </si>
  <si>
    <t>CH1_RXB_Q_N</t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</si>
  <si>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</si>
  <si>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</si>
  <si>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</si>
  <si>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</si>
  <si>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11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</si>
  <si>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</si>
  <si>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</si>
  <si>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</si>
  <si>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</si>
  <si>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16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</si>
  <si>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</si>
  <si>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</si>
  <si>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</si>
  <si>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20</t>
    </r>
    <r>
      <rPr>
        <sz val="11"/>
        <color theme="1"/>
        <rFont val="宋体"/>
        <family val="2"/>
        <charset val="134"/>
        <scheme val="minor"/>
      </rPr>
      <t/>
    </r>
  </si>
  <si>
    <t>描述复用功能名称，对于使用MUX逻辑实现的功能要求小写。
1:多比特的信号要表示清楚信号的对应比特数，比如gpio0[1]:表示第0组GPIO的第1bit信号；
2：多比特信号的bit数一定要写全，不允许出现缺少情况，比如Sig name 只出现了gpio0[1]，而没有出现其它有关gpio0的bit描述，代码会以出现bit信息最高值表示信号的位宽，这样gpio0的位宽为2bit，gpio0[0]将会没有Drive或Load；
3：Sig name要尽量保持与内部ip代码接口信号一直，便于后续代码集成；
4：对于双向的Sig name，填写Sig_name时要去掉_out 或 _in的关键字母，工具会根据Sig name的双向特性，自动为信号添加***_out，***_in和***_oe等接口信号；</t>
    <phoneticPr fontId="40" type="noConversion"/>
  </si>
  <si>
    <t>gpio1[10]</t>
  </si>
  <si>
    <t>MMC0的第1位数据信号</t>
  </si>
  <si>
    <t>gpio1[11]</t>
  </si>
  <si>
    <t>MMC0的第2位数据信号</t>
  </si>
  <si>
    <t>MMC0的第3位数据信号</t>
  </si>
  <si>
    <t>BOOT_MODE1</t>
  </si>
  <si>
    <t>BOOT_MODE2</t>
  </si>
  <si>
    <t>BOOT_MODE3</t>
  </si>
  <si>
    <t>JTAG_MODE1</t>
  </si>
  <si>
    <t>1.8VD(P3)</t>
  </si>
  <si>
    <t>ddr_dqm[1]</t>
  </si>
  <si>
    <t>ddr_dqm[2]</t>
  </si>
  <si>
    <t>ddr_dqm[3]</t>
  </si>
  <si>
    <t>ddr_dq[1]</t>
  </si>
  <si>
    <t>ddr_dq[2]</t>
  </si>
  <si>
    <t>ddr_dq[3]</t>
  </si>
  <si>
    <t>ddr_dq[4]</t>
  </si>
  <si>
    <t>ddr_dq[5]</t>
  </si>
  <si>
    <t>ddr_dq[6]</t>
  </si>
  <si>
    <t>ddr_dq[7]</t>
  </si>
  <si>
    <t>ddr_dq[8]</t>
  </si>
  <si>
    <t>ddr_dq[9]</t>
  </si>
  <si>
    <t>ddr_dq[10]</t>
  </si>
  <si>
    <t>ddr_dq[11]</t>
  </si>
  <si>
    <t>ddr_dq[12]</t>
  </si>
  <si>
    <t>ddr_dq[13]</t>
  </si>
  <si>
    <t>ddr_dq[14]</t>
  </si>
  <si>
    <t>ddr_dq[15]</t>
  </si>
  <si>
    <t>ddr_dq[16]</t>
  </si>
  <si>
    <t>ddr_dq[17]</t>
  </si>
  <si>
    <t>ddr_dq[18]</t>
  </si>
  <si>
    <t>ddr_dq[19]</t>
  </si>
  <si>
    <t>ddr_dq[20]</t>
  </si>
  <si>
    <t>ddr_dq[21]</t>
  </si>
  <si>
    <t>ddr_dq[22]</t>
  </si>
  <si>
    <t>ddr_dq[23]</t>
  </si>
  <si>
    <t>ddr_dq[24]</t>
  </si>
  <si>
    <t>ddr_dq[25]</t>
  </si>
  <si>
    <t>ddr_dq[26]</t>
  </si>
  <si>
    <t>ddr_dq[27]</t>
  </si>
  <si>
    <t>ddr_dq[28]</t>
  </si>
  <si>
    <t>ddr_dq[29]</t>
  </si>
  <si>
    <t>ddr_dq[30]</t>
  </si>
  <si>
    <t>ddr_dq[31]</t>
  </si>
  <si>
    <t>gp_pwm1</t>
  </si>
  <si>
    <r>
      <t>2：IOS_CTRL的信息</t>
    </r>
    <r>
      <rPr>
        <sz val="12"/>
        <color rgb="FFFF0000"/>
        <rFont val="宋体"/>
        <family val="3"/>
        <charset val="134"/>
      </rPr>
      <t>非常重要。
To :</t>
    </r>
    <r>
      <rPr>
        <sz val="12"/>
        <rFont val="宋体"/>
        <family val="3"/>
        <charset val="134"/>
      </rPr>
      <t xml:space="preserve">硬件人员可以根据控制功能切换的IOS_CTRL寄存器差别，判断那些功能可以单独切换，那些功能是成组切换，以便单板设计上的灵活性；
</t>
    </r>
    <r>
      <rPr>
        <sz val="12"/>
        <color rgb="FFFF0000"/>
        <rFont val="宋体"/>
        <family val="3"/>
        <charset val="134"/>
      </rPr>
      <t>To :</t>
    </r>
    <r>
      <rPr>
        <sz val="12"/>
        <rFont val="宋体"/>
        <family val="3"/>
        <charset val="134"/>
      </rPr>
      <t xml:space="preserve">软件人员要保证每一个PAD只允许出现一种功能配置,即一个复用控制寄存器的相应bit为1，其它的bit都必须为0；
</t>
    </r>
    <r>
      <rPr>
        <sz val="12"/>
        <color rgb="FFFF0000"/>
        <rFont val="宋体"/>
        <family val="3"/>
        <charset val="134"/>
      </rPr>
      <t>To :</t>
    </r>
    <r>
      <rPr>
        <sz val="12"/>
        <color theme="1"/>
        <rFont val="宋体"/>
        <family val="3"/>
        <charset val="134"/>
      </rPr>
      <t>代码设计人员要保证控制寄存器的合理分配和控制信息(fuc_ctrlN_n)描述的正确性,具体要求要遵守表3描述；</t>
    </r>
    <phoneticPr fontId="40" type="noConversion"/>
  </si>
  <si>
    <t>IOM_CTRL12</t>
  </si>
  <si>
    <t>IOM_CTRL16</t>
  </si>
  <si>
    <t>IOM_CTRL36</t>
  </si>
  <si>
    <t>IOM_CTRL37</t>
  </si>
  <si>
    <t>IOM_CTRL38</t>
  </si>
  <si>
    <t>IOM_CTRL51</t>
  </si>
  <si>
    <t>IOM_CTRL89</t>
  </si>
  <si>
    <t>gpio1[5]</t>
  </si>
  <si>
    <t>gpio1[6]</t>
  </si>
  <si>
    <t>gpio1[8]</t>
  </si>
  <si>
    <t>GPIO_1_31</t>
  </si>
  <si>
    <t>gpio1[16]</t>
  </si>
  <si>
    <t>gpio1[17]</t>
  </si>
  <si>
    <t>gpio1[20]</t>
  </si>
  <si>
    <t>gpio1[21]</t>
  </si>
  <si>
    <t>gpio1[22]</t>
  </si>
  <si>
    <t>gpio1[23]</t>
  </si>
  <si>
    <t>gpio1[28]</t>
  </si>
  <si>
    <t>gpio1[31]</t>
  </si>
  <si>
    <t>gpio2[1]</t>
  </si>
  <si>
    <t>gpio2[2]</t>
  </si>
  <si>
    <t>gpio2[3]</t>
  </si>
  <si>
    <t>gpio2[5]</t>
  </si>
  <si>
    <t>gpio2[6]</t>
  </si>
  <si>
    <t>gpio2[7]</t>
  </si>
  <si>
    <t>gpio2[8]</t>
  </si>
  <si>
    <t>gpio2[9]</t>
  </si>
  <si>
    <t xml:space="preserve"> </t>
    <phoneticPr fontId="39" type="noConversion"/>
  </si>
  <si>
    <t>gpio2[17]</t>
  </si>
  <si>
    <t>gpio2[18]</t>
  </si>
  <si>
    <t>gpio2[19]</t>
  </si>
  <si>
    <t>gpio2[20]</t>
  </si>
  <si>
    <t>gpio2[21]</t>
  </si>
  <si>
    <t>gpio2[22]</t>
  </si>
  <si>
    <t>3.3V</t>
  </si>
  <si>
    <t>0.9V</t>
  </si>
  <si>
    <t>0.25V</t>
  </si>
  <si>
    <t>时钟自动门控使能信号</t>
    <phoneticPr fontId="40" type="noConversion"/>
  </si>
  <si>
    <t>Alternative function (6)</t>
    <phoneticPr fontId="3" type="noConversion"/>
  </si>
  <si>
    <t>Alternative function (7)</t>
    <phoneticPr fontId="3" type="noConversion"/>
  </si>
  <si>
    <t>Alternative function (8)</t>
    <phoneticPr fontId="3" type="noConversion"/>
  </si>
  <si>
    <t>Alternative function (9)</t>
    <phoneticPr fontId="3" type="noConversion"/>
  </si>
  <si>
    <t>Alternative function (10)</t>
    <phoneticPr fontId="3" type="noConversion"/>
  </si>
  <si>
    <t>Alternative function (11)</t>
    <phoneticPr fontId="3" type="noConversion"/>
  </si>
  <si>
    <t>Alternative function (12)</t>
    <phoneticPr fontId="3" type="noConversion"/>
  </si>
  <si>
    <t>comment</t>
    <phoneticPr fontId="3" type="noConversion"/>
  </si>
  <si>
    <t>Sig name</t>
    <phoneticPr fontId="3" type="noConversion"/>
  </si>
  <si>
    <t>Direct</t>
    <phoneticPr fontId="3" type="noConversion"/>
  </si>
  <si>
    <t>IOS_CTRL</t>
    <phoneticPr fontId="3" type="noConversion"/>
  </si>
  <si>
    <t>Freq</t>
    <phoneticPr fontId="3" type="noConversion"/>
  </si>
  <si>
    <t xml:space="preserve"> description</t>
    <phoneticPr fontId="3" type="noConversion"/>
  </si>
  <si>
    <t>Description</t>
    <phoneticPr fontId="3" type="noConversion"/>
  </si>
  <si>
    <t>1.8VD(P3)</t>
    <phoneticPr fontId="3" type="noConversion"/>
  </si>
  <si>
    <t>NF_CE0_N</t>
    <phoneticPr fontId="3" type="noConversion"/>
  </si>
  <si>
    <t>ABB</t>
    <phoneticPr fontId="3" type="noConversion"/>
  </si>
  <si>
    <t>OT</t>
    <phoneticPr fontId="40" type="noConversion"/>
  </si>
  <si>
    <t>GSBI3</t>
    <phoneticPr fontId="50" type="noConversion"/>
  </si>
  <si>
    <t>OT</t>
  </si>
  <si>
    <t>GPIO13</t>
    <phoneticPr fontId="50" type="noConversion"/>
  </si>
  <si>
    <t>GPIO14</t>
  </si>
  <si>
    <t>GPIO15</t>
  </si>
  <si>
    <t>GPIO16</t>
  </si>
  <si>
    <t>IOM_CTRL10</t>
  </si>
  <si>
    <r>
      <t>fuc_ctrlN_n</t>
    </r>
    <r>
      <rPr>
        <sz val="12"/>
        <rFont val="宋体"/>
        <family val="3"/>
        <charset val="134"/>
      </rPr>
      <t>表示为</t>
    </r>
    <r>
      <rPr>
        <sz val="12"/>
        <rFont val="Arial"/>
        <family val="2"/>
      </rPr>
      <t>fuc</t>
    </r>
    <r>
      <rPr>
        <sz val="12"/>
        <rFont val="宋体"/>
        <family val="3"/>
        <charset val="134"/>
      </rPr>
      <t>复用到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 xml:space="preserve">上的功能控制；
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总数，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表示第几个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数</t>
    </r>
    <r>
      <rPr>
        <sz val="12"/>
        <rFont val="Arial"/>
        <family val="2"/>
      </rPr>
      <t>;(N&gt;=1; 1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N)</t>
    </r>
    <r>
      <rPr>
        <sz val="12"/>
        <rFont val="宋体"/>
        <family val="3"/>
        <charset val="134"/>
      </rPr>
      <t>。当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大于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>时，表示该功能复用到多处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。当该功能含有输入功能（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）时，输入功能来自不同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的优先级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值越小越高。</t>
    </r>
    <r>
      <rPr>
        <sz val="12"/>
        <rFont val="Arial"/>
        <family val="2"/>
      </rPr>
      <t>ios_m(a)f_ctrlX[x]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fuc_ctrlN_n</t>
    </r>
    <r>
      <rPr>
        <sz val="12"/>
        <rFont val="宋体"/>
        <family val="3"/>
        <charset val="134"/>
      </rPr>
      <t>是</t>
    </r>
    <r>
      <rPr>
        <sz val="12"/>
        <rFont val="Arial"/>
        <family val="2"/>
      </rPr>
      <t>ios_m(a)f_ctrlX</t>
    </r>
    <r>
      <rPr>
        <sz val="12"/>
        <rFont val="宋体"/>
        <family val="3"/>
        <charset val="134"/>
      </rPr>
      <t>寄存器的的第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位；</t>
    </r>
    <r>
      <rPr>
        <sz val="12"/>
        <rFont val="Arial"/>
        <family val="2"/>
      </rPr>
      <t>(0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31)</t>
    </r>
    <r>
      <rPr>
        <sz val="12"/>
        <rFont val="宋体"/>
        <family val="3"/>
        <charset val="134"/>
      </rPr>
      <t>；</t>
    </r>
    <r>
      <rPr>
        <sz val="12"/>
        <rFont val="Arial"/>
        <family val="2"/>
      </rPr>
      <t>Dv</t>
    </r>
    <r>
      <rPr>
        <sz val="12"/>
        <rFont val="宋体"/>
        <family val="3"/>
        <charset val="134"/>
      </rPr>
      <t>表示该功能（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）在该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不复用出去时，该功能信号的输入使用的默认值，</t>
    </r>
    <r>
      <rPr>
        <sz val="12"/>
        <rFont val="Arial"/>
        <family val="2"/>
      </rPr>
      <t>v</t>
    </r>
    <r>
      <rPr>
        <sz val="12"/>
        <rFont val="宋体"/>
        <family val="3"/>
        <charset val="134"/>
      </rPr>
      <t>取值为</t>
    </r>
    <r>
      <rPr>
        <sz val="12"/>
        <rFont val="Arial"/>
        <family val="2"/>
      </rPr>
      <t>0</t>
    </r>
    <r>
      <rPr>
        <sz val="12"/>
        <rFont val="宋体"/>
        <family val="3"/>
        <charset val="134"/>
      </rPr>
      <t>或者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 xml:space="preserve">；
</t>
    </r>
    <r>
      <rPr>
        <sz val="12"/>
        <color rgb="FFFF0000"/>
        <rFont val="宋体"/>
        <family val="3"/>
        <charset val="134"/>
      </rPr>
      <t>使用方法及注意事项：
一、切记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和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要全面匹配</t>
    </r>
    <r>
      <rPr>
        <sz val="12"/>
        <color rgb="FFFF0000"/>
        <rFont val="Arial"/>
        <family val="2"/>
      </rPr>
      <t xml:space="preserve"> </t>
    </r>
    <r>
      <rPr>
        <sz val="12"/>
        <color rgb="FFFF0000"/>
        <rFont val="宋体"/>
        <family val="3"/>
        <charset val="134"/>
      </rPr>
      <t>，比如</t>
    </r>
    <r>
      <rPr>
        <sz val="12"/>
        <color rgb="FFFF0000"/>
        <rFont val="Arial"/>
        <family val="2"/>
      </rPr>
      <t>N=7</t>
    </r>
    <r>
      <rPr>
        <sz val="12"/>
        <color rgb="FFFF0000"/>
        <rFont val="宋体"/>
        <family val="3"/>
        <charset val="134"/>
      </rPr>
      <t>，那么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的取值必须有</t>
    </r>
    <r>
      <rPr>
        <sz val="12"/>
        <color rgb="FFFF0000"/>
        <rFont val="Arial"/>
        <family val="2"/>
      </rPr>
      <t xml:space="preserve"> 1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2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3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4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5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6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7</t>
    </r>
    <r>
      <rPr>
        <sz val="12"/>
        <color rgb="FFFF0000"/>
        <rFont val="宋体"/>
        <family val="3"/>
        <charset val="134"/>
      </rPr>
      <t>；且必须唯一，不能重复；对与</t>
    </r>
    <r>
      <rPr>
        <sz val="12"/>
        <color rgb="FFFF0000"/>
        <rFont val="Arial"/>
        <family val="2"/>
      </rPr>
      <t xml:space="preserve">Main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）控制寄存器，对与</t>
    </r>
    <r>
      <rPr>
        <sz val="12"/>
        <color rgb="FFFF0000"/>
        <rFont val="Arial"/>
        <family val="2"/>
      </rPr>
      <t xml:space="preserve">Alternative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ios_af_ctrl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）控制寄存器；
二、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的描述必须是唯一的，对于成组功能的切换，允许不同的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对应相同的控制寄存器</t>
    </r>
    <r>
      <rPr>
        <sz val="12"/>
        <color rgb="FFFF0000"/>
        <rFont val="Arial"/>
        <family val="2"/>
      </rPr>
      <t>ios_m(a)f_ctrlX[x],</t>
    </r>
    <r>
      <rPr>
        <sz val="12"/>
        <color rgb="FFFF0000"/>
        <rFont val="宋体"/>
        <family val="3"/>
        <charset val="134"/>
      </rPr>
      <t>推荐</t>
    </r>
    <r>
      <rPr>
        <sz val="12"/>
        <color rgb="FFFF0000"/>
        <rFont val="Arial"/>
        <family val="2"/>
      </rPr>
      <t>fuc</t>
    </r>
    <r>
      <rPr>
        <sz val="12"/>
        <color rgb="FFFF0000"/>
        <rFont val="宋体"/>
        <family val="3"/>
        <charset val="134"/>
      </rPr>
      <t>使用功能名称；
三、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的值要重视，</t>
    </r>
    <r>
      <rPr>
        <sz val="12"/>
        <color rgb="FFFF0000"/>
        <rFont val="Arial"/>
        <family val="2"/>
      </rPr>
      <t>v</t>
    </r>
    <r>
      <rPr>
        <sz val="12"/>
        <color rgb="FFFF0000"/>
        <rFont val="宋体"/>
        <family val="3"/>
        <charset val="134"/>
      </rPr>
      <t>的取值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或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要与具体</t>
    </r>
    <r>
      <rPr>
        <sz val="12"/>
        <color rgb="FFFF0000"/>
        <rFont val="Arial"/>
        <family val="2"/>
      </rPr>
      <t>IP</t>
    </r>
    <r>
      <rPr>
        <sz val="12"/>
        <color rgb="FFFF0000"/>
        <rFont val="宋体"/>
        <family val="3"/>
        <charset val="134"/>
      </rPr>
      <t>的责任人确认清楚，防止选择不正确的值对芯片造成不可预知的问题（尤其是输入时钟信号，时钟</t>
    </r>
    <r>
      <rPr>
        <sz val="12"/>
        <color rgb="FFFF0000"/>
        <rFont val="Arial"/>
        <family val="2"/>
      </rPr>
      <t>Gating</t>
    </r>
    <r>
      <rPr>
        <sz val="12"/>
        <color rgb="FFFF0000"/>
        <rFont val="宋体"/>
        <family val="3"/>
        <charset val="134"/>
      </rPr>
      <t>电路和时钟无毛刺切换电路的组合会引入</t>
    </r>
    <r>
      <rPr>
        <sz val="12"/>
        <color rgb="FFFF0000"/>
        <rFont val="Arial"/>
        <family val="2"/>
      </rPr>
      <t>Latch+MUX</t>
    </r>
    <r>
      <rPr>
        <sz val="12"/>
        <color rgb="FFFF0000"/>
        <rFont val="宋体"/>
        <family val="3"/>
        <charset val="134"/>
      </rPr>
      <t>的逻辑，而这种逻辑会在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选值的不合理情况下，影响正常时钟的使用）；
四、结合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值与</t>
    </r>
    <r>
      <rPr>
        <sz val="12"/>
        <color rgb="FFFF0000"/>
        <rFont val="Arial"/>
        <family val="2"/>
      </rPr>
      <t>IOS_(M/A)F_CTRL</t>
    </r>
    <r>
      <rPr>
        <sz val="12"/>
        <color rgb="FFFF0000"/>
        <rFont val="宋体"/>
        <family val="3"/>
        <charset val="134"/>
      </rPr>
      <t>的基地址可推算出相关寄存器的绝对值</t>
    </r>
    <r>
      <rPr>
        <sz val="12"/>
        <color rgb="FFFF0000"/>
        <rFont val="Arial"/>
        <family val="2"/>
      </rPr>
      <t>: addr(IOS_(M/A)F_CTRLn)=IOS_(M/A)F_CTRL</t>
    </r>
    <r>
      <rPr>
        <sz val="12"/>
        <color rgb="FFFF0000"/>
        <rFont val="宋体"/>
        <family val="3"/>
        <charset val="134"/>
      </rPr>
      <t>基地址</t>
    </r>
    <r>
      <rPr>
        <sz val="12"/>
        <color rgb="FFFF0000"/>
        <rFont val="Arial"/>
        <family val="2"/>
      </rPr>
      <t>+n*4'h4,(n=0,1</t>
    </r>
    <r>
      <rPr>
        <sz val="12"/>
        <color rgb="FFFF0000"/>
        <rFont val="宋体"/>
        <family val="3"/>
        <charset val="134"/>
      </rPr>
      <t>…</t>
    </r>
    <r>
      <rPr>
        <sz val="12"/>
        <color rgb="FFFF0000"/>
        <rFont val="Arial"/>
        <family val="2"/>
      </rPr>
      <t>)</t>
    </r>
    <r>
      <rPr>
        <sz val="12"/>
        <color rgb="FFFF0000"/>
        <rFont val="宋体"/>
        <family val="3"/>
        <charset val="134"/>
      </rPr>
      <t>；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基地址为全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；</t>
    </r>
    <r>
      <rPr>
        <sz val="12"/>
        <rFont val="Arial"/>
        <family val="2"/>
      </rPr>
      <t xml:space="preserve">
</t>
    </r>
    <phoneticPr fontId="40" type="noConversion"/>
  </si>
  <si>
    <t>SPI_CS_N</t>
    <phoneticPr fontId="50" type="noConversion"/>
  </si>
  <si>
    <t>IOM_CTRL50</t>
  </si>
  <si>
    <r>
      <t>PDM</t>
    </r>
    <r>
      <rPr>
        <sz val="10"/>
        <rFont val="宋体"/>
        <family val="3"/>
        <charset val="134"/>
      </rPr>
      <t>信号，用于调节</t>
    </r>
    <r>
      <rPr>
        <sz val="10"/>
        <rFont val="Arial"/>
        <family val="2"/>
      </rPr>
      <t>CH1的PA的供电电压</t>
    </r>
    <r>
      <rPr>
        <sz val="10"/>
        <rFont val="宋体"/>
        <family val="3"/>
        <charset val="134"/>
      </rPr>
      <t/>
    </r>
  </si>
  <si>
    <r>
      <rPr>
        <sz val="10"/>
        <rFont val="宋体"/>
        <family val="3"/>
        <charset val="134"/>
      </rPr>
      <t>中继线控</t>
    </r>
    <r>
      <rPr>
        <sz val="10"/>
        <rFont val="Arial"/>
        <family val="2"/>
      </rPr>
      <t>1</t>
    </r>
    <r>
      <rPr>
        <sz val="11"/>
        <color theme="1"/>
        <rFont val="宋体"/>
        <family val="2"/>
        <charset val="134"/>
        <scheme val="minor"/>
      </rPr>
      <t/>
    </r>
  </si>
  <si>
    <t>USB stick</t>
    <phoneticPr fontId="3" type="noConversion"/>
  </si>
  <si>
    <t>E5</t>
    <phoneticPr fontId="3" type="noConversion"/>
  </si>
  <si>
    <t>CPE</t>
    <phoneticPr fontId="3" type="noConversion"/>
  </si>
  <si>
    <t>Phone</t>
    <phoneticPr fontId="3" type="noConversion"/>
  </si>
  <si>
    <t>GPS</t>
    <phoneticPr fontId="3" type="noConversion"/>
  </si>
  <si>
    <t>charge</t>
    <phoneticPr fontId="3" type="noConversion"/>
  </si>
  <si>
    <t>LCD</t>
    <phoneticPr fontId="3" type="noConversion"/>
  </si>
  <si>
    <t>slic</t>
    <phoneticPr fontId="3" type="noConversion"/>
  </si>
  <si>
    <t>PCM</t>
    <phoneticPr fontId="3" type="noConversion"/>
  </si>
  <si>
    <t>大容量SIM</t>
    <phoneticPr fontId="3" type="noConversion"/>
  </si>
  <si>
    <t>AP</t>
    <phoneticPr fontId="3" type="noConversion"/>
  </si>
  <si>
    <t>codec</t>
    <phoneticPr fontId="3" type="noConversion"/>
  </si>
  <si>
    <t>EM</t>
    <phoneticPr fontId="3" type="noConversion"/>
  </si>
  <si>
    <t>GPS</t>
    <phoneticPr fontId="3" type="noConversion"/>
  </si>
  <si>
    <t>串行flash</t>
    <phoneticPr fontId="3" type="noConversion"/>
  </si>
  <si>
    <t>test_hsic0[31:0]</t>
    <phoneticPr fontId="3" type="noConversion"/>
  </si>
  <si>
    <t>test_hsic1[31:0]</t>
    <phoneticPr fontId="3" type="noConversion"/>
  </si>
  <si>
    <t>test_usb0[31:0]</t>
    <phoneticPr fontId="3" type="noConversion"/>
  </si>
  <si>
    <t>test_usb1[31:0]</t>
    <phoneticPr fontId="3" type="noConversion"/>
  </si>
  <si>
    <t>test_usb2[31:0]</t>
    <phoneticPr fontId="3" type="noConversion"/>
  </si>
  <si>
    <t>test_usb3[31:0]</t>
    <phoneticPr fontId="3" type="noConversion"/>
  </si>
  <si>
    <t>test_abb0[31:0]</t>
    <phoneticPr fontId="3" type="noConversion"/>
  </si>
  <si>
    <t>test_abb1[31:0]</t>
    <phoneticPr fontId="3" type="noConversion"/>
  </si>
  <si>
    <t>test_abb2[31:0]</t>
    <phoneticPr fontId="3" type="noConversion"/>
  </si>
  <si>
    <t>test_abb3[31:0]</t>
    <phoneticPr fontId="3" type="noConversion"/>
  </si>
  <si>
    <t>test_clk[31:0]</t>
    <phoneticPr fontId="3" type="noConversion"/>
  </si>
  <si>
    <t>test_sys0[31:0]</t>
    <phoneticPr fontId="3" type="noConversion"/>
  </si>
  <si>
    <t>test_sys1[31:0]</t>
    <phoneticPr fontId="3" type="noConversion"/>
  </si>
  <si>
    <t>uart2_txd</t>
  </si>
  <si>
    <t>uart2_rxd</t>
  </si>
  <si>
    <t>uart3_txd</t>
  </si>
  <si>
    <t>uart3_rxd</t>
  </si>
  <si>
    <t>test_usb0[22]</t>
  </si>
  <si>
    <t>test_usb0[23]</t>
  </si>
  <si>
    <t>test_usb0[24]</t>
  </si>
  <si>
    <t>test_usb0[25]</t>
  </si>
  <si>
    <t>test_usb0[26]</t>
  </si>
  <si>
    <t>test_usb0[27]</t>
  </si>
  <si>
    <t>test_usb0[28]</t>
  </si>
  <si>
    <t>test_usb1[21]</t>
  </si>
  <si>
    <t>test_usb1[22]</t>
  </si>
  <si>
    <t>test_usb1[23]</t>
  </si>
  <si>
    <t>test_usb1[24]</t>
  </si>
  <si>
    <t>test_usb1[25]</t>
  </si>
  <si>
    <t>test_usb1[26]</t>
  </si>
  <si>
    <t>test_usb1[27]</t>
  </si>
  <si>
    <t>test_usb1[28]</t>
  </si>
  <si>
    <t>test_usb2[21]</t>
  </si>
  <si>
    <t>test_usb2[22]</t>
  </si>
  <si>
    <t>test_usb2[23]</t>
  </si>
  <si>
    <t>test_usb2[24]</t>
  </si>
  <si>
    <t>test_usb2[25]</t>
  </si>
  <si>
    <t>test_usb2[26]</t>
  </si>
  <si>
    <t>test_usb2[27]</t>
  </si>
  <si>
    <t>test_usb2[28]</t>
  </si>
  <si>
    <t>test_usb3[21]</t>
  </si>
  <si>
    <t>test_usb3[22]</t>
  </si>
  <si>
    <t>test_usb3[23]</t>
  </si>
  <si>
    <t>test_usb3[24]</t>
  </si>
  <si>
    <t>test_usb3[25]</t>
  </si>
  <si>
    <t>test_usb3[26]</t>
  </si>
  <si>
    <t>test_usb3[27]</t>
  </si>
  <si>
    <t>test_usb3[28]</t>
  </si>
  <si>
    <t>test_hsic0[21]</t>
  </si>
  <si>
    <t>test_hsic0[22]</t>
  </si>
  <si>
    <t>test_hsic0[23]</t>
  </si>
  <si>
    <t>test_hsic0[24]</t>
  </si>
  <si>
    <t>test_hsic0[25]</t>
  </si>
  <si>
    <t>test_hsic0[26]</t>
  </si>
  <si>
    <t>test_hsic0[27]</t>
  </si>
  <si>
    <t>test_hsic0[28]</t>
  </si>
  <si>
    <t>test_hsic1[21]</t>
  </si>
  <si>
    <t>test_hsic1[22]</t>
  </si>
  <si>
    <t>test_hsic1[23]</t>
  </si>
  <si>
    <t>test_hsic1[24]</t>
  </si>
  <si>
    <t>test_hsic1[25]</t>
  </si>
  <si>
    <t>test_hsic1[26]</t>
  </si>
  <si>
    <t>test_hsic1[27]</t>
  </si>
  <si>
    <t>test_hsic1[28]</t>
  </si>
  <si>
    <t>test_abb0[21]</t>
  </si>
  <si>
    <t>test_abb1[21]</t>
  </si>
  <si>
    <t>test_abb2[21]</t>
  </si>
  <si>
    <t>test_abb3[21]</t>
  </si>
  <si>
    <t>test_abb0[22]</t>
  </si>
  <si>
    <t>test_abb1[22]</t>
  </si>
  <si>
    <t>test_abb2[22]</t>
  </si>
  <si>
    <t>test_abb3[22]</t>
  </si>
  <si>
    <t>test_abb0[23]</t>
  </si>
  <si>
    <t>test_abb1[23]</t>
  </si>
  <si>
    <t>test_abb2[23]</t>
  </si>
  <si>
    <t>test_abb3[23]</t>
  </si>
  <si>
    <t>test_abb0[24]</t>
  </si>
  <si>
    <t>test_abb1[24]</t>
  </si>
  <si>
    <t>test_abb2[24]</t>
  </si>
  <si>
    <t>test_abb3[24]</t>
  </si>
  <si>
    <t>test_abb0[25]</t>
  </si>
  <si>
    <t>test_abb1[25]</t>
  </si>
  <si>
    <t>test_abb2[25]</t>
  </si>
  <si>
    <t>test_abb3[25]</t>
  </si>
  <si>
    <t>test_abb0[26]</t>
  </si>
  <si>
    <t>test_abb1[26]</t>
  </si>
  <si>
    <t>test_abb2[26]</t>
  </si>
  <si>
    <t>test_abb3[26]</t>
  </si>
  <si>
    <t>test_abb0[27]</t>
  </si>
  <si>
    <t>test_abb1[27]</t>
  </si>
  <si>
    <t>test_abb2[27]</t>
  </si>
  <si>
    <t>test_abb3[27]</t>
  </si>
  <si>
    <t>test_abb0[28]</t>
  </si>
  <si>
    <t>test_abb1[28]</t>
  </si>
  <si>
    <t>test_abb2[28]</t>
  </si>
  <si>
    <t>test_abb3[28]</t>
  </si>
  <si>
    <t>Alternative function (13)</t>
    <phoneticPr fontId="3" type="noConversion"/>
  </si>
  <si>
    <t>Alternative function (14)</t>
    <phoneticPr fontId="3" type="noConversion"/>
  </si>
  <si>
    <t>Alternative function (1)</t>
  </si>
  <si>
    <t>Alternative function (2)</t>
  </si>
  <si>
    <t>Alternative function (3)</t>
  </si>
  <si>
    <t>Alternative function (4)</t>
  </si>
  <si>
    <t>Alternative function (15)</t>
    <phoneticPr fontId="3" type="noConversion"/>
  </si>
  <si>
    <t>Alternative function (16)</t>
    <phoneticPr fontId="3" type="noConversion"/>
  </si>
  <si>
    <t>Alternative function (17)</t>
    <phoneticPr fontId="3" type="noConversion"/>
  </si>
  <si>
    <t>Alternative function (18)</t>
    <phoneticPr fontId="3" type="noConversion"/>
  </si>
  <si>
    <t>Alternative function (19)</t>
    <phoneticPr fontId="3" type="noConversion"/>
  </si>
  <si>
    <t>test_clk[21]</t>
  </si>
  <si>
    <t>test_clk[22]</t>
  </si>
  <si>
    <t>test_clk[23]</t>
  </si>
  <si>
    <t>test_clk[24]</t>
  </si>
  <si>
    <t>test_clk[25]</t>
  </si>
  <si>
    <t>test_clk[26]</t>
  </si>
  <si>
    <t>test_clk[27]</t>
  </si>
  <si>
    <t>test_clk[28]</t>
  </si>
  <si>
    <t>test_sys0[21]</t>
  </si>
  <si>
    <t>test_sys0[22]</t>
  </si>
  <si>
    <t>test_sys0[23]</t>
  </si>
  <si>
    <t>test_sys0[24]</t>
  </si>
  <si>
    <t>test_sys0[25]</t>
  </si>
  <si>
    <t>test_sys0[26]</t>
  </si>
  <si>
    <t>test_sys0[27]</t>
  </si>
  <si>
    <t>test_sys0[28]</t>
  </si>
  <si>
    <t>test_sys1[21]</t>
  </si>
  <si>
    <t>test_sys1[22]</t>
  </si>
  <si>
    <t>test_sys1[23]</t>
  </si>
  <si>
    <t>test_sys1[24]</t>
  </si>
  <si>
    <t>test_sys1[25]</t>
  </si>
  <si>
    <t>test_sys1[26]</t>
  </si>
  <si>
    <t>test_sys1[27]</t>
  </si>
  <si>
    <t>test_sys1[28]</t>
  </si>
  <si>
    <t>test_usb0[19]</t>
  </si>
  <si>
    <t>test_usb1[19]</t>
  </si>
  <si>
    <t>test_usb2[19]</t>
  </si>
  <si>
    <t>test_usb3[19]</t>
  </si>
  <si>
    <t>test_hsic0[19]</t>
  </si>
  <si>
    <t>test_hsic1[19]</t>
  </si>
  <si>
    <t>test_abb0[19]</t>
  </si>
  <si>
    <t>test_abb1[19]</t>
  </si>
  <si>
    <t>test_abb2[19]</t>
  </si>
  <si>
    <t>test_abb3[19]</t>
  </si>
  <si>
    <t>test_clk[19]</t>
  </si>
  <si>
    <t>test_sys0[19]</t>
  </si>
  <si>
    <t>test_sys1[19]</t>
  </si>
  <si>
    <t>test_usb0[20]</t>
  </si>
  <si>
    <t>test_usb1[20]</t>
  </si>
  <si>
    <t>test_usb2[20]</t>
  </si>
  <si>
    <t>test_usb3[20]</t>
  </si>
  <si>
    <t>test_hsic0[20]</t>
  </si>
  <si>
    <t>test_hsic1[20]</t>
  </si>
  <si>
    <t>test_abb0[20]</t>
  </si>
  <si>
    <t>test_abb1[20]</t>
  </si>
  <si>
    <t>test_abb2[20]</t>
  </si>
  <si>
    <t>test_abb3[20]</t>
  </si>
  <si>
    <t>test_clk[20]</t>
  </si>
  <si>
    <t>test_sys0[20]</t>
  </si>
  <si>
    <t>test_sys1[20]</t>
  </si>
  <si>
    <t>test_usb0[29]</t>
  </si>
  <si>
    <t>test_usb1[29]</t>
  </si>
  <si>
    <t>test_usb2[29]</t>
  </si>
  <si>
    <t>test_usb3[29]</t>
  </si>
  <si>
    <t>test_hsic0[29]</t>
  </si>
  <si>
    <t>test_hsic1[29]</t>
  </si>
  <si>
    <t>test_abb0[29]</t>
  </si>
  <si>
    <t>test_abb1[29]</t>
  </si>
  <si>
    <t>test_abb2[29]</t>
  </si>
  <si>
    <t>test_abb3[29]</t>
  </si>
  <si>
    <t>test_clk[29]</t>
  </si>
  <si>
    <t>test_sys0[29]</t>
  </si>
  <si>
    <t>test_sys1[29]</t>
  </si>
  <si>
    <t>test_usb0[30]</t>
  </si>
  <si>
    <t>test_usb1[30]</t>
  </si>
  <si>
    <t>test_usb2[30]</t>
  </si>
  <si>
    <t>test_usb3[30]</t>
  </si>
  <si>
    <t>test_hsic0[30]</t>
  </si>
  <si>
    <t>test_hsic1[30]</t>
  </si>
  <si>
    <t>test_abb0[30]</t>
  </si>
  <si>
    <t>test_abb1[30]</t>
  </si>
  <si>
    <t>test_abb2[30]</t>
  </si>
  <si>
    <t>test_abb3[30]</t>
  </si>
  <si>
    <t>test_clk[30]</t>
  </si>
  <si>
    <t>test_sys0[30]</t>
  </si>
  <si>
    <t>test_sys1[30]</t>
  </si>
  <si>
    <t>test_usb0[31]</t>
  </si>
  <si>
    <t>test_usb1[31]</t>
  </si>
  <si>
    <t>test_usb2[31]</t>
  </si>
  <si>
    <t>test_usb3[31]</t>
  </si>
  <si>
    <t>test_hsic0[31]</t>
  </si>
  <si>
    <t>test_hsic1[31]</t>
  </si>
  <si>
    <t>test_abb0[31]</t>
  </si>
  <si>
    <t>test_abb1[31]</t>
  </si>
  <si>
    <t>test_abb2[31]</t>
  </si>
  <si>
    <t>test_abb3[31]</t>
  </si>
  <si>
    <t>test_clk[31]</t>
  </si>
  <si>
    <t>test_sys0[31]</t>
  </si>
  <si>
    <t>test_sys1[31]</t>
  </si>
  <si>
    <t>PD</t>
    <phoneticPr fontId="3" type="noConversion"/>
  </si>
  <si>
    <t>uicc_sw1_en</t>
    <phoneticPr fontId="3" type="noConversion"/>
  </si>
  <si>
    <t>uicc_ctrl1_1</t>
    <phoneticPr fontId="3" type="noConversion"/>
  </si>
  <si>
    <t>需要替换管脚IOM的控制信息，改信息的起始位置要与DFT的最后一个信号保持8行的间距</t>
    <phoneticPr fontId="3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</si>
  <si>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</si>
  <si>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r>
      <t>u</t>
    </r>
    <r>
      <rPr>
        <sz val="12"/>
        <rFont val="宋体"/>
        <family val="3"/>
        <charset val="134"/>
      </rPr>
      <t>icc_sw2_en</t>
    </r>
    <phoneticPr fontId="3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</si>
  <si>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0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</si>
  <si>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上、下拉，管脚采用默认驱动值（与</t>
    </r>
    <r>
      <rPr>
        <sz val="12"/>
        <rFont val="Arial"/>
        <family val="2"/>
      </rPr>
      <t>IX</t>
    </r>
    <r>
      <rPr>
        <sz val="12"/>
        <rFont val="宋体"/>
        <family val="3"/>
        <charset val="134"/>
      </rPr>
      <t>需求相同）</t>
    </r>
    <phoneticPr fontId="40" type="noConversion"/>
  </si>
  <si>
    <t>internal PAD Pull-Down/Pull-Up disable , PAD  in input State</t>
    <phoneticPr fontId="40" type="noConversion"/>
  </si>
  <si>
    <r>
      <t>P</t>
    </r>
    <r>
      <rPr>
        <sz val="12"/>
        <rFont val="宋体"/>
        <family val="3"/>
        <charset val="134"/>
      </rPr>
      <t>1</t>
    </r>
    <phoneticPr fontId="3" type="noConversion"/>
  </si>
  <si>
    <t>P3</t>
    <phoneticPr fontId="3" type="noConversion"/>
  </si>
  <si>
    <t>ptm_do[1]</t>
  </si>
  <si>
    <t>ptm_do[2]</t>
  </si>
  <si>
    <t>ptm_do[3]</t>
  </si>
  <si>
    <t>ptm_do[4]</t>
  </si>
  <si>
    <t>ptm_do[5]</t>
  </si>
  <si>
    <t>ptm_do[6]</t>
  </si>
  <si>
    <t>ptm_do[7]</t>
  </si>
  <si>
    <t>NAND(22)</t>
    <phoneticPr fontId="3" type="noConversion"/>
  </si>
  <si>
    <t>USB30(10)</t>
    <phoneticPr fontId="3" type="noConversion"/>
  </si>
  <si>
    <r>
      <t>H</t>
    </r>
    <r>
      <rPr>
        <sz val="12"/>
        <rFont val="宋体"/>
        <family val="3"/>
        <charset val="134"/>
      </rPr>
      <t>SIC(2)</t>
    </r>
    <phoneticPr fontId="3" type="noConversion"/>
  </si>
  <si>
    <t>spi1_clk</t>
  </si>
  <si>
    <t>spi1_dio</t>
  </si>
  <si>
    <t>spi1_do</t>
  </si>
  <si>
    <t>GPIO(8)</t>
    <phoneticPr fontId="3" type="noConversion"/>
  </si>
  <si>
    <r>
      <t>P</t>
    </r>
    <r>
      <rPr>
        <sz val="12"/>
        <rFont val="宋体"/>
        <family val="3"/>
        <charset val="134"/>
      </rPr>
      <t>4</t>
    </r>
    <phoneticPr fontId="3" type="noConversion"/>
  </si>
  <si>
    <t>UART(2)</t>
    <phoneticPr fontId="3" type="noConversion"/>
  </si>
  <si>
    <r>
      <t>BOOT_MODE/JTAG_MODE</t>
    </r>
    <r>
      <rPr>
        <sz val="10"/>
        <color indexed="8"/>
        <rFont val="宋体"/>
        <family val="3"/>
        <charset val="134"/>
      </rPr>
      <t>等</t>
    </r>
    <r>
      <rPr>
        <sz val="10"/>
        <color indexed="8"/>
        <rFont val="Arial"/>
        <family val="2"/>
      </rPr>
      <t>(8)</t>
    </r>
    <phoneticPr fontId="26" type="noConversion"/>
  </si>
  <si>
    <t>USIM0(3)</t>
    <phoneticPr fontId="3" type="noConversion"/>
  </si>
  <si>
    <r>
      <t>M</t>
    </r>
    <r>
      <rPr>
        <sz val="12"/>
        <rFont val="宋体"/>
        <family val="3"/>
        <charset val="134"/>
      </rPr>
      <t>MC0(6)</t>
    </r>
    <phoneticPr fontId="3" type="noConversion"/>
  </si>
  <si>
    <t>JTAG0(6)</t>
    <phoneticPr fontId="3" type="noConversion"/>
  </si>
  <si>
    <t>1.3V/1.8V</t>
    <phoneticPr fontId="3" type="noConversion"/>
  </si>
  <si>
    <t>1.8V/3.0V</t>
    <phoneticPr fontId="3" type="noConversion"/>
  </si>
  <si>
    <t>JTAG1(6)</t>
    <phoneticPr fontId="3" type="noConversion"/>
  </si>
  <si>
    <t>GPIO(3)</t>
    <phoneticPr fontId="3" type="noConversion"/>
  </si>
  <si>
    <t xml:space="preserve">在《代码生成》表单中，新增了输入门控控制的配置选项，可用于PAD的低功耗，实现对PAD接收Buffer的自动控制；
输入门控控制可选下拉菜单：是、否；
代码实现及控制方式：
当选择"是"时，每个PAD的IOM_CTRL(NA_CTRL无此功能)会增加1bit控制信息，bit位置位于各Foundry IO的OE比特位置加1；此信号的名称为EG，会作为pad_fuc_cfg信号的最高bit；
假设PAD有接收buff使能控制信号E（如Dolphin IO的接收buffer使能信号E），高有效； 那么顶层集成建议E=(~EG)|(~OE);OE：IO的输出使能控制信号，来自IOS的pad_fuc_oe，高有效;
当EG=0时，管脚的接收buff 始终为打开模式；
当EG=1时，管脚的接收buff 受OE的自动控制，OE为高（输出模式），关闭接收buff，反之，则打开；
当选择"否"时，不会增加该控制bit；
</t>
    <phoneticPr fontId="40" type="noConversion"/>
  </si>
  <si>
    <t>antpa_sel[29]</t>
  </si>
  <si>
    <t>antpa_sel[30]</t>
  </si>
  <si>
    <t>gp_pwm2</t>
  </si>
  <si>
    <t>gp_pwm3</t>
  </si>
  <si>
    <t>IOM_CTRL53</t>
  </si>
  <si>
    <t>IOM_CTRL54</t>
  </si>
  <si>
    <t>IOM_CTRL55</t>
  </si>
  <si>
    <t>IOM_CTRL57</t>
  </si>
  <si>
    <t>IOM_CTRL58</t>
  </si>
  <si>
    <t>IOM_CTRL59</t>
  </si>
  <si>
    <t>IOM_CTRL60</t>
  </si>
  <si>
    <t>IOM_CTRL61</t>
  </si>
  <si>
    <t>IOM_CTRL63</t>
  </si>
  <si>
    <t>IOM_CTRL65</t>
  </si>
  <si>
    <t>IOM_CTRL67</t>
  </si>
  <si>
    <t>IOM_CTRL73</t>
  </si>
  <si>
    <t>IOM_CTRL74</t>
  </si>
  <si>
    <t>IOM_CTRL75</t>
  </si>
  <si>
    <t>IOM_CTRL76</t>
  </si>
  <si>
    <t>IOM_CTRL77</t>
  </si>
  <si>
    <t>IOM_CTRL79</t>
  </si>
  <si>
    <t>gpio2[24]</t>
  </si>
  <si>
    <t>gpio2[26]</t>
  </si>
  <si>
    <t>gpio2[27]</t>
  </si>
  <si>
    <t>gpio2[28]</t>
  </si>
  <si>
    <t>gpio2[30]</t>
  </si>
  <si>
    <t>gpio2[31]</t>
  </si>
  <si>
    <t>gpio3[2]</t>
  </si>
  <si>
    <t>gpio3[3]</t>
  </si>
  <si>
    <t>gpio3[4]</t>
  </si>
  <si>
    <t>gpio3[5]</t>
  </si>
  <si>
    <t>gpio3[6]</t>
  </si>
  <si>
    <t>CH0_TX_I_P</t>
  </si>
  <si>
    <t>CH0_TX_I_N</t>
  </si>
  <si>
    <t>CH0_TX_Q_P</t>
  </si>
  <si>
    <t>CH0_TX_Q_N</t>
  </si>
  <si>
    <t>CH1_TX_I_P</t>
  </si>
  <si>
    <t>CH1_TX_I_N</t>
  </si>
  <si>
    <t>CH1_TX_Q_P</t>
  </si>
  <si>
    <t>CH1_TX_Q_N</t>
  </si>
  <si>
    <t>ch1_apt_pdm</t>
  </si>
  <si>
    <t>PCM(4)</t>
    <phoneticPr fontId="3" type="noConversion"/>
  </si>
  <si>
    <t>GPIO(6)</t>
    <phoneticPr fontId="3" type="noConversion"/>
  </si>
  <si>
    <t>IOM_CTRL11</t>
  </si>
  <si>
    <t>IOM_CTRL39</t>
  </si>
  <si>
    <t>IOM_CTRL44</t>
  </si>
  <si>
    <t>IOM_CTRL52</t>
  </si>
  <si>
    <t>IOM_CTRL71</t>
  </si>
  <si>
    <t>IOM_CTRL90</t>
  </si>
  <si>
    <t>gpio1[14]</t>
  </si>
  <si>
    <t>gpio2[10]</t>
  </si>
  <si>
    <t>gpio2[11]</t>
  </si>
  <si>
    <t>gpio2[12]</t>
  </si>
  <si>
    <t>gpio2[13]</t>
  </si>
  <si>
    <t>gpio2[14]</t>
  </si>
  <si>
    <t>gpio2[15]</t>
  </si>
  <si>
    <t>gpio2[29]</t>
  </si>
  <si>
    <t>gpio3[1]</t>
  </si>
  <si>
    <t>GPIO_2_26</t>
  </si>
  <si>
    <t>GPIO_2_10</t>
  </si>
  <si>
    <t>GPIO_2_11</t>
  </si>
  <si>
    <t>GPIO_2_12</t>
  </si>
  <si>
    <t>GPIO_2_13</t>
  </si>
  <si>
    <t>GPIO_2_14</t>
  </si>
  <si>
    <t>GPIO_2_15</t>
  </si>
  <si>
    <t>GPIO_2_17</t>
  </si>
  <si>
    <t>GPIO_2_18</t>
  </si>
  <si>
    <t>GPIO_2_19</t>
  </si>
  <si>
    <t>GPIO_2_20</t>
  </si>
  <si>
    <t>GPIO_2_21</t>
  </si>
  <si>
    <t>GPIO_2_22</t>
  </si>
  <si>
    <t>test_usb0[21]</t>
  </si>
  <si>
    <t>IOM_CTRL42</t>
  </si>
  <si>
    <t>IOM_CTRL48</t>
  </si>
  <si>
    <t>IOM_CTRL64</t>
  </si>
  <si>
    <t>IOM_CTRL81</t>
  </si>
  <si>
    <t>IOM_CTRL83</t>
  </si>
  <si>
    <t>电压域</t>
    <phoneticPr fontId="50" type="noConversion"/>
  </si>
  <si>
    <t>描述</t>
    <phoneticPr fontId="50" type="noConversion"/>
  </si>
  <si>
    <t>电压</t>
    <phoneticPr fontId="50" type="noConversion"/>
  </si>
  <si>
    <t>备注</t>
    <phoneticPr fontId="50" type="noConversion"/>
  </si>
  <si>
    <t>P1</t>
    <phoneticPr fontId="50" type="noConversion"/>
  </si>
  <si>
    <r>
      <t>LPDDR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 xml:space="preserve"> IO</t>
    </r>
    <phoneticPr fontId="50" type="noConversion"/>
  </si>
  <si>
    <r>
      <t>P</t>
    </r>
    <r>
      <rPr>
        <sz val="12"/>
        <rFont val="宋体"/>
        <family val="3"/>
        <charset val="134"/>
      </rPr>
      <t>530</t>
    </r>
    <phoneticPr fontId="50" type="noConversion"/>
  </si>
  <si>
    <t>P2</t>
    <phoneticPr fontId="50" type="noConversion"/>
  </si>
  <si>
    <t>P3</t>
    <phoneticPr fontId="50" type="noConversion"/>
  </si>
  <si>
    <t>大部分数字IO</t>
    <phoneticPr fontId="50" type="noConversion"/>
  </si>
  <si>
    <r>
      <t>P</t>
    </r>
    <r>
      <rPr>
        <sz val="12"/>
        <rFont val="宋体"/>
        <family val="3"/>
        <charset val="134"/>
      </rPr>
      <t>530</t>
    </r>
    <phoneticPr fontId="50" type="noConversion"/>
  </si>
  <si>
    <t>USB3.0</t>
    <phoneticPr fontId="50" type="noConversion"/>
  </si>
  <si>
    <t>USB</t>
    <phoneticPr fontId="50" type="noConversion"/>
  </si>
  <si>
    <t>ABB</t>
    <phoneticPr fontId="50" type="noConversion"/>
  </si>
  <si>
    <t>数字CORE</t>
    <phoneticPr fontId="50" type="noConversion"/>
  </si>
  <si>
    <r>
      <t>BBP,SOC</t>
    </r>
    <r>
      <rPr>
        <sz val="12"/>
        <rFont val="宋体"/>
        <family val="3"/>
        <charset val="134"/>
      </rPr>
      <t/>
    </r>
    <phoneticPr fontId="50" type="noConversion"/>
  </si>
  <si>
    <t>Efuse</t>
    <phoneticPr fontId="50" type="noConversion"/>
  </si>
  <si>
    <t>PLL</t>
    <phoneticPr fontId="50" type="noConversion"/>
  </si>
  <si>
    <t>HISI4D_RET</t>
  </si>
  <si>
    <t>HISI4D_RET</t>
    <phoneticPr fontId="3" type="noConversion"/>
  </si>
  <si>
    <t>SR</t>
    <phoneticPr fontId="3" type="noConversion"/>
  </si>
  <si>
    <t>6'h0</t>
  </si>
  <si>
    <t>6'h10</t>
    <phoneticPr fontId="3" type="noConversion"/>
  </si>
  <si>
    <t>6'h8</t>
    <phoneticPr fontId="3" type="noConversion"/>
  </si>
  <si>
    <t>6'h20</t>
    <phoneticPr fontId="3" type="noConversion"/>
  </si>
  <si>
    <t>SL</t>
    <phoneticPr fontId="3" type="noConversion"/>
  </si>
  <si>
    <t>ST</t>
    <phoneticPr fontId="3" type="noConversion"/>
  </si>
  <si>
    <t>PDDUKW4D_V_HI_RET</t>
  </si>
  <si>
    <t>PDDUKW4D_H_HI_RET</t>
  </si>
  <si>
    <t>PDDUKW4DS_H_HI_RET</t>
  </si>
  <si>
    <t>PDDUKW4DS_V_HI_RET</t>
  </si>
  <si>
    <t>描述PAD的复用功能是否经过IOS的STDCELL(MUX)处理；
此处有下拉菜单供设计者选择，不能为空。
MUX_D表示采用普通MUX；
MUX_C表示采用时钟MUX，一般复用功能含时钟信号应选用此种MUX，但面积会稍大些，信号质量好；
MUX_NA表示不使用MUX处理，通常对于模拟信号或确定不需要通过IOS的数字信号；</t>
    <phoneticPr fontId="40" type="noConversion"/>
  </si>
  <si>
    <t>1.2VD(P1)</t>
  </si>
  <si>
    <r>
      <t>芯片集成IOS代码时分配的基地址，通常用于软件计算IOS内部寄存器的绝对地址；</t>
    </r>
    <r>
      <rPr>
        <sz val="12"/>
        <color rgb="FFFF0000"/>
        <rFont val="宋体"/>
        <family val="3"/>
        <charset val="134"/>
      </rPr>
      <t>绝对地址:abs_addr(IOS)=IOS基地址+ISO_(MF/AF/IOM)_CTRL基地址 +n*4'h4;其中IOS_MF_CTRL基地址为全0</t>
    </r>
    <r>
      <rPr>
        <sz val="12"/>
        <rFont val="宋体"/>
        <family val="3"/>
        <charset val="134"/>
      </rPr>
      <t>；</t>
    </r>
    <phoneticPr fontId="40" type="noConversion"/>
  </si>
  <si>
    <t>PMU(6)</t>
    <phoneticPr fontId="3" type="noConversion"/>
  </si>
  <si>
    <r>
      <t>P</t>
    </r>
    <r>
      <rPr>
        <sz val="12"/>
        <rFont val="宋体"/>
        <family val="3"/>
        <charset val="134"/>
      </rPr>
      <t>LLX4</t>
    </r>
    <phoneticPr fontId="3" type="noConversion"/>
  </si>
  <si>
    <t>GPIO(28)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</si>
  <si>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</si>
  <si>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r>
      <t>P</t>
    </r>
    <r>
      <rPr>
        <sz val="12"/>
        <rFont val="宋体"/>
        <family val="3"/>
        <charset val="134"/>
      </rPr>
      <t>3</t>
    </r>
    <phoneticPr fontId="3" type="noConversion"/>
  </si>
  <si>
    <r>
      <t>P</t>
    </r>
    <r>
      <rPr>
        <sz val="12"/>
        <rFont val="宋体"/>
        <family val="3"/>
        <charset val="134"/>
      </rPr>
      <t>2</t>
    </r>
    <phoneticPr fontId="3" type="noConversion"/>
  </si>
  <si>
    <t>1.8V</t>
    <phoneticPr fontId="3" type="noConversion"/>
  </si>
  <si>
    <t>P3</t>
    <phoneticPr fontId="3" type="noConversion"/>
  </si>
  <si>
    <t>GPIO(7)</t>
    <phoneticPr fontId="26" type="noConversion"/>
  </si>
  <si>
    <t>ANTPA_SEL[30:28]</t>
    <phoneticPr fontId="26" type="noConversion"/>
  </si>
  <si>
    <t>1.8V</t>
    <phoneticPr fontId="26" type="noConversion"/>
  </si>
  <si>
    <t>P3</t>
    <phoneticPr fontId="26" type="noConversion"/>
  </si>
  <si>
    <t>CH0_APT_PDM(1)</t>
    <phoneticPr fontId="3" type="noConversion"/>
  </si>
  <si>
    <t>WIFI共存（6）</t>
    <phoneticPr fontId="3" type="noConversion"/>
  </si>
  <si>
    <t>GPIO(6)</t>
    <phoneticPr fontId="3" type="noConversion"/>
  </si>
  <si>
    <t>USIM1</t>
    <phoneticPr fontId="3" type="noConversion"/>
  </si>
  <si>
    <t>GPIO(2)</t>
    <phoneticPr fontId="3" type="noConversion"/>
  </si>
  <si>
    <t>MMC1/19p2</t>
    <phoneticPr fontId="3" type="noConversion"/>
  </si>
  <si>
    <t>SDIO/SOC_MIPI</t>
    <phoneticPr fontId="3" type="noConversion"/>
  </si>
  <si>
    <r>
      <t>G</t>
    </r>
    <r>
      <rPr>
        <sz val="12"/>
        <rFont val="宋体"/>
        <family val="3"/>
        <charset val="134"/>
      </rPr>
      <t>PIO</t>
    </r>
    <phoneticPr fontId="3" type="noConversion"/>
  </si>
  <si>
    <t>CH0_RF(5)/ET_MODE</t>
    <phoneticPr fontId="3" type="noConversion"/>
  </si>
  <si>
    <t>PTM(9)/SPI(5)</t>
    <phoneticPr fontId="3" type="noConversion"/>
  </si>
  <si>
    <t>DDR_CA1</t>
  </si>
  <si>
    <t>DDR_CA2</t>
  </si>
  <si>
    <t>DDR_CA3</t>
  </si>
  <si>
    <t>DDR_CA4</t>
  </si>
  <si>
    <t>DDR_CA5</t>
  </si>
  <si>
    <t>DDR_CA6</t>
  </si>
  <si>
    <t>DDR_CA7</t>
  </si>
  <si>
    <t>DDR_CA8</t>
  </si>
  <si>
    <t>DDR_CA9</t>
  </si>
  <si>
    <t>ddr_ca[1]</t>
  </si>
  <si>
    <t>ddr_ca[2]</t>
  </si>
  <si>
    <t>ddr_ca[3]</t>
  </si>
  <si>
    <t>ddr_ca[4]</t>
  </si>
  <si>
    <t>ddr_ca[5]</t>
  </si>
  <si>
    <t>ddr_ca[6]</t>
  </si>
  <si>
    <t>ddr_ca[7]</t>
  </si>
  <si>
    <t>ddr_ca[8]</t>
  </si>
  <si>
    <t>ddr_ca[9]</t>
  </si>
  <si>
    <t>0x90010000</t>
    <phoneticPr fontId="3" type="noConversion"/>
  </si>
  <si>
    <t>0x90010000</t>
    <phoneticPr fontId="3" type="noConversion"/>
  </si>
  <si>
    <t>GPIO(19)</t>
    <phoneticPr fontId="3" type="noConversion"/>
  </si>
  <si>
    <t>8'h80</t>
    <phoneticPr fontId="3" type="noConversion"/>
  </si>
  <si>
    <t>8'h0</t>
    <phoneticPr fontId="3" type="noConversion"/>
  </si>
  <si>
    <t>8'h40</t>
    <phoneticPr fontId="3" type="noConversion"/>
  </si>
  <si>
    <t>8'h20</t>
    <phoneticPr fontId="3" type="noConversion"/>
  </si>
  <si>
    <r>
      <t xml:space="preserve">王润泽 </t>
    </r>
    <r>
      <rPr>
        <sz val="12"/>
        <rFont val="宋体"/>
        <family val="3"/>
        <charset val="134"/>
      </rPr>
      <t>00126104</t>
    </r>
    <phoneticPr fontId="3" type="noConversion"/>
  </si>
  <si>
    <t>修改HISI4D为HISI4D_RET；SDIO、MMC1_FB_CLK挪至ao；GSBI合入GPIO；DDR_ADDR改为DDR_CA；DDRPHY接口改为与P530相同；更新接口位置图；增加8线UART满足模块形态需求</t>
    <phoneticPr fontId="3" type="noConversion"/>
  </si>
  <si>
    <t>TSMC_SD3P0</t>
    <phoneticPr fontId="3" type="noConversion"/>
  </si>
  <si>
    <t>gpio1[29]</t>
  </si>
  <si>
    <t>GPIO_1_29</t>
  </si>
  <si>
    <t>gpio2[25]</t>
  </si>
  <si>
    <t>AFC_PDM(2)</t>
    <phoneticPr fontId="3" type="noConversion"/>
  </si>
  <si>
    <t>GPIO(2)</t>
    <phoneticPr fontId="3" type="noConversion"/>
  </si>
  <si>
    <t>AFC_PDM(2)</t>
    <phoneticPr fontId="3" type="noConversion"/>
  </si>
  <si>
    <r>
      <t>1</t>
    </r>
    <r>
      <rPr>
        <sz val="12"/>
        <rFont val="宋体"/>
        <family val="3"/>
        <charset val="134"/>
      </rPr>
      <t>.9V</t>
    </r>
    <r>
      <rPr>
        <sz val="11"/>
        <color theme="1"/>
        <rFont val="宋体"/>
        <family val="2"/>
        <charset val="134"/>
        <scheme val="minor"/>
      </rPr>
      <t/>
    </r>
  </si>
  <si>
    <r>
      <t>5V/3.3V/0.9V/1.8V(</t>
    </r>
    <r>
      <rPr>
        <sz val="12"/>
        <rFont val="宋体"/>
        <family val="3"/>
        <charset val="134"/>
      </rPr>
      <t>ABB</t>
    </r>
    <r>
      <rPr>
        <sz val="12"/>
        <rFont val="宋体"/>
        <family val="3"/>
        <charset val="134"/>
      </rPr>
      <t>)</t>
    </r>
    <phoneticPr fontId="3" type="noConversion"/>
  </si>
  <si>
    <t>USB+ABB</t>
    <phoneticPr fontId="3" type="noConversion"/>
  </si>
  <si>
    <t>P3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</si>
  <si>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</si>
  <si>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ANTPA_SEL[30:28]</t>
    <phoneticPr fontId="3" type="noConversion"/>
  </si>
  <si>
    <r>
      <t>WIFI</t>
    </r>
    <r>
      <rPr>
        <sz val="10"/>
        <color indexed="8"/>
        <rFont val="宋体"/>
        <family val="3"/>
        <charset val="134"/>
      </rPr>
      <t>共存（</t>
    </r>
    <r>
      <rPr>
        <sz val="10"/>
        <color indexed="8"/>
        <rFont val="Arial"/>
        <family val="2"/>
      </rPr>
      <t>6</t>
    </r>
    <r>
      <rPr>
        <sz val="10"/>
        <color indexed="8"/>
        <rFont val="宋体"/>
        <family val="3"/>
        <charset val="134"/>
      </rPr>
      <t>）</t>
    </r>
    <phoneticPr fontId="3" type="noConversion"/>
  </si>
  <si>
    <t>CH0_APT_PDM(1)</t>
    <phoneticPr fontId="3" type="noConversion"/>
  </si>
  <si>
    <t>CH1_RF(5)/ET_MODE</t>
    <phoneticPr fontId="3" type="noConversion"/>
  </si>
  <si>
    <t>1.8V</t>
  </si>
  <si>
    <t>ANTPA_SEL(28)</t>
    <phoneticPr fontId="3" type="noConversion"/>
  </si>
  <si>
    <t>1.8V</t>
    <phoneticPr fontId="3" type="noConversion"/>
  </si>
  <si>
    <t>alwayson 31</t>
    <phoneticPr fontId="3" type="noConversion"/>
  </si>
  <si>
    <t>P3</t>
    <phoneticPr fontId="3" type="noConversion"/>
  </si>
  <si>
    <t>Pillar</t>
    <phoneticPr fontId="3" type="noConversion"/>
  </si>
  <si>
    <t>0.9/1.2</t>
    <phoneticPr fontId="50" type="noConversion"/>
  </si>
  <si>
    <t>0.9/1.8/3.0/VDD_M</t>
    <phoneticPr fontId="50" type="noConversion"/>
  </si>
  <si>
    <t>是否验证</t>
    <phoneticPr fontId="50" type="noConversion"/>
  </si>
  <si>
    <t>未验证</t>
    <phoneticPr fontId="3" type="noConversion"/>
  </si>
  <si>
    <t>comstarv511</t>
    <phoneticPr fontId="50" type="noConversion"/>
  </si>
  <si>
    <t>0.9/1.8</t>
    <phoneticPr fontId="3" type="noConversion"/>
  </si>
  <si>
    <t>0.9/1.3/1.8</t>
    <phoneticPr fontId="50" type="noConversion"/>
  </si>
  <si>
    <t>0.9/1.8</t>
    <phoneticPr fontId="50" type="noConversion"/>
  </si>
  <si>
    <t>0.9/3.3</t>
    <phoneticPr fontId="50" type="noConversion"/>
  </si>
  <si>
    <t>0.9/1.8</t>
    <phoneticPr fontId="3" type="noConversion"/>
  </si>
  <si>
    <t>comstarv510</t>
    <phoneticPr fontId="50" type="noConversion"/>
  </si>
  <si>
    <t>SD卡 IO</t>
    <phoneticPr fontId="50" type="noConversion"/>
  </si>
  <si>
    <t>Tsensor</t>
    <phoneticPr fontId="50" type="noConversion"/>
  </si>
  <si>
    <t>IP</t>
    <phoneticPr fontId="3" type="noConversion"/>
  </si>
  <si>
    <t>信号数量统计</t>
    <phoneticPr fontId="3" type="noConversion"/>
  </si>
  <si>
    <t>ptm_do[9]</t>
  </si>
  <si>
    <t>ptm_do[10]</t>
  </si>
  <si>
    <t>ptm_do[11]</t>
  </si>
  <si>
    <t>ptm_do[12]</t>
  </si>
  <si>
    <t>ptm_do[13]</t>
  </si>
  <si>
    <t>ptm_do[14]</t>
  </si>
  <si>
    <t>ptm_do[15]</t>
  </si>
  <si>
    <t>gpio1[9]</t>
  </si>
  <si>
    <t>gpio1[15]</t>
  </si>
  <si>
    <t>GPIO_2_23</t>
  </si>
  <si>
    <t>gpio2[23]</t>
  </si>
  <si>
    <t>GPIO_2_25</t>
  </si>
  <si>
    <t>GPIO_2_27</t>
  </si>
  <si>
    <t>GPIO_2_28</t>
  </si>
  <si>
    <t>GPIO_2_29</t>
  </si>
  <si>
    <t>GPIO_2_30</t>
  </si>
  <si>
    <t>ABB_TEST1</t>
  </si>
  <si>
    <t>CC库版本7：
修改SD卡使用PAD名称为TSMC_SD3P0；修改8线UART控制信号方向，信号名后加_n与模块统一；JTAG_DFT_MODE PAD方向修改；JTAG0_TRST_N上电状态改为PU；AFC_PDM挪入ao域；修改复用debug信号管脚的最高频率为功能最高频率</t>
    <phoneticPr fontId="3" type="noConversion"/>
  </si>
  <si>
    <t>ch1_rxb_en</t>
  </si>
  <si>
    <t>ch1_rxa_en</t>
  </si>
  <si>
    <t>ch1_line_ctrl_mode[2]</t>
  </si>
  <si>
    <t>ch1_line_ctrl_mode[1]</t>
  </si>
  <si>
    <t>ch1_line_ctrl_mode[0]</t>
  </si>
  <si>
    <t>ch1_tx_data[2]</t>
  </si>
  <si>
    <t>ch1_tx_data[1]</t>
  </si>
  <si>
    <t>ch1_tx_data[0]</t>
  </si>
  <si>
    <t>ch1_tx_vld</t>
  </si>
  <si>
    <t>ch1_tx_en</t>
  </si>
  <si>
    <t>ch1_tx_clk</t>
  </si>
  <si>
    <t>ch1_tx_data[8]</t>
  </si>
  <si>
    <t>ch1_tx_data[7]</t>
  </si>
  <si>
    <t>ch1_tx_data[6]</t>
  </si>
  <si>
    <t>ch1_tx_data[5]</t>
  </si>
  <si>
    <t>ch1_tx_data[4]</t>
  </si>
  <si>
    <t>ch1_tx_data[3]</t>
  </si>
  <si>
    <t>ch1_tx_data[13]</t>
  </si>
  <si>
    <t>ch1_tx_data[12]</t>
  </si>
  <si>
    <t>ch1_tx_data[11]</t>
  </si>
  <si>
    <t>ch1_tx_data[10]</t>
  </si>
  <si>
    <t>ch1_tx_data[9]</t>
  </si>
  <si>
    <t>cfg_addr[10]</t>
  </si>
  <si>
    <t>cfg_addr[9]</t>
  </si>
  <si>
    <t>cfg_addr[8]</t>
  </si>
  <si>
    <t>cfg_addr[7]</t>
  </si>
  <si>
    <t>cfg_addr[6]</t>
  </si>
  <si>
    <t>cfg_addr[5]</t>
  </si>
  <si>
    <t>cfg_addr[4]</t>
  </si>
  <si>
    <t>cfg_addr[3]</t>
  </si>
  <si>
    <t>cfg_addr[2]</t>
  </si>
  <si>
    <t>cfg_addr[1]</t>
  </si>
  <si>
    <t>IOM_CTRL35</t>
  </si>
  <si>
    <t>IOM_CTRL41</t>
  </si>
  <si>
    <t>IOM_CTRL47</t>
  </si>
  <si>
    <t>fuc_ctrlN_n:ios_m(a)f_ctrlX[x]:Dv</t>
    <phoneticPr fontId="40" type="noConversion"/>
  </si>
  <si>
    <r>
      <t>描述PAD的控制信息IOM（参见《代码生成》表单中 IO Foundry信息），是否受寄存器配置，此处只可填两种类型：
NA_CTRL表示PAD的控制信息固定接死或不可以通过寄存器配置；
IOM_CTRL(n)表示PAD的控制信息受该寄存器控制，结合n值与IOS_IOM_CTRL的基地址可推算出相关寄存器的绝对值:addr(IOM_CTRLn)=IOS_IOM_CTRL基地址+n*4'h4,(n=0,1…)；</t>
    </r>
    <r>
      <rPr>
        <sz val="12"/>
        <color rgb="FFFF0000"/>
        <rFont val="宋体"/>
        <family val="3"/>
        <charset val="134"/>
      </rPr>
      <t>寄存器的初值由管脚上电默认状态列信息决定</t>
    </r>
    <r>
      <rPr>
        <sz val="12"/>
        <rFont val="宋体"/>
        <family val="3"/>
        <charset val="134"/>
      </rPr>
      <t>，此处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</t>
    </r>
    <phoneticPr fontId="40" type="noConversion"/>
  </si>
  <si>
    <t>et_tx_data[3]</t>
  </si>
  <si>
    <t>et_tx_data[2]</t>
  </si>
  <si>
    <t>et_tx_data[1]</t>
  </si>
  <si>
    <t>et_tx_data[0]</t>
  </si>
  <si>
    <t>et_tx_data[6]</t>
  </si>
  <si>
    <t>et_tx_data[5]</t>
  </si>
  <si>
    <t>et_tx_data[4]</t>
  </si>
  <si>
    <t>spi0_clk</t>
  </si>
  <si>
    <t>spi0_dio</t>
  </si>
  <si>
    <t>spi0_do</t>
  </si>
  <si>
    <t>12'h400</t>
    <phoneticPr fontId="3" type="noConversion"/>
  </si>
  <si>
    <t>12'h800</t>
    <phoneticPr fontId="3" type="noConversion"/>
  </si>
  <si>
    <t>antpa_sel[1]</t>
  </si>
  <si>
    <t>antpa_sel[2]</t>
  </si>
  <si>
    <t>antpa_sel[3]</t>
  </si>
  <si>
    <t>antpa_sel[4]</t>
  </si>
  <si>
    <t>antpa_sel[5]</t>
  </si>
  <si>
    <t>antpa_sel[6]</t>
  </si>
  <si>
    <t>antpa_sel[22]</t>
  </si>
  <si>
    <t>antpa_sel[23]</t>
  </si>
  <si>
    <t>antpa_sel[26]</t>
  </si>
  <si>
    <t>antpa_sel[27]</t>
  </si>
  <si>
    <t>antpa_sel[28]</t>
  </si>
  <si>
    <t>efusec_strobe_pad</t>
  </si>
  <si>
    <t>efusec_load_pad</t>
  </si>
  <si>
    <t>efusec_pgenb_pad</t>
  </si>
  <si>
    <t>efusec_rwl_pad</t>
  </si>
  <si>
    <t>efusec_pd_pad</t>
  </si>
  <si>
    <t>efusec_mr_pad</t>
  </si>
  <si>
    <t>efusec_rsb_pad</t>
  </si>
  <si>
    <t>efusec_ps_pad</t>
  </si>
  <si>
    <t>efusec_data_pad[1]</t>
  </si>
  <si>
    <t>efusec_data_pad[2]</t>
  </si>
  <si>
    <t>efusec_data_pad[3]</t>
  </si>
  <si>
    <t>efusec_data_pad[4]</t>
  </si>
  <si>
    <t>efusec_data_pad[7]</t>
  </si>
  <si>
    <t>efusec_data_pad[8]</t>
  </si>
  <si>
    <t>efusec_data_pad[9]</t>
  </si>
  <si>
    <t>efusec_data_pad[10]</t>
  </si>
  <si>
    <t>efusec_data_pad[12]</t>
  </si>
  <si>
    <t>efusec_data_pad[13]</t>
  </si>
  <si>
    <t>efusec_data_pad[14]</t>
  </si>
  <si>
    <t>efusec_data_pad[15]</t>
  </si>
  <si>
    <t>efusec_data_pad[16]</t>
  </si>
  <si>
    <t>efusec_data_pad[17]</t>
  </si>
  <si>
    <t>efusec_data_pad[18]</t>
  </si>
  <si>
    <t>efusec_data_pad[19]</t>
  </si>
  <si>
    <t>efusec_data_pad[21]</t>
  </si>
  <si>
    <t>efusec_data_pad[22]</t>
  </si>
  <si>
    <t>efusec_data_pad[23]</t>
  </si>
  <si>
    <t>efusec_data_pad[24]</t>
  </si>
  <si>
    <t>efusec_data_pad[25]</t>
  </si>
  <si>
    <t>efusec_data_pad[26]</t>
  </si>
  <si>
    <t>efusec_data_pad[28]</t>
  </si>
  <si>
    <t>efusec_data_pad[29]</t>
  </si>
  <si>
    <t>efusec_data_pad[30]</t>
  </si>
  <si>
    <t>efusec_data_pad[31]</t>
  </si>
  <si>
    <t>efusec_addr_pad[1]</t>
  </si>
  <si>
    <t>efusec_addr_pad[2]</t>
  </si>
  <si>
    <t>efusec_addr_pad[3]</t>
  </si>
  <si>
    <t>efusec_addr_pad[4]</t>
  </si>
  <si>
    <t>efusec_addr_pad[5]</t>
  </si>
  <si>
    <t>efusec_addr_pad[6]</t>
  </si>
  <si>
    <t>efusec_addr_pad[7]</t>
  </si>
  <si>
    <t>efusec_addr_pad[8]</t>
  </si>
  <si>
    <t>efusec_addr_pad[9]</t>
  </si>
  <si>
    <t>IOM_CTRL1</t>
  </si>
  <si>
    <t>IOM_CTRL2</t>
  </si>
  <si>
    <t>IOM_CTRL3</t>
  </si>
  <si>
    <t>IOM_CTRL4</t>
  </si>
  <si>
    <t>IOM_CTRL5</t>
  </si>
  <si>
    <t>IOM_CTRL6</t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</si>
  <si>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2bit</t>
    </r>
    <r>
      <rPr>
        <sz val="11"/>
        <color theme="1"/>
        <rFont val="宋体"/>
        <family val="2"/>
        <charset val="134"/>
        <scheme val="minor"/>
      </rPr>
      <t/>
    </r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</si>
  <si>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3bit</t>
    </r>
    <r>
      <rPr>
        <sz val="11"/>
        <color theme="1"/>
        <rFont val="宋体"/>
        <family val="2"/>
        <charset val="134"/>
        <scheme val="minor"/>
      </rPr>
      <t/>
    </r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</si>
  <si>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5bit</t>
    </r>
    <r>
      <rPr>
        <sz val="11"/>
        <color theme="1"/>
        <rFont val="宋体"/>
        <family val="2"/>
        <charset val="134"/>
        <scheme val="minor"/>
      </rPr>
      <t/>
    </r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</si>
  <si>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6bit</t>
    </r>
    <r>
      <rPr>
        <sz val="11"/>
        <color theme="1"/>
        <rFont val="宋体"/>
        <family val="2"/>
        <charset val="134"/>
        <scheme val="minor"/>
      </rPr>
      <t/>
    </r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</si>
  <si>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7bit</t>
    </r>
    <r>
      <rPr>
        <sz val="11"/>
        <color theme="1"/>
        <rFont val="宋体"/>
        <family val="2"/>
        <charset val="134"/>
        <scheme val="minor"/>
      </rPr>
      <t/>
    </r>
  </si>
  <si>
    <t>ch0_rxb_data[5]</t>
  </si>
  <si>
    <t>ch0_rxb_data[4]</t>
  </si>
  <si>
    <t>ch0_rxb_data[3]</t>
  </si>
  <si>
    <t>ch0_rxb_data[2]</t>
  </si>
  <si>
    <t>ch0_rxb_data[1]</t>
  </si>
  <si>
    <t>ch0_rxb_data[0]</t>
  </si>
  <si>
    <t>IOM_CTRL34</t>
  </si>
  <si>
    <t>IOM_CTRL40</t>
  </si>
  <si>
    <t>IOM_CTRL46</t>
  </si>
  <si>
    <t>IOM_CTRL66</t>
  </si>
  <si>
    <t>IOM_CTRL69</t>
  </si>
  <si>
    <t>IOM_CTRL72</t>
  </si>
  <si>
    <t>IOM_CTRL78</t>
  </si>
  <si>
    <t>IOM_CTRL80</t>
  </si>
  <si>
    <t>nf_cmd_ctrl1_1:ios_mf_ctrl0[0]:D0</t>
  </si>
  <si>
    <t>nflcd_cmd_ctrl1_1:ios_mf_ctrl0[1]:D0</t>
  </si>
  <si>
    <t>nf_data_ctrl1_1:ios_mf_ctrl0[2]:D0</t>
  </si>
  <si>
    <t>mmc0_clk_ctrl1_1:ios_mf_ctrl1[0]:D0</t>
  </si>
  <si>
    <t>mmc0_ctrl1_1:ios_mf_ctrl1[1]:D1</t>
  </si>
  <si>
    <t>gpio1[2]</t>
  </si>
  <si>
    <t>gpio1[3]</t>
  </si>
  <si>
    <t>gpio1[4]</t>
  </si>
  <si>
    <t>jtag1_ctrl1_1:ios_af_ctrl2[0]:D0</t>
  </si>
  <si>
    <t>spi0_ctrl2_1:ios_af_ctrl4[5]:D0</t>
  </si>
  <si>
    <t>spi0_4line_ctrl2_1:ios_af_ctrl4[6]:D0</t>
  </si>
  <si>
    <t>wlan_bt_rx_priority_ctrl5_1:ios_af_ctrl0[4]:D0</t>
  </si>
  <si>
    <t>test_sys1[12]</t>
  </si>
  <si>
    <t>test_sys0[12]</t>
  </si>
  <si>
    <t>test_clk[12]</t>
  </si>
  <si>
    <t>test_abb3[12]</t>
  </si>
  <si>
    <t>test_abb2[12]</t>
  </si>
  <si>
    <t>test_abb1[12]</t>
  </si>
  <si>
    <t>test_abb0[12]</t>
  </si>
  <si>
    <t>test_hsic1[12]</t>
  </si>
  <si>
    <t>test_hsic0[12]</t>
  </si>
  <si>
    <t>test_usb3[12]</t>
  </si>
  <si>
    <t>test_usb2[12]</t>
  </si>
  <si>
    <t>test_usb1[12]</t>
  </si>
  <si>
    <t>test_usb0[12]</t>
  </si>
  <si>
    <t>test_sys1[11]</t>
  </si>
  <si>
    <t>test_sys0[11]</t>
  </si>
  <si>
    <t>test_clk[11]</t>
  </si>
  <si>
    <t>test_abb3[11]</t>
  </si>
  <si>
    <t>test_abb2[11]</t>
  </si>
  <si>
    <t>test_abb1[11]</t>
  </si>
  <si>
    <t>test_abb0[11]</t>
  </si>
  <si>
    <t>test_hsic1[11]</t>
  </si>
  <si>
    <t>test_hsic0[11]</t>
  </si>
  <si>
    <t>test_usb3[11]</t>
  </si>
  <si>
    <t>test_usb2[11]</t>
  </si>
  <si>
    <t>test_usb1[11]</t>
  </si>
  <si>
    <t>test_usb0[11]</t>
  </si>
  <si>
    <t>test_sys1[10]</t>
  </si>
  <si>
    <t>test_sys0[10]</t>
  </si>
  <si>
    <t>test_clk[10]</t>
  </si>
  <si>
    <t>test_abb3[10]</t>
  </si>
  <si>
    <t>test_abb2[10]</t>
  </si>
  <si>
    <t>test_abb1[10]</t>
  </si>
  <si>
    <t>test_abb0[10]</t>
  </si>
  <si>
    <t>test_hsic1[10]</t>
  </si>
  <si>
    <t>test_hsic0[10]</t>
  </si>
  <si>
    <t>test_usb3[10]</t>
  </si>
  <si>
    <t>test_usb2[10]</t>
  </si>
  <si>
    <t>test_usb1[10]</t>
  </si>
  <si>
    <t>test_usb0[10]</t>
  </si>
  <si>
    <t>test_sys1[9]</t>
  </si>
  <si>
    <t>test_sys0[9]</t>
  </si>
  <si>
    <t>test_clk[9]</t>
  </si>
  <si>
    <t>test_abb3[9]</t>
  </si>
  <si>
    <t>test_abb2[9]</t>
  </si>
  <si>
    <t>test_abb1[9]</t>
  </si>
  <si>
    <t>test_abb0[9]</t>
  </si>
  <si>
    <t>test_hsic1[9]</t>
  </si>
  <si>
    <t>test_hsic0[9]</t>
  </si>
  <si>
    <t>test_usb3[9]</t>
  </si>
  <si>
    <t>test_usb2[9]</t>
  </si>
  <si>
    <t>test_usb1[9]</t>
  </si>
  <si>
    <t>test_usb0[9]</t>
  </si>
  <si>
    <t>test_sys1[8]</t>
  </si>
  <si>
    <t>test_sys0[8]</t>
  </si>
  <si>
    <t>test_clk[8]</t>
  </si>
  <si>
    <t>test_abb3[8]</t>
  </si>
  <si>
    <t>test_abb2[8]</t>
  </si>
  <si>
    <t>test_abb1[8]</t>
  </si>
  <si>
    <t>test_abb0[8]</t>
  </si>
  <si>
    <t>test_hsic1[8]</t>
  </si>
  <si>
    <t>test_hsic0[8]</t>
  </si>
  <si>
    <t>test_usb3[8]</t>
  </si>
  <si>
    <t>test_usb2[8]</t>
  </si>
  <si>
    <t>test_usb1[8]</t>
  </si>
  <si>
    <t>test_usb0[8]</t>
  </si>
  <si>
    <t>test_sys1[7]</t>
  </si>
  <si>
    <t>test_sys0[7]</t>
  </si>
  <si>
    <t>test_clk[7]</t>
  </si>
  <si>
    <t>test_abb3[7]</t>
  </si>
  <si>
    <t>test_abb2[7]</t>
  </si>
  <si>
    <t>test_abb1[7]</t>
  </si>
  <si>
    <t>test_abb0[7]</t>
  </si>
  <si>
    <t>test_hsic1[7]</t>
  </si>
  <si>
    <t>test_hsic0[7]</t>
  </si>
  <si>
    <t>test_usb3[7]</t>
  </si>
  <si>
    <t>test_usb2[7]</t>
  </si>
  <si>
    <t>test_usb1[7]</t>
  </si>
  <si>
    <t>test_usb0[7]</t>
  </si>
  <si>
    <t>test_sys1[6]</t>
  </si>
  <si>
    <t>test_sys0[6]</t>
  </si>
  <si>
    <t>test_clk[6]</t>
  </si>
  <si>
    <t>test_abb3[6]</t>
  </si>
  <si>
    <t>test_abb2[6]</t>
  </si>
  <si>
    <t>test_abb1[6]</t>
  </si>
  <si>
    <t>test_abb0[6]</t>
  </si>
  <si>
    <t>test_hsic1[6]</t>
  </si>
  <si>
    <t>test_hsic0[6]</t>
  </si>
  <si>
    <t>test_usb3[6]</t>
  </si>
  <si>
    <t>test_usb2[6]</t>
  </si>
  <si>
    <t>test_usb1[6]</t>
  </si>
  <si>
    <t>test_usb0[6]</t>
  </si>
  <si>
    <t>test_sys1[5]</t>
  </si>
  <si>
    <t>test_sys0[5]</t>
  </si>
  <si>
    <t>test_clk[5]</t>
  </si>
  <si>
    <t>test_abb3[5]</t>
  </si>
  <si>
    <t>test_abb2[5]</t>
  </si>
  <si>
    <t>test_abb1[5]</t>
  </si>
  <si>
    <t>test_abb0[5]</t>
  </si>
  <si>
    <t>test_hsic1[5]</t>
  </si>
  <si>
    <t>test_hsic0[5]</t>
  </si>
  <si>
    <t>test_usb3[5]</t>
  </si>
  <si>
    <t>test_usb2[5]</t>
  </si>
  <si>
    <t>test_usb1[5]</t>
  </si>
  <si>
    <t>test_usb0[5]</t>
  </si>
  <si>
    <t>test_sys1[4]</t>
  </si>
  <si>
    <t>test_sys0[4]</t>
  </si>
  <si>
    <t>test_clk[4]</t>
  </si>
  <si>
    <t>test_abb3[4]</t>
  </si>
  <si>
    <t>test_abb2[4]</t>
  </si>
  <si>
    <t>test_abb1[4]</t>
  </si>
  <si>
    <t>test_abb0[4]</t>
  </si>
  <si>
    <t>test_hsic1[4]</t>
  </si>
  <si>
    <t>test_hsic0[4]</t>
  </si>
  <si>
    <t>test_usb3[4]</t>
  </si>
  <si>
    <t>test_usb2[4]</t>
  </si>
  <si>
    <t>test_usb1[4]</t>
  </si>
  <si>
    <t>test_usb0[4]</t>
  </si>
  <si>
    <t>test_sys1[3]</t>
  </si>
  <si>
    <t>test_sys0[3]</t>
  </si>
  <si>
    <t>test_clk[3]</t>
  </si>
  <si>
    <t>test_abb3[3]</t>
  </si>
  <si>
    <t>test_abb2[3]</t>
  </si>
  <si>
    <t>test_abb1[3]</t>
  </si>
  <si>
    <t>test_abb0[3]</t>
  </si>
  <si>
    <t>test_hsic1[3]</t>
  </si>
  <si>
    <t>test_hsic0[3]</t>
  </si>
  <si>
    <t>test_usb3[3]</t>
  </si>
  <si>
    <t>test_usb2[3]</t>
  </si>
  <si>
    <t>test_usb1[3]</t>
  </si>
  <si>
    <t>test_usb0[3]</t>
  </si>
  <si>
    <t>test_sys1[2]</t>
  </si>
  <si>
    <t>test_sys0[2]</t>
  </si>
  <si>
    <t>test_clk[2]</t>
  </si>
  <si>
    <t>test_abb3[2]</t>
  </si>
  <si>
    <t>test_abb2[2]</t>
  </si>
  <si>
    <t>test_abb1[2]</t>
  </si>
  <si>
    <t>test_abb0[2]</t>
  </si>
  <si>
    <t>test_hsic1[2]</t>
  </si>
  <si>
    <t>test_hsic0[2]</t>
  </si>
  <si>
    <t>test_usb3[2]</t>
  </si>
  <si>
    <t>test_usb2[2]</t>
  </si>
  <si>
    <t>test_usb1[2]</t>
  </si>
  <si>
    <t>test_usb0[2]</t>
  </si>
  <si>
    <t>test_sys1[1]</t>
  </si>
  <si>
    <t>test_sys0[1]</t>
  </si>
  <si>
    <t>test_clk[1]</t>
  </si>
  <si>
    <t>test_abb3[1]</t>
  </si>
  <si>
    <t>test_abb2[1]</t>
  </si>
  <si>
    <t>test_abb1[1]</t>
  </si>
  <si>
    <t>test_abb0[1]</t>
  </si>
  <si>
    <t>test_hsic1[1]</t>
  </si>
  <si>
    <t>test_hsic0[1]</t>
  </si>
  <si>
    <t>test_usb3[1]</t>
  </si>
  <si>
    <t>test_usb2[1]</t>
  </si>
  <si>
    <t>test_usb1[1]</t>
  </si>
  <si>
    <t>test_usb0[1]</t>
  </si>
  <si>
    <t>test_sys1[0]</t>
  </si>
  <si>
    <t>test_sys0[0]</t>
  </si>
  <si>
    <t>test_clk[0]</t>
  </si>
  <si>
    <t>test_abb3[0]</t>
  </si>
  <si>
    <t>test_abb2[0]</t>
  </si>
  <si>
    <t>test_abb1[0]</t>
  </si>
  <si>
    <t>test_abb0[0]</t>
  </si>
  <si>
    <t>test_hsic1[0]</t>
  </si>
  <si>
    <t>test_hsic0[0]</t>
  </si>
  <si>
    <t>test_usb3[0]</t>
  </si>
  <si>
    <t>test_usb2[0]</t>
  </si>
  <si>
    <t>test_usb1[0]</t>
  </si>
  <si>
    <t>test_usb0[0]</t>
  </si>
  <si>
    <t>tst_sys1_0_ctrl1_1:ios_af_ctrl28[0]:D0</t>
  </si>
  <si>
    <t>tst_sys1_1_ctrl1_1:ios_af_ctrl28[1]:D0</t>
  </si>
  <si>
    <t>tst_sys1_2_ctrl1_1:ios_af_ctrl28[2]:D0</t>
  </si>
  <si>
    <t>tst_sys1_3_ctrl1_1:ios_af_ctrl28[3]:D0</t>
  </si>
  <si>
    <t>tst_sys1_4_ctrl1_1:ios_af_ctrl28[4]:D0</t>
  </si>
  <si>
    <t>tst_sys1_5_ctrl1_1:ios_af_ctrl28[5]:D0</t>
  </si>
  <si>
    <t>tst_sys1_6_ctrl1_1:ios_af_ctrl28[6]:D0</t>
  </si>
  <si>
    <t>tst_sys1_7_ctrl1_1:ios_af_ctrl28[7]:D0</t>
  </si>
  <si>
    <t>tst_sys1_8_ctrl1_1:ios_af_ctrl28[8]:D0</t>
  </si>
  <si>
    <t>tst_sys1_9_ctrl1_1:ios_af_ctrl28[9]:D0</t>
  </si>
  <si>
    <t>tst_sys1_10_ctrl1_1:ios_af_ctrl28[10]:D0</t>
  </si>
  <si>
    <t>tst_sys1_11_ctrl1_1:ios_af_ctrl28[11]:D0</t>
  </si>
  <si>
    <t>tst_sys1_12_ctrl1_1:ios_af_ctrl28[12]:D0</t>
  </si>
  <si>
    <t>tst_sys0_0_ctrl1_1:ios_af_ctrl27[0]:D0</t>
  </si>
  <si>
    <t>tst_sys0_1_ctrl1_1:ios_af_ctrl27[1]:D0</t>
  </si>
  <si>
    <t>tst_sys0_2_ctrl1_1:ios_af_ctrl27[2]:D0</t>
  </si>
  <si>
    <t>tst_sys0_3_ctrl1_1:ios_af_ctrl27[3]:D0</t>
  </si>
  <si>
    <t>tst_sys0_4_ctrl1_1:ios_af_ctrl27[4]:D0</t>
  </si>
  <si>
    <t>tst_sys0_5_ctrl1_1:ios_af_ctrl27[5]:D0</t>
  </si>
  <si>
    <t>tst_sys0_6_ctrl1_1:ios_af_ctrl27[6]:D0</t>
  </si>
  <si>
    <t>tst_sys0_7_ctrl1_1:ios_af_ctrl27[7]:D0</t>
  </si>
  <si>
    <t>tst_sys0_8_ctrl1_1:ios_af_ctrl27[8]:D0</t>
  </si>
  <si>
    <t>tst_sys0_9_ctrl1_1:ios_af_ctrl27[9]:D0</t>
  </si>
  <si>
    <t>tst_sys0_10_ctrl1_1:ios_af_ctrl27[10]:D0</t>
  </si>
  <si>
    <t>tst_sys0_11_ctrl1_1:ios_af_ctrl27[11]:D0</t>
  </si>
  <si>
    <t>tst_sys0_12_ctrl1_1:ios_af_ctrl27[12]:D0</t>
  </si>
  <si>
    <t>tst_clk_0_ctrl1_1:ios_af_ctrl26[0]:D0</t>
  </si>
  <si>
    <t>tst_clk_1_ctrl1_1:ios_af_ctrl26[1]:D0</t>
  </si>
  <si>
    <t>tst_clk_2_ctrl1_1:ios_af_ctrl26[2]:D0</t>
  </si>
  <si>
    <t>tst_clk_3_ctrl1_1:ios_af_ctrl26[3]:D0</t>
  </si>
  <si>
    <t>tst_clk_4_ctrl1_1:ios_af_ctrl26[4]:D0</t>
  </si>
  <si>
    <t>tst_clk_5_ctrl1_1:ios_af_ctrl26[5]:D0</t>
  </si>
  <si>
    <t>tst_clk_6_ctrl1_1:ios_af_ctrl26[6]:D0</t>
  </si>
  <si>
    <t>tst_clk_7_ctrl1_1:ios_af_ctrl26[7]:D0</t>
  </si>
  <si>
    <t>tst_clk_8_ctrl1_1:ios_af_ctrl26[8]:D0</t>
  </si>
  <si>
    <t>tst_clk_9_ctrl1_1:ios_af_ctrl26[9]:D0</t>
  </si>
  <si>
    <t>tst_clk_10_ctrl1_1:ios_af_ctrl26[10]:D0</t>
  </si>
  <si>
    <t>tst_clk_11_ctrl1_1:ios_af_ctrl26[11]:D0</t>
  </si>
  <si>
    <t>tst_clk_12_ctrl1_1:ios_af_ctrl26[12]:D0</t>
  </si>
  <si>
    <t>tst_abb3_0_ctrl1_1:ios_af_ctrl25[0]:D0</t>
  </si>
  <si>
    <t>tst_abb3_1_ctrl1_1:ios_af_ctrl25[1]:D0</t>
  </si>
  <si>
    <t>tst_abb3_2_ctrl1_1:ios_af_ctrl25[2]:D0</t>
  </si>
  <si>
    <t>tst_abb3_3_ctrl1_1:ios_af_ctrl25[3]:D0</t>
  </si>
  <si>
    <t>tst_abb3_4_ctrl1_1:ios_af_ctrl25[4]:D0</t>
  </si>
  <si>
    <t>tst_abb3_5_ctrl1_1:ios_af_ctrl25[5]:D0</t>
  </si>
  <si>
    <t>tst_abb3_6_ctrl1_1:ios_af_ctrl25[6]:D0</t>
  </si>
  <si>
    <t>tst_abb3_7_ctrl1_1:ios_af_ctrl25[7]:D0</t>
  </si>
  <si>
    <t>tst_abb3_8_ctrl1_1:ios_af_ctrl25[8]:D0</t>
  </si>
  <si>
    <t>tst_abb3_9_ctrl1_1:ios_af_ctrl25[9]:D0</t>
  </si>
  <si>
    <t>tst_abb3_10_ctrl1_1:ios_af_ctrl25[10]:D0</t>
  </si>
  <si>
    <t>tst_abb3_11_ctrl1_1:ios_af_ctrl25[11]:D0</t>
  </si>
  <si>
    <t>tst_abb3_12_ctrl1_1:ios_af_ctrl25[12]:D0</t>
  </si>
  <si>
    <t>tst_abb2_0_ctrl1_1:ios_af_ctrl24[0]:D0</t>
  </si>
  <si>
    <t>tst_abb2_1_ctrl1_1:ios_af_ctrl24[1]:D0</t>
  </si>
  <si>
    <t>tst_abb2_2_ctrl1_1:ios_af_ctrl24[2]:D0</t>
  </si>
  <si>
    <t>tst_abb2_3_ctrl1_1:ios_af_ctrl24[3]:D0</t>
  </si>
  <si>
    <t>tst_abb2_4_ctrl1_1:ios_af_ctrl24[4]:D0</t>
  </si>
  <si>
    <t>tst_abb2_5_ctrl1_1:ios_af_ctrl24[5]:D0</t>
  </si>
  <si>
    <t>tst_abb2_6_ctrl1_1:ios_af_ctrl24[6]:D0</t>
  </si>
  <si>
    <t>tst_abb2_7_ctrl1_1:ios_af_ctrl24[7]:D0</t>
  </si>
  <si>
    <t>tst_abb2_8_ctrl1_1:ios_af_ctrl24[8]:D0</t>
  </si>
  <si>
    <t>tst_abb2_9_ctrl1_1:ios_af_ctrl24[9]:D0</t>
  </si>
  <si>
    <t>tst_abb2_10_ctrl1_1:ios_af_ctrl24[10]:D0</t>
  </si>
  <si>
    <t>tst_abb2_11_ctrl1_1:ios_af_ctrl24[11]:D0</t>
  </si>
  <si>
    <t>tst_abb2_12_ctrl1_1:ios_af_ctrl24[12]:D0</t>
  </si>
  <si>
    <t>tst_abb1_0_ctrl1_1:ios_af_ctrl23[0]:D0</t>
  </si>
  <si>
    <t>tst_abb1_1_ctrl1_1:ios_af_ctrl23[1]:D0</t>
  </si>
  <si>
    <t>tst_abb1_2_ctrl1_1:ios_af_ctrl23[2]:D0</t>
  </si>
  <si>
    <t>tst_abb1_3_ctrl1_1:ios_af_ctrl23[3]:D0</t>
  </si>
  <si>
    <t>tst_abb1_4_ctrl1_1:ios_af_ctrl23[4]:D0</t>
  </si>
  <si>
    <t>tst_abb1_5_ctrl1_1:ios_af_ctrl23[5]:D0</t>
  </si>
  <si>
    <t>tst_abb1_6_ctrl1_1:ios_af_ctrl23[6]:D0</t>
  </si>
  <si>
    <t>tst_abb1_7_ctrl1_1:ios_af_ctrl23[7]:D0</t>
  </si>
  <si>
    <t>tst_abb1_8_ctrl1_1:ios_af_ctrl23[8]:D0</t>
  </si>
  <si>
    <t>tst_abb1_9_ctrl1_1:ios_af_ctrl23[9]:D0</t>
  </si>
  <si>
    <t>tst_abb1_10_ctrl1_1:ios_af_ctrl23[10]:D0</t>
  </si>
  <si>
    <t>tst_abb1_11_ctrl1_1:ios_af_ctrl23[11]:D0</t>
  </si>
  <si>
    <t>tst_abb1_12_ctrl1_1:ios_af_ctrl23[12]:D0</t>
  </si>
  <si>
    <t>tst_abb0_0_ctrl1_1:ios_af_ctrl22[0]:D0</t>
  </si>
  <si>
    <t>tst_abb0_1_ctrl1_1:ios_af_ctrl22[1]:D0</t>
  </si>
  <si>
    <t>tst_abb0_2_ctrl1_1:ios_af_ctrl22[2]:D0</t>
  </si>
  <si>
    <t>tst_abb0_3_ctrl1_1:ios_af_ctrl22[3]:D0</t>
  </si>
  <si>
    <t>tst_abb0_4_ctrl1_1:ios_af_ctrl22[4]:D0</t>
  </si>
  <si>
    <t>tst_abb0_5_ctrl1_1:ios_af_ctrl22[5]:D0</t>
  </si>
  <si>
    <t>tst_abb0_6_ctrl1_1:ios_af_ctrl22[6]:D0</t>
  </si>
  <si>
    <t>tst_abb0_7_ctrl1_1:ios_af_ctrl22[7]:D0</t>
  </si>
  <si>
    <t>tst_abb0_8_ctrl1_1:ios_af_ctrl22[8]:D0</t>
  </si>
  <si>
    <t>tst_abb0_9_ctrl1_1:ios_af_ctrl22[9]:D0</t>
  </si>
  <si>
    <t>tst_abb0_10_ctrl1_1:ios_af_ctrl22[10]:D0</t>
  </si>
  <si>
    <t>tst_abb0_11_ctrl1_1:ios_af_ctrl22[11]:D0</t>
  </si>
  <si>
    <t>tst_abb0_12_ctrl1_1:ios_af_ctrl22[12]:D0</t>
  </si>
  <si>
    <t>tst_hsic1_0_ctrl1_1:ios_af_ctrl21[0]:D0</t>
  </si>
  <si>
    <t>tst_hsic1_1_ctrl1_1:ios_af_ctrl21[1]:D0</t>
  </si>
  <si>
    <t>tst_hsic1_2_ctrl1_1:ios_af_ctrl21[2]:D0</t>
  </si>
  <si>
    <t>tst_hsic1_3_ctrl1_1:ios_af_ctrl21[3]:D0</t>
  </si>
  <si>
    <t>tst_hsic1_4_ctrl1_1:ios_af_ctrl21[4]:D0</t>
  </si>
  <si>
    <t>tst_hsic1_5_ctrl1_1:ios_af_ctrl21[5]:D0</t>
  </si>
  <si>
    <t>tst_hsic1_6_ctrl1_1:ios_af_ctrl21[6]:D0</t>
  </si>
  <si>
    <t>tst_hsic1_7_ctrl1_1:ios_af_ctrl21[7]:D0</t>
  </si>
  <si>
    <t>tst_hsic1_8_ctrl1_1:ios_af_ctrl21[8]:D0</t>
  </si>
  <si>
    <t>tst_hsic1_9_ctrl1_1:ios_af_ctrl21[9]:D0</t>
  </si>
  <si>
    <t>tst_hsic1_10_ctrl1_1:ios_af_ctrl21[10]:D0</t>
  </si>
  <si>
    <t>tst_hsic1_11_ctrl1_1:ios_af_ctrl21[11]:D0</t>
  </si>
  <si>
    <t>tst_hsic1_12_ctrl1_1:ios_af_ctrl21[12]:D0</t>
  </si>
  <si>
    <t>tst_hsic0_0_ctrl1_1:ios_af_ctrl20[0]:D0</t>
  </si>
  <si>
    <t>tst_hsic0_1_ctrl1_1:ios_af_ctrl20[1]:D0</t>
  </si>
  <si>
    <t>tst_hsic0_2_ctrl1_1:ios_af_ctrl20[2]:D0</t>
  </si>
  <si>
    <t>tst_hsic0_3_ctrl1_1:ios_af_ctrl20[3]:D0</t>
  </si>
  <si>
    <t>tst_hsic0_4_ctrl1_1:ios_af_ctrl20[4]:D0</t>
  </si>
  <si>
    <t>tst_hsic0_5_ctrl1_1:ios_af_ctrl20[5]:D0</t>
  </si>
  <si>
    <t>tst_hsic0_6_ctrl1_1:ios_af_ctrl20[6]:D0</t>
  </si>
  <si>
    <t>tst_hsic0_7_ctrl1_1:ios_af_ctrl20[7]:D0</t>
  </si>
  <si>
    <t>tst_hsic0_8_ctrl1_1:ios_af_ctrl20[8]:D0</t>
  </si>
  <si>
    <t>tst_hsic0_9_ctrl1_1:ios_af_ctrl20[9]:D0</t>
  </si>
  <si>
    <t>tst_hsic0_10_ctrl1_1:ios_af_ctrl20[10]:D0</t>
  </si>
  <si>
    <t>tst_hsic0_11_ctrl1_1:ios_af_ctrl20[11]:D0</t>
  </si>
  <si>
    <t>tst_hsic0_12_ctrl1_1:ios_af_ctrl20[12]:D0</t>
  </si>
  <si>
    <t>tst_usb3_0_ctrl1_1:ios_af_ctrl19[0]:D0</t>
  </si>
  <si>
    <t>tst_usb3_1_ctrl1_1:ios_af_ctrl19[1]:D0</t>
  </si>
  <si>
    <t>tst_usb3_2_ctrl1_1:ios_af_ctrl19[2]:D0</t>
  </si>
  <si>
    <t>tst_usb3_3_ctrl1_1:ios_af_ctrl19[3]:D0</t>
  </si>
  <si>
    <t>tst_usb3_4_ctrl1_1:ios_af_ctrl19[4]:D0</t>
  </si>
  <si>
    <t>tst_usb3_5_ctrl1_1:ios_af_ctrl19[5]:D0</t>
  </si>
  <si>
    <t>tst_usb3_6_ctrl1_1:ios_af_ctrl19[6]:D0</t>
  </si>
  <si>
    <t>tst_usb3_7_ctrl1_1:ios_af_ctrl19[7]:D0</t>
  </si>
  <si>
    <t>tst_usb3_8_ctrl1_1:ios_af_ctrl19[8]:D0</t>
  </si>
  <si>
    <t>tst_usb3_9_ctrl1_1:ios_af_ctrl19[9]:D0</t>
  </si>
  <si>
    <t>tst_usb3_10_ctrl1_1:ios_af_ctrl19[10]:D0</t>
  </si>
  <si>
    <t>tst_usb3_11_ctrl1_1:ios_af_ctrl19[11]:D0</t>
  </si>
  <si>
    <t>tst_usb3_12_ctrl1_1:ios_af_ctrl19[12]:D0</t>
  </si>
  <si>
    <t>tst_usb2_0_ctrl1_1:ios_af_ctrl18[0]:D0</t>
  </si>
  <si>
    <t>tst_usb2_1_ctrl1_1:ios_af_ctrl18[1]:D0</t>
  </si>
  <si>
    <t>tst_usb2_2_ctrl1_1:ios_af_ctrl18[2]:D0</t>
  </si>
  <si>
    <t>tst_usb2_3_ctrl1_1:ios_af_ctrl18[3]:D0</t>
  </si>
  <si>
    <t>tst_usb2_4_ctrl1_1:ios_af_ctrl18[4]:D0</t>
  </si>
  <si>
    <t>tst_usb2_5_ctrl1_1:ios_af_ctrl18[5]:D0</t>
  </si>
  <si>
    <t>tst_usb2_6_ctrl1_1:ios_af_ctrl18[6]:D0</t>
  </si>
  <si>
    <t>tst_usb2_7_ctrl1_1:ios_af_ctrl18[7]:D0</t>
  </si>
  <si>
    <t>tst_usb2_8_ctrl1_1:ios_af_ctrl18[8]:D0</t>
  </si>
  <si>
    <t>tst_usb2_9_ctrl1_1:ios_af_ctrl18[9]:D0</t>
  </si>
  <si>
    <t>tst_usb2_10_ctrl1_1:ios_af_ctrl18[10]:D0</t>
  </si>
  <si>
    <t>tst_usb2_11_ctrl1_1:ios_af_ctrl18[11]:D0</t>
  </si>
  <si>
    <t>tst_usb2_12_ctrl1_1:ios_af_ctrl18[12]:D0</t>
  </si>
  <si>
    <t>tst_usb1_0_ctrl1_1:ios_af_ctrl17[0]:D0</t>
  </si>
  <si>
    <t>tst_usb1_1_ctrl1_1:ios_af_ctrl17[1]:D0</t>
  </si>
  <si>
    <t>tst_usb1_2_ctrl1_1:ios_af_ctrl17[2]:D0</t>
  </si>
  <si>
    <t>tst_usb1_3_ctrl1_1:ios_af_ctrl17[3]:D0</t>
  </si>
  <si>
    <t>tst_usb1_4_ctrl1_1:ios_af_ctrl17[4]:D0</t>
  </si>
  <si>
    <t>tst_usb1_5_ctrl1_1:ios_af_ctrl17[5]:D0</t>
  </si>
  <si>
    <t>tst_usb1_6_ctrl1_1:ios_af_ctrl17[6]:D0</t>
  </si>
  <si>
    <t>tst_usb1_7_ctrl1_1:ios_af_ctrl17[7]:D0</t>
  </si>
  <si>
    <t>tst_usb1_8_ctrl1_1:ios_af_ctrl17[8]:D0</t>
  </si>
  <si>
    <t>tst_usb1_9_ctrl1_1:ios_af_ctrl17[9]:D0</t>
  </si>
  <si>
    <t>tst_usb1_10_ctrl1_1:ios_af_ctrl17[10]:D0</t>
  </si>
  <si>
    <t>tst_usb1_11_ctrl1_1:ios_af_ctrl17[11]:D0</t>
  </si>
  <si>
    <t>tst_usb1_12_ctrl1_1:ios_af_ctrl17[12]:D0</t>
  </si>
  <si>
    <t>tst_usb0_0_ctrl1_1:ios_af_ctrl16[0]:D0</t>
  </si>
  <si>
    <t>tst_usb0_1_ctrl1_1:ios_af_ctrl16[1]:D0</t>
  </si>
  <si>
    <t>tst_usb0_2_ctrl1_1:ios_af_ctrl16[2]:D0</t>
  </si>
  <si>
    <t>tst_usb0_3_ctrl1_1:ios_af_ctrl16[3]:D0</t>
  </si>
  <si>
    <t>tst_usb0_4_ctrl1_1:ios_af_ctrl16[4]:D0</t>
  </si>
  <si>
    <t>tst_usb0_5_ctrl1_1:ios_af_ctrl16[5]:D0</t>
  </si>
  <si>
    <t>tst_usb0_6_ctrl1_1:ios_af_ctrl16[6]:D0</t>
  </si>
  <si>
    <t>tst_usb0_7_ctrl1_1:ios_af_ctrl16[7]:D0</t>
  </si>
  <si>
    <t>tst_usb0_8_ctrl1_1:ios_af_ctrl16[8]:D0</t>
  </si>
  <si>
    <t>tst_usb0_9_ctrl1_1:ios_af_ctrl16[9]:D0</t>
  </si>
  <si>
    <t>tst_usb0_10_ctrl1_1:ios_af_ctrl16[10]:D0</t>
  </si>
  <si>
    <t>tst_usb0_11_ctrl1_1:ios_af_ctrl16[11]:D0</t>
  </si>
  <si>
    <t>tst_usb0_12_ctrl1_1:ios_af_ctrl16[12]:D0</t>
  </si>
  <si>
    <t>tst_usb0_31_ctrl1_1:ios_af_ctrl16[31]:D0</t>
  </si>
  <si>
    <t>tst_usb1_31_ctrl1_1:ios_af_ctrl17[31]:D0</t>
  </si>
  <si>
    <t>tst_usb2_31_ctrl1_1:ios_af_ctrl18[31]:D0</t>
  </si>
  <si>
    <t>tst_usb3_31_ctrl1_1:ios_af_ctrl19[31]:D0</t>
  </si>
  <si>
    <t>tst_hsic0_31_ctrl1_1:ios_af_ctrl20[31]:D0</t>
  </si>
  <si>
    <t>tst_hsic1_31_ctrl1_1:ios_af_ctrl21[31]:D0</t>
  </si>
  <si>
    <t>tst_abb0_31_ctrl1_1:ios_af_ctrl22[31]:D0</t>
  </si>
  <si>
    <t>tst_abb1_31_ctrl1_1:ios_af_ctrl23[31]:D0</t>
  </si>
  <si>
    <t>tst_abb2_31_ctrl1_1:ios_af_ctrl24[31]:D0</t>
  </si>
  <si>
    <t>tst_abb3_31_ctrl1_1:ios_af_ctrl25[31]:D0</t>
  </si>
  <si>
    <t>tst_clk_31_ctrl1_1:ios_af_ctrl26[31]:D0</t>
  </si>
  <si>
    <t>tst_sys0_31_ctrl1_1:ios_af_ctrl27[31]:D0</t>
  </si>
  <si>
    <t>tst_sys1_31_ctrl1_1:ios_af_ctrl28[31]:D0</t>
  </si>
  <si>
    <t>tst_usb0_30_ctrl1_1:ios_af_ctrl16[30]:D0</t>
  </si>
  <si>
    <t>tst_usb1_30_ctrl1_1:ios_af_ctrl17[30]:D0</t>
  </si>
  <si>
    <t>tst_usb2_30_ctrl1_1:ios_af_ctrl18[30]:D0</t>
  </si>
  <si>
    <t>tst_usb3_30_ctrl1_1:ios_af_ctrl19[30]:D0</t>
  </si>
  <si>
    <t>tst_hsic0_30_ctrl1_1:ios_af_ctrl20[30]:D0</t>
  </si>
  <si>
    <t>tst_hsic1_30_ctrl1_1:ios_af_ctrl21[30]:D0</t>
  </si>
  <si>
    <t>tst_abb0_30_ctrl1_1:ios_af_ctrl22[30]:D0</t>
  </si>
  <si>
    <t>tst_abb1_30_ctrl1_1:ios_af_ctrl23[30]:D0</t>
  </si>
  <si>
    <t>tst_abb2_30_ctrl1_1:ios_af_ctrl24[30]:D0</t>
  </si>
  <si>
    <t>tst_abb3_30_ctrl1_1:ios_af_ctrl25[30]:D0</t>
  </si>
  <si>
    <t>tst_clk_30_ctrl1_1:ios_af_ctrl26[30]:D0</t>
  </si>
  <si>
    <t>tst_sys0_30_ctrl1_1:ios_af_ctrl27[30]:D0</t>
  </si>
  <si>
    <t>tst_sys1_30_ctrl1_1:ios_af_ctrl28[30]:D0</t>
  </si>
  <si>
    <t>tst_usb0_29_ctrl1_1:ios_af_ctrl16[29]:D0</t>
  </si>
  <si>
    <t>tst_usb1_29_ctrl1_1:ios_af_ctrl17[29]:D0</t>
  </si>
  <si>
    <t>tst_usb2_29_ctrl1_1:ios_af_ctrl18[29]:D0</t>
  </si>
  <si>
    <t>tst_usb3_29_ctrl1_1:ios_af_ctrl19[29]:D0</t>
  </si>
  <si>
    <t>tst_hsic0_29_ctrl1_1:ios_af_ctrl20[29]:D0</t>
  </si>
  <si>
    <t>tst_hsic1_29_ctrl1_1:ios_af_ctrl21[29]:D0</t>
  </si>
  <si>
    <t>tst_abb0_29_ctrl1_1:ios_af_ctrl22[29]:D0</t>
  </si>
  <si>
    <t>tst_abb1_29_ctrl1_1:ios_af_ctrl23[29]:D0</t>
  </si>
  <si>
    <t>tst_abb2_29_ctrl1_1:ios_af_ctrl24[29]:D0</t>
  </si>
  <si>
    <t>tst_abb3_29_ctrl1_1:ios_af_ctrl25[29]:D0</t>
  </si>
  <si>
    <t>tst_clk_29_ctrl1_1:ios_af_ctrl26[29]:D0</t>
  </si>
  <si>
    <t>tst_sys0_29_ctrl1_1:ios_af_ctrl27[29]:D0</t>
  </si>
  <si>
    <t>tst_sys1_29_ctrl1_1:ios_af_ctrl28[29]:D0</t>
  </si>
  <si>
    <t>tst_usb0_28_ctrl1_1:ios_af_ctrl16[28]:D0</t>
  </si>
  <si>
    <t>tst_usb1_28_ctrl1_1:ios_af_ctrl17[28]:D0</t>
  </si>
  <si>
    <t>tst_usb2_28_ctrl1_1:ios_af_ctrl18[28]:D0</t>
  </si>
  <si>
    <t>tst_usb3_28_ctrl1_1:ios_af_ctrl19[28]:D0</t>
  </si>
  <si>
    <t>tst_hsic0_28_ctrl1_1:ios_af_ctrl20[28]:D0</t>
  </si>
  <si>
    <t>tst_hsic1_28_ctrl1_1:ios_af_ctrl21[28]:D0</t>
  </si>
  <si>
    <t>tst_abb0_28_ctrl1_1:ios_af_ctrl22[28]:D0</t>
  </si>
  <si>
    <t>tst_abb1_28_ctrl1_1:ios_af_ctrl23[28]:D0</t>
  </si>
  <si>
    <t>tst_abb2_28_ctrl1_1:ios_af_ctrl24[28]:D0</t>
  </si>
  <si>
    <t>tst_abb3_28_ctrl1_1:ios_af_ctrl25[28]:D0</t>
  </si>
  <si>
    <t>tst_clk_28_ctrl1_1:ios_af_ctrl26[28]:D0</t>
  </si>
  <si>
    <t>tst_sys0_28_ctrl1_1:ios_af_ctrl27[28]:D0</t>
  </si>
  <si>
    <t>tst_sys1_28_ctrl1_1:ios_af_ctrl28[28]:D0</t>
  </si>
  <si>
    <t>tst_usb0_27_ctrl1_1:ios_af_ctrl16[27]:D0</t>
  </si>
  <si>
    <t>tst_usb1_27_ctrl1_1:ios_af_ctrl17[27]:D0</t>
  </si>
  <si>
    <t>tst_usb2_27_ctrl1_1:ios_af_ctrl18[27]:D0</t>
  </si>
  <si>
    <t>tst_usb3_27_ctrl1_1:ios_af_ctrl19[27]:D0</t>
  </si>
  <si>
    <t>tst_hsic0_27_ctrl1_1:ios_af_ctrl20[27]:D0</t>
  </si>
  <si>
    <t>tst_hsic1_27_ctrl1_1:ios_af_ctrl21[27]:D0</t>
  </si>
  <si>
    <t>tst_abb0_27_ctrl1_1:ios_af_ctrl22[27]:D0</t>
  </si>
  <si>
    <t>tst_abb1_27_ctrl1_1:ios_af_ctrl23[27]:D0</t>
  </si>
  <si>
    <t>tst_abb2_27_ctrl1_1:ios_af_ctrl24[27]:D0</t>
  </si>
  <si>
    <t>tst_abb3_27_ctrl1_1:ios_af_ctrl25[27]:D0</t>
  </si>
  <si>
    <t>tst_clk_27_ctrl1_1:ios_af_ctrl26[27]:D0</t>
  </si>
  <si>
    <t>tst_sys0_27_ctrl1_1:ios_af_ctrl27[27]:D0</t>
  </si>
  <si>
    <t>tst_sys1_27_ctrl1_1:ios_af_ctrl28[27]:D0</t>
  </si>
  <si>
    <t>tst_usb0_26_ctrl1_1:ios_af_ctrl16[26]:D0</t>
  </si>
  <si>
    <t>tst_usb1_26_ctrl1_1:ios_af_ctrl17[26]:D0</t>
  </si>
  <si>
    <t>tst_usb2_26_ctrl1_1:ios_af_ctrl18[26]:D0</t>
  </si>
  <si>
    <t>tst_usb3_26_ctrl1_1:ios_af_ctrl19[26]:D0</t>
  </si>
  <si>
    <t>tst_hsic0_26_ctrl1_1:ios_af_ctrl20[26]:D0</t>
  </si>
  <si>
    <t>tst_hsic1_26_ctrl1_1:ios_af_ctrl21[26]:D0</t>
  </si>
  <si>
    <t>tst_abb0_26_ctrl1_1:ios_af_ctrl22[26]:D0</t>
  </si>
  <si>
    <t>tst_abb1_26_ctrl1_1:ios_af_ctrl23[26]:D0</t>
  </si>
  <si>
    <t>tst_abb2_26_ctrl1_1:ios_af_ctrl24[26]:D0</t>
  </si>
  <si>
    <t>tst_abb3_26_ctrl1_1:ios_af_ctrl25[26]:D0</t>
  </si>
  <si>
    <t>tst_clk_26_ctrl1_1:ios_af_ctrl26[26]:D0</t>
  </si>
  <si>
    <t>tst_sys0_26_ctrl1_1:ios_af_ctrl27[26]:D0</t>
  </si>
  <si>
    <t>tst_sys1_26_ctrl1_1:ios_af_ctrl28[26]:D0</t>
  </si>
  <si>
    <t>tst_usb0_25_ctrl1_1:ios_af_ctrl16[25]:D0</t>
  </si>
  <si>
    <t>tst_usb1_25_ctrl1_1:ios_af_ctrl17[25]:D0</t>
  </si>
  <si>
    <t>tst_usb2_25_ctrl1_1:ios_af_ctrl18[25]:D0</t>
  </si>
  <si>
    <t>tst_usb3_25_ctrl1_1:ios_af_ctrl19[25]:D0</t>
  </si>
  <si>
    <t>tst_hsic0_25_ctrl1_1:ios_af_ctrl20[25]:D0</t>
  </si>
  <si>
    <t>tst_hsic1_25_ctrl1_1:ios_af_ctrl21[25]:D0</t>
  </si>
  <si>
    <t>tst_abb0_25_ctrl1_1:ios_af_ctrl22[25]:D0</t>
  </si>
  <si>
    <t>tst_abb1_25_ctrl1_1:ios_af_ctrl23[25]:D0</t>
  </si>
  <si>
    <t>tst_abb2_25_ctrl1_1:ios_af_ctrl24[25]:D0</t>
  </si>
  <si>
    <t>tst_abb3_25_ctrl1_1:ios_af_ctrl25[25]:D0</t>
  </si>
  <si>
    <t>tst_clk_25_ctrl1_1:ios_af_ctrl26[25]:D0</t>
  </si>
  <si>
    <t>tst_sys0_25_ctrl1_1:ios_af_ctrl27[25]:D0</t>
  </si>
  <si>
    <t>tst_sys1_25_ctrl1_1:ios_af_ctrl28[25]:D0</t>
  </si>
  <si>
    <t>tst_usb0_24_ctrl1_1:ios_af_ctrl16[24]:D0</t>
  </si>
  <si>
    <t>tst_usb1_24_ctrl1_1:ios_af_ctrl17[24]:D0</t>
  </si>
  <si>
    <t>tst_usb2_24_ctrl1_1:ios_af_ctrl18[24]:D0</t>
  </si>
  <si>
    <t>tst_usb3_24_ctrl1_1:ios_af_ctrl19[24]:D0</t>
  </si>
  <si>
    <t>tst_hsic0_24_ctrl1_1:ios_af_ctrl20[24]:D0</t>
  </si>
  <si>
    <t>tst_hsic1_24_ctrl1_1:ios_af_ctrl21[24]:D0</t>
  </si>
  <si>
    <t>tst_abb0_24_ctrl1_1:ios_af_ctrl22[24]:D0</t>
  </si>
  <si>
    <t>tst_abb1_24_ctrl1_1:ios_af_ctrl23[24]:D0</t>
  </si>
  <si>
    <t>tst_abb2_24_ctrl1_1:ios_af_ctrl24[24]:D0</t>
  </si>
  <si>
    <t>tst_abb3_24_ctrl1_1:ios_af_ctrl25[24]:D0</t>
  </si>
  <si>
    <t>tst_clk_24_ctrl1_1:ios_af_ctrl26[24]:D0</t>
  </si>
  <si>
    <t>tst_sys0_24_ctrl1_1:ios_af_ctrl27[24]:D0</t>
  </si>
  <si>
    <t>tst_sys1_24_ctrl1_1:ios_af_ctrl28[24]:D0</t>
  </si>
  <si>
    <t>tst_usb0_23_ctrl1_1:ios_af_ctrl16[23]:D0</t>
  </si>
  <si>
    <t>tst_usb1_23_ctrl1_1:ios_af_ctrl17[23]:D0</t>
  </si>
  <si>
    <t>tst_usb2_23_ctrl1_1:ios_af_ctrl18[23]:D0</t>
  </si>
  <si>
    <t>tst_usb3_23_ctrl1_1:ios_af_ctrl19[23]:D0</t>
  </si>
  <si>
    <t>tst_hsic0_23_ctrl1_1:ios_af_ctrl20[23]:D0</t>
  </si>
  <si>
    <t>tst_hsic1_23_ctrl1_1:ios_af_ctrl21[23]:D0</t>
  </si>
  <si>
    <t>tst_abb0_23_ctrl1_1:ios_af_ctrl22[23]:D0</t>
  </si>
  <si>
    <t>tst_abb1_23_ctrl1_1:ios_af_ctrl23[23]:D0</t>
  </si>
  <si>
    <t>tst_abb2_23_ctrl1_1:ios_af_ctrl24[23]:D0</t>
  </si>
  <si>
    <t>tst_abb3_23_ctrl1_1:ios_af_ctrl25[23]:D0</t>
  </si>
  <si>
    <t>tst_clk_23_ctrl1_1:ios_af_ctrl26[23]:D0</t>
  </si>
  <si>
    <t>tst_sys0_23_ctrl1_1:ios_af_ctrl27[23]:D0</t>
  </si>
  <si>
    <t>tst_sys1_23_ctrl1_1:ios_af_ctrl28[23]:D0</t>
  </si>
  <si>
    <t>tst_usb0_22_ctrl1_1:ios_af_ctrl16[22]:D0</t>
  </si>
  <si>
    <t>tst_usb1_22_ctrl1_1:ios_af_ctrl17[22]:D0</t>
  </si>
  <si>
    <t>tst_usb2_22_ctrl1_1:ios_af_ctrl18[22]:D0</t>
  </si>
  <si>
    <t>tst_usb3_22_ctrl1_1:ios_af_ctrl19[22]:D0</t>
  </si>
  <si>
    <t>tst_hsic0_22_ctrl1_1:ios_af_ctrl20[22]:D0</t>
  </si>
  <si>
    <t>tst_hsic1_22_ctrl1_1:ios_af_ctrl21[22]:D0</t>
  </si>
  <si>
    <t>tst_abb0_22_ctrl1_1:ios_af_ctrl22[22]:D0</t>
  </si>
  <si>
    <t>tst_abb1_22_ctrl1_1:ios_af_ctrl23[22]:D0</t>
  </si>
  <si>
    <t>tst_abb2_22_ctrl1_1:ios_af_ctrl24[22]:D0</t>
  </si>
  <si>
    <t>tst_abb3_22_ctrl1_1:ios_af_ctrl25[22]:D0</t>
  </si>
  <si>
    <t>tst_clk_22_ctrl1_1:ios_af_ctrl26[22]:D0</t>
  </si>
  <si>
    <t>tst_sys0_22_ctrl1_1:ios_af_ctrl27[22]:D0</t>
  </si>
  <si>
    <t>tst_sys1_22_ctrl1_1:ios_af_ctrl28[22]:D0</t>
  </si>
  <si>
    <t>tst_usb0_21_ctrl1_1:ios_af_ctrl16[21]:D0</t>
  </si>
  <si>
    <t>tst_usb1_21_ctrl1_1:ios_af_ctrl17[21]:D0</t>
  </si>
  <si>
    <t>tst_usb2_21_ctrl1_1:ios_af_ctrl18[21]:D0</t>
  </si>
  <si>
    <t>tst_usb3_21_ctrl1_1:ios_af_ctrl19[21]:D0</t>
  </si>
  <si>
    <t>tst_hsic0_21_ctrl1_1:ios_af_ctrl20[21]:D0</t>
  </si>
  <si>
    <t>tst_hsic1_21_ctrl1_1:ios_af_ctrl21[21]:D0</t>
  </si>
  <si>
    <t>tst_abb0_21_ctrl1_1:ios_af_ctrl22[21]:D0</t>
  </si>
  <si>
    <t>tst_abb1_21_ctrl1_1:ios_af_ctrl23[21]:D0</t>
  </si>
  <si>
    <t>tst_abb2_21_ctrl1_1:ios_af_ctrl24[21]:D0</t>
  </si>
  <si>
    <t>tst_abb3_21_ctrl1_1:ios_af_ctrl25[21]:D0</t>
  </si>
  <si>
    <t>tst_clk_21_ctrl1_1:ios_af_ctrl26[21]:D0</t>
  </si>
  <si>
    <t>tst_sys0_21_ctrl1_1:ios_af_ctrl27[21]:D0</t>
  </si>
  <si>
    <t>tst_sys1_21_ctrl1_1:ios_af_ctrl28[21]:D0</t>
  </si>
  <si>
    <t>tst_usb0_20_ctrl1_1:ios_af_ctrl16[20]:D0</t>
  </si>
  <si>
    <t>tst_usb1_20_ctrl1_1:ios_af_ctrl17[20]:D0</t>
  </si>
  <si>
    <t>tst_usb2_20_ctrl1_1:ios_af_ctrl18[20]:D0</t>
  </si>
  <si>
    <t>tst_usb3_20_ctrl1_1:ios_af_ctrl19[20]:D0</t>
  </si>
  <si>
    <t>tst_hsic0_20_ctrl1_1:ios_af_ctrl20[20]:D0</t>
  </si>
  <si>
    <t>tst_hsic1_20_ctrl1_1:ios_af_ctrl21[20]:D0</t>
  </si>
  <si>
    <t>tst_abb0_20_ctrl1_1:ios_af_ctrl22[20]:D0</t>
  </si>
  <si>
    <t>tst_abb1_20_ctrl1_1:ios_af_ctrl23[20]:D0</t>
  </si>
  <si>
    <t>tst_abb2_20_ctrl1_1:ios_af_ctrl24[20]:D0</t>
  </si>
  <si>
    <t>tst_abb3_20_ctrl1_1:ios_af_ctrl25[20]:D0</t>
  </si>
  <si>
    <t>tst_clk_20_ctrl1_1:ios_af_ctrl26[20]:D0</t>
  </si>
  <si>
    <t>tst_sys0_20_ctrl1_1:ios_af_ctrl27[20]:D0</t>
  </si>
  <si>
    <t>tst_sys1_20_ctrl1_1:ios_af_ctrl28[20]:D0</t>
  </si>
  <si>
    <t>tst_usb0_19_ctrl1_1:ios_af_ctrl16[19]:D0</t>
  </si>
  <si>
    <t>tst_usb1_19_ctrl1_1:ios_af_ctrl17[19]:D0</t>
  </si>
  <si>
    <t>tst_usb2_19_ctrl1_1:ios_af_ctrl18[19]:D0</t>
  </si>
  <si>
    <t>tst_usb3_19_ctrl1_1:ios_af_ctrl19[19]:D0</t>
  </si>
  <si>
    <t>tst_hsic0_19_ctrl1_1:ios_af_ctrl20[19]:D0</t>
  </si>
  <si>
    <t>tst_hsic1_19_ctrl1_1:ios_af_ctrl21[19]:D0</t>
  </si>
  <si>
    <t>tst_abb0_19_ctrl1_1:ios_af_ctrl22[19]:D0</t>
  </si>
  <si>
    <t>tst_abb1_19_ctrl1_1:ios_af_ctrl23[19]:D0</t>
  </si>
  <si>
    <t>tst_abb2_19_ctrl1_1:ios_af_ctrl24[19]:D0</t>
  </si>
  <si>
    <t>tst_abb3_19_ctrl1_1:ios_af_ctrl25[19]:D0</t>
  </si>
  <si>
    <t>tst_clk_19_ctrl1_1:ios_af_ctrl26[19]:D0</t>
  </si>
  <si>
    <t>tst_sys0_19_ctrl1_1:ios_af_ctrl27[19]:D0</t>
  </si>
  <si>
    <t>tst_sys1_19_ctrl1_1:ios_af_ctrl28[19]:D0</t>
  </si>
  <si>
    <t>tst_usb0_18_ctrl1_1:ios_af_ctrl16[18]:D0</t>
  </si>
  <si>
    <t>tst_usb1_18_ctrl1_1:ios_af_ctrl17[18]:D0</t>
  </si>
  <si>
    <t>tst_usb2_18_ctrl1_1:ios_af_ctrl18[18]:D0</t>
  </si>
  <si>
    <t>tst_usb3_18_ctrl1_1:ios_af_ctrl19[18]:D0</t>
  </si>
  <si>
    <t>tst_hsic0_18_ctrl1_1:ios_af_ctrl20[18]:D0</t>
  </si>
  <si>
    <t>tst_hsic1_18_ctrl1_1:ios_af_ctrl21[18]:D0</t>
  </si>
  <si>
    <t>tst_abb0_18_ctrl1_1:ios_af_ctrl22[18]:D0</t>
  </si>
  <si>
    <t>tst_abb1_18_ctrl1_1:ios_af_ctrl23[18]:D0</t>
  </si>
  <si>
    <t>tst_abb2_18_ctrl1_1:ios_af_ctrl24[18]:D0</t>
  </si>
  <si>
    <t>tst_abb3_18_ctrl1_1:ios_af_ctrl25[18]:D0</t>
  </si>
  <si>
    <t>tst_clk_18_ctrl1_1:ios_af_ctrl26[18]:D0</t>
  </si>
  <si>
    <t>tst_sys0_18_ctrl1_1:ios_af_ctrl27[18]:D0</t>
  </si>
  <si>
    <t>tst_sys1_18_ctrl1_1:ios_af_ctrl28[18]:D0</t>
  </si>
  <si>
    <t>tst_usb0_17_ctrl1_1:ios_af_ctrl16[17]:D0</t>
  </si>
  <si>
    <t>tst_usb1_17_ctrl1_1:ios_af_ctrl17[17]:D0</t>
  </si>
  <si>
    <t>tst_usb2_17_ctrl1_1:ios_af_ctrl18[17]:D0</t>
  </si>
  <si>
    <t>tst_usb3_17_ctrl1_1:ios_af_ctrl19[17]:D0</t>
  </si>
  <si>
    <t>tst_hsic0_17_ctrl1_1:ios_af_ctrl20[17]:D0</t>
  </si>
  <si>
    <t>tst_hsic1_17_ctrl1_1:ios_af_ctrl21[17]:D0</t>
  </si>
  <si>
    <t>tst_abb0_17_ctrl1_1:ios_af_ctrl22[17]:D0</t>
  </si>
  <si>
    <t>tst_abb1_17_ctrl1_1:ios_af_ctrl23[17]:D0</t>
  </si>
  <si>
    <t>tst_abb2_17_ctrl1_1:ios_af_ctrl24[17]:D0</t>
  </si>
  <si>
    <t>tst_abb3_17_ctrl1_1:ios_af_ctrl25[17]:D0</t>
  </si>
  <si>
    <t>tst_clk_17_ctrl1_1:ios_af_ctrl26[17]:D0</t>
  </si>
  <si>
    <t>tst_sys0_17_ctrl1_1:ios_af_ctrl27[17]:D0</t>
  </si>
  <si>
    <t>tst_sys1_17_ctrl1_1:ios_af_ctrl28[17]:D0</t>
  </si>
  <si>
    <t>tst_usb0_16_ctrl1_1:ios_af_ctrl16[16]:D0</t>
  </si>
  <si>
    <t>tst_usb1_16_ctrl1_1:ios_af_ctrl17[16]:D0</t>
  </si>
  <si>
    <t>tst_usb2_16_ctrl1_1:ios_af_ctrl18[16]:D0</t>
  </si>
  <si>
    <t>tst_usb3_16_ctrl1_1:ios_af_ctrl19[16]:D0</t>
  </si>
  <si>
    <t>tst_hsic0_16_ctrl1_1:ios_af_ctrl20[16]:D0</t>
  </si>
  <si>
    <t>tst_hsic1_16_ctrl1_1:ios_af_ctrl21[16]:D0</t>
  </si>
  <si>
    <t>tst_abb0_16_ctrl1_1:ios_af_ctrl22[16]:D0</t>
  </si>
  <si>
    <t>tst_abb1_16_ctrl1_1:ios_af_ctrl23[16]:D0</t>
  </si>
  <si>
    <t>tst_abb2_16_ctrl1_1:ios_af_ctrl24[16]:D0</t>
  </si>
  <si>
    <t>tst_abb3_16_ctrl1_1:ios_af_ctrl25[16]:D0</t>
  </si>
  <si>
    <t>tst_clk_16_ctrl1_1:ios_af_ctrl26[16]:D0</t>
  </si>
  <si>
    <t>tst_sys0_16_ctrl1_1:ios_af_ctrl27[16]:D0</t>
  </si>
  <si>
    <t>tst_sys1_16_ctrl1_1:ios_af_ctrl28[16]:D0</t>
  </si>
  <si>
    <t>tst_usb0_15_ctrl1_1:ios_af_ctrl16[15]:D0</t>
  </si>
  <si>
    <t>tst_usb1_15_ctrl1_1:ios_af_ctrl17[15]:D0</t>
  </si>
  <si>
    <t>tst_usb2_15_ctrl1_1:ios_af_ctrl18[15]:D0</t>
  </si>
  <si>
    <t>tst_usb3_15_ctrl1_1:ios_af_ctrl19[15]:D0</t>
  </si>
  <si>
    <t>tst_hsic0_15_ctrl1_1:ios_af_ctrl20[15]:D0</t>
  </si>
  <si>
    <t>tst_hsic1_15_ctrl1_1:ios_af_ctrl21[15]:D0</t>
  </si>
  <si>
    <t>tst_abb0_15_ctrl1_1:ios_af_ctrl22[15]:D0</t>
  </si>
  <si>
    <t>tst_abb1_15_ctrl1_1:ios_af_ctrl23[15]:D0</t>
  </si>
  <si>
    <t>tst_abb2_15_ctrl1_1:ios_af_ctrl24[15]:D0</t>
  </si>
  <si>
    <t>tst_abb3_15_ctrl1_1:ios_af_ctrl25[15]:D0</t>
  </si>
  <si>
    <t>tst_clk_15_ctrl1_1:ios_af_ctrl26[15]:D0</t>
  </si>
  <si>
    <t>tst_sys0_15_ctrl1_1:ios_af_ctrl27[15]:D0</t>
  </si>
  <si>
    <t>tst_sys1_15_ctrl1_1:ios_af_ctrl28[15]:D0</t>
  </si>
  <si>
    <t>tst_usb0_14_ctrl1_1:ios_af_ctrl16[14]:D0</t>
  </si>
  <si>
    <t>tst_usb1_14_ctrl1_1:ios_af_ctrl17[14]:D0</t>
  </si>
  <si>
    <t>tst_usb2_14_ctrl1_1:ios_af_ctrl18[14]:D0</t>
  </si>
  <si>
    <t>tst_usb3_14_ctrl1_1:ios_af_ctrl19[14]:D0</t>
  </si>
  <si>
    <t>tst_hsic0_14_ctrl1_1:ios_af_ctrl20[14]:D0</t>
  </si>
  <si>
    <t>tst_hsic1_14_ctrl1_1:ios_af_ctrl21[14]:D0</t>
  </si>
  <si>
    <t>tst_abb0_14_ctrl1_1:ios_af_ctrl22[14]:D0</t>
  </si>
  <si>
    <t>tst_abb1_14_ctrl1_1:ios_af_ctrl23[14]:D0</t>
  </si>
  <si>
    <t>tst_abb2_14_ctrl1_1:ios_af_ctrl24[14]:D0</t>
  </si>
  <si>
    <t>tst_abb3_14_ctrl1_1:ios_af_ctrl25[14]:D0</t>
  </si>
  <si>
    <t>tst_clk_14_ctrl1_1:ios_af_ctrl26[14]:D0</t>
  </si>
  <si>
    <t>tst_sys0_14_ctrl1_1:ios_af_ctrl27[14]:D0</t>
  </si>
  <si>
    <t>tst_sys1_14_ctrl1_1:ios_af_ctrl28[14]:D0</t>
  </si>
  <si>
    <t>tst_usb0_13_ctrl1_1:ios_af_ctrl16[13]:D0</t>
  </si>
  <si>
    <t>tst_usb1_13_ctrl1_1:ios_af_ctrl17[13]:D0</t>
  </si>
  <si>
    <t>tst_usb2_13_ctrl1_1:ios_af_ctrl18[13]:D0</t>
  </si>
  <si>
    <t>tst_usb3_13_ctrl1_1:ios_af_ctrl19[13]:D0</t>
  </si>
  <si>
    <t>tst_hsic0_13_ctrl1_1:ios_af_ctrl20[13]:D0</t>
  </si>
  <si>
    <t>tst_hsic1_13_ctrl1_1:ios_af_ctrl21[13]:D0</t>
  </si>
  <si>
    <t>tst_abb0_13_ctrl1_1:ios_af_ctrl22[13]:D0</t>
  </si>
  <si>
    <t>tst_abb1_13_ctrl1_1:ios_af_ctrl23[13]:D0</t>
  </si>
  <si>
    <t>tst_abb2_13_ctrl1_1:ios_af_ctrl24[13]:D0</t>
  </si>
  <si>
    <t>tst_abb3_13_ctrl1_1:ios_af_ctrl25[13]:D0</t>
  </si>
  <si>
    <t>tst_clk_13_ctrl1_1:ios_af_ctrl26[13]:D0</t>
  </si>
  <si>
    <t>tst_sys0_13_ctrl1_1:ios_af_ctrl27[13]:D0</t>
  </si>
  <si>
    <t>tst_sys1_13_ctrl1_1:ios_af_ctrl28[13]:D0</t>
  </si>
  <si>
    <t>gpio1[12]</t>
  </si>
  <si>
    <t>GPIO_1_16</t>
  </si>
  <si>
    <t>GPIO_1_17</t>
  </si>
  <si>
    <t>GPIO_1_18</t>
  </si>
  <si>
    <t>gpio1[18]</t>
  </si>
  <si>
    <t>GPIO_1_22</t>
  </si>
  <si>
    <t>GPIO_1_23</t>
  </si>
  <si>
    <t>GPIO_1_24</t>
  </si>
  <si>
    <t>gpio1[24]</t>
  </si>
  <si>
    <t>GPIO_2_01</t>
  </si>
  <si>
    <t>GPIO_2_03</t>
  </si>
  <si>
    <t>GPIO_2_04</t>
  </si>
  <si>
    <t>GPIO_2_05</t>
  </si>
  <si>
    <t>GPIO_2_06</t>
  </si>
  <si>
    <t>GPIO_2_07</t>
  </si>
  <si>
    <t>GPIO_2_08</t>
  </si>
  <si>
    <t>GPIO_2_09</t>
  </si>
  <si>
    <t>gpio1[30]</t>
  </si>
  <si>
    <t>gpio2[4]</t>
  </si>
  <si>
    <t>gpio1_27_ctrl1_1:ios_mf_ctrl8[0]:D0</t>
  </si>
  <si>
    <t>GPIO_2_24</t>
  </si>
  <si>
    <t>GPIO_3_01</t>
  </si>
  <si>
    <t>GPIO_3_02</t>
  </si>
  <si>
    <t>GPIO_3_03</t>
  </si>
  <si>
    <t>GPIO_3_04</t>
  </si>
  <si>
    <t>GPIO_3_05</t>
  </si>
  <si>
    <t>GPIO_3_06</t>
  </si>
  <si>
    <t>lte_frm_sync_ctrl5_1:ios_af_ctrl0[0]:D0</t>
  </si>
  <si>
    <t>lte_rx_actv_ctrl5_1:ios_af_ctrl0[1]:D0</t>
  </si>
  <si>
    <t>lte_tx_actv_ctrl5_1:ios_af_ctrl0[2]:D0</t>
  </si>
  <si>
    <t>wlan_bt_ldo_en_ctrl5_1:ios_af_ctrl0[3]:D0</t>
  </si>
  <si>
    <t>antpa_sel26_ctrl2_2:ios_af_ctrl3[8]:D0</t>
  </si>
  <si>
    <t>antpa_sel27_ctrl2_2:ios_af_ctrl3[9]:D0</t>
  </si>
  <si>
    <t>antpa_sel28_ctrl2_2:ios_af_ctrl3[10]:D0</t>
  </si>
  <si>
    <t>antpa_sel29_ctrl2_2:ios_af_ctrl3[11]:D0</t>
  </si>
  <si>
    <t>antpa_sel30_ctrl2_2:ios_af_ctrl3[12]:D0</t>
  </si>
  <si>
    <t>uart1_cts_n</t>
  </si>
  <si>
    <t>uart1_rts_n</t>
  </si>
  <si>
    <t>uart1_dcd_n</t>
  </si>
  <si>
    <t>uart1_dsr_n</t>
  </si>
  <si>
    <t>uart1_dtr_n</t>
  </si>
  <si>
    <t>uart1_ri_n</t>
  </si>
  <si>
    <t>GPIO_3_01</t>
    <phoneticPr fontId="3" type="noConversion"/>
  </si>
  <si>
    <t>HISI4D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</si>
  <si>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</si>
  <si>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</si>
  <si>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t>5'h8</t>
    <phoneticPr fontId="3" type="noConversion"/>
  </si>
  <si>
    <t>PU</t>
    <phoneticPr fontId="3" type="noConversion"/>
  </si>
  <si>
    <t>5'h4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</si>
  <si>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</si>
  <si>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IX</t>
    <phoneticPr fontId="3" type="noConversion"/>
  </si>
  <si>
    <t>5'h0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</si>
  <si>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</si>
  <si>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OZ</t>
    <phoneticPr fontId="3" type="noConversion"/>
  </si>
  <si>
    <t>OH</t>
    <phoneticPr fontId="3" type="noConversion"/>
  </si>
  <si>
    <t>5'h10</t>
    <phoneticPr fontId="3" type="noConversion"/>
  </si>
  <si>
    <t>OL</t>
    <phoneticPr fontId="3" type="noConversion"/>
  </si>
  <si>
    <t>xxxx</t>
    <phoneticPr fontId="3" type="noConversion"/>
  </si>
  <si>
    <t>efusec_data_pad[6]</t>
  </si>
  <si>
    <t>efusec_data_pad[20]</t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</si>
  <si>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</si>
  <si>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</si>
  <si>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</si>
  <si>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</si>
  <si>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6</t>
    </r>
    <r>
      <rPr>
        <sz val="11"/>
        <color theme="1"/>
        <rFont val="宋体"/>
        <family val="2"/>
        <charset val="134"/>
        <scheme val="minor"/>
      </rPr>
      <t/>
    </r>
  </si>
  <si>
    <t>nf_data[9]</t>
  </si>
  <si>
    <t>nf_data[10]</t>
  </si>
  <si>
    <t>nf_data[11]</t>
  </si>
  <si>
    <t>nf_data[12]</t>
  </si>
  <si>
    <t>nf_data[13]</t>
  </si>
  <si>
    <t>nf_data[14]</t>
  </si>
  <si>
    <t>nf_data[15]</t>
  </si>
  <si>
    <t>antpa_sel0_ctrl1_1:ios_af_ctrl14[0]:D0</t>
  </si>
  <si>
    <t>antpa_sel1_ctrl1_1:ios_af_ctrl14[1]:D0</t>
  </si>
  <si>
    <t>antpa_sel2_ctrl1_1:ios_af_ctrl14[2]:D0</t>
  </si>
  <si>
    <t>antpa_sel3_ctrl1_1:ios_af_ctrl14[3]:D0</t>
  </si>
  <si>
    <t>antpa_sel4_ctrl1_1:ios_af_ctrl14[4]:D0</t>
  </si>
  <si>
    <t>antpa_sel5_ctrl1_1:ios_af_ctrl14[5]:D0</t>
  </si>
  <si>
    <t>antpa_sel6_ctrl1_1:ios_af_ctrl14[6]:D0</t>
  </si>
  <si>
    <t>antpa_sel7_ctrl1_1:ios_af_ctrl14[7]:D0</t>
  </si>
  <si>
    <t>antpa_sel8_ctrl1_1:ios_af_ctrl14[8]:D0</t>
  </si>
  <si>
    <t>antpa_sel9_ctrl1_1:ios_af_ctrl14[9]:D0</t>
  </si>
  <si>
    <t>antpa_sel10_ctrl1_1:ios_af_ctrl14[10]:D0</t>
  </si>
  <si>
    <t>antpa_sel11_ctrl1_1:ios_af_ctrl14[11]:D0</t>
  </si>
  <si>
    <t>antpa_sel12_ctrl1_1:ios_af_ctrl14[12]:D0</t>
  </si>
  <si>
    <t>antpa_sel13_ctrl1_1:ios_af_ctrl14[13]:D0</t>
  </si>
  <si>
    <t>antpa_sel14_ctrl1_1:ios_af_ctrl14[14]:D0</t>
  </si>
  <si>
    <t>antpa_sel15_ctrl1_1:ios_af_ctrl14[15]:D0</t>
  </si>
  <si>
    <t>antpa_sel16_ctrl1_1:ios_af_ctrl14[16]:D0</t>
  </si>
  <si>
    <t>antpa_sel17_ctrl1_1:ios_af_ctrl14[17]:D0</t>
  </si>
  <si>
    <t>antpa_sel18_ctrl1_1:ios_af_ctrl14[18]:D0</t>
  </si>
  <si>
    <t>antpa_sel19_ctrl1_1:ios_af_ctrl14[19]:D0</t>
  </si>
  <si>
    <t>antpa_sel20_ctrl1_1:ios_af_ctrl14[20]:D0</t>
  </si>
  <si>
    <t>nf_16bit_ctrl1_1:ios_af_ctrl15[0]:D0</t>
  </si>
  <si>
    <t>nf_ce1_n_ctrl2_2:ios_af_ctrl15[1]:D0</t>
  </si>
  <si>
    <t>abb_ate_mode_ctrl1_1:ios_af_ctrl255[0]:D0</t>
  </si>
  <si>
    <t>efuse_en_ctrl1_1:ios_af_ctrl254[0]:D0</t>
  </si>
  <si>
    <t>PMU(13)</t>
    <phoneticPr fontId="3" type="noConversion"/>
  </si>
  <si>
    <t>gpio(5)</t>
    <phoneticPr fontId="3" type="noConversion"/>
  </si>
  <si>
    <t>CH1_RF_RESETN</t>
  </si>
  <si>
    <t>CH1_RF_SSI</t>
  </si>
  <si>
    <t>CH1_RF_TCVR_ON</t>
  </si>
  <si>
    <t>gpio1_19_ctrl1_1:ios_af_ctrl10[0]:D0</t>
  </si>
  <si>
    <t>gpio1_20_ctrl1_1:ios_af_ctrl10[1]:D0</t>
  </si>
  <si>
    <t>gpio1_21_ctrl1_1:ios_af_ctrl10[2]:D0</t>
  </si>
  <si>
    <t>CC库版本9：
天线选择低7bit支持16bit NF高7bit；增加NF线控nf_ce1_n复用到天线选择；增加19.2M时钟到gpio；RF线控根据V9R1讨论结果，HI6361会取消RESET_N的IO下拉，为了保证DCXO正常工作，RF线控主功能从GPIO调整为RF线控，且上电默认状态为输出；</t>
    <phoneticPr fontId="3" type="noConversion"/>
  </si>
  <si>
    <t>ch0_rxb_data[6]</t>
  </si>
  <si>
    <t>ch1_rxb_data[3]</t>
  </si>
  <si>
    <t>ch1_rxb_data[2]</t>
  </si>
  <si>
    <t>ch1_rxb_data[1]</t>
  </si>
  <si>
    <t>ch1_rxb_data[0]</t>
  </si>
  <si>
    <t>ch1_rxb_data[4]</t>
  </si>
  <si>
    <t>ch1_rxb_data[13]</t>
  </si>
  <si>
    <t>ch1_rxb_data[12]</t>
  </si>
  <si>
    <t>ch1_rxb_data[11]</t>
  </si>
  <si>
    <t>ch1_rxb_data[10]</t>
  </si>
  <si>
    <t>ch1_rxb_data[9]</t>
  </si>
  <si>
    <t>ch1_rxb_data[8]</t>
  </si>
  <si>
    <t>ch1_rxb_data[7]</t>
  </si>
  <si>
    <t>ch1_rxb_data[6]</t>
  </si>
  <si>
    <t>ch1_rxb_data[5]</t>
  </si>
  <si>
    <r>
      <t>定义所使用PAD的接口配置属性；使用IOM_CTRL寄存器进行控制；目前每种PAD最多只支持6种属性；属性按表格由上往下排，中间不允许有空白；</t>
    </r>
    <r>
      <rPr>
        <sz val="12"/>
        <color rgb="FFFF0000"/>
        <rFont val="宋体"/>
        <family val="3"/>
        <charset val="134"/>
      </rPr>
      <t>属性OE只能作为IOM_CTRL的最高位，且只作为DO信号的输出使能，高有效，对其它的方向功能无影响；</t>
    </r>
    <phoneticPr fontId="40" type="noConversion"/>
  </si>
  <si>
    <t>定义使用PAD的厂商，若增加，可按上表形式进行增加；</t>
    <phoneticPr fontId="40" type="noConversion"/>
  </si>
  <si>
    <t>HISI4D_RET</t>
    <phoneticPr fontId="3" type="noConversion"/>
  </si>
  <si>
    <t>CC库版本10：
DDR的DDR_ZQ/DDR_ATO/DDR_DTO0/DDR_DTO1移至DDR CA组中；HSIC从PD域挪至AO域；FEM低8线位置调至NF一边；调整ABB ATE信号和efuse信号位置；将jtag1_trst_n信号类型改回为SI，因为TSMC定制PAD有Schmitt端口，可以支持Schmitt输入，需要验证；</t>
    <phoneticPr fontId="3" type="noConversion"/>
  </si>
  <si>
    <t>芯片确认人</t>
    <phoneticPr fontId="3" type="noConversion"/>
  </si>
  <si>
    <t>是否确认</t>
    <phoneticPr fontId="3" type="noConversion"/>
  </si>
  <si>
    <t>硬件确认人</t>
    <phoneticPr fontId="3" type="noConversion"/>
  </si>
  <si>
    <t>宋占坤</t>
  </si>
  <si>
    <t>DVDD18_3</t>
  </si>
  <si>
    <t>DVDD18_4</t>
  </si>
  <si>
    <t>DVDD18_5</t>
  </si>
  <si>
    <r>
      <t xml:space="preserve">PKG
</t>
    </r>
    <r>
      <rPr>
        <sz val="12"/>
        <rFont val="宋体"/>
        <family val="3"/>
        <charset val="134"/>
      </rPr>
      <t>合封</t>
    </r>
    <phoneticPr fontId="3" type="noConversion"/>
  </si>
  <si>
    <t>合封</t>
    <phoneticPr fontId="3" type="noConversion"/>
  </si>
  <si>
    <t>单封</t>
    <phoneticPr fontId="3" type="noConversion"/>
  </si>
  <si>
    <t>test_usb0[13]</t>
  </si>
  <si>
    <t>test_usb1[13]</t>
  </si>
  <si>
    <t>test_usb2[13]</t>
  </si>
  <si>
    <t>test_usb3[13]</t>
  </si>
  <si>
    <t>test_hsic0[13]</t>
  </si>
  <si>
    <t>test_hsic1[13]</t>
  </si>
  <si>
    <t>test_abb0[13]</t>
  </si>
  <si>
    <t>test_abb1[13]</t>
  </si>
  <si>
    <t>test_abb2[13]</t>
  </si>
  <si>
    <t>test_abb3[13]</t>
  </si>
  <si>
    <t>test_clk[13]</t>
  </si>
  <si>
    <t>test_sys0[13]</t>
  </si>
  <si>
    <t>test_sys1[13]</t>
  </si>
  <si>
    <t>test_usb0[14]</t>
  </si>
  <si>
    <t>test_usb1[14]</t>
  </si>
  <si>
    <t>test_usb2[14]</t>
  </si>
  <si>
    <t>test_usb3[14]</t>
  </si>
  <si>
    <t>test_hsic0[14]</t>
  </si>
  <si>
    <t>test_hsic1[14]</t>
  </si>
  <si>
    <t>test_abb0[14]</t>
  </si>
  <si>
    <t>test_abb1[14]</t>
  </si>
  <si>
    <t>test_abb2[14]</t>
  </si>
  <si>
    <t>test_abb3[14]</t>
  </si>
  <si>
    <t>test_clk[14]</t>
  </si>
  <si>
    <t>test_sys0[14]</t>
  </si>
  <si>
    <t>test_sys1[14]</t>
  </si>
  <si>
    <t>test_usb0[15]</t>
  </si>
  <si>
    <t>test_usb1[15]</t>
  </si>
  <si>
    <t>test_usb2[15]</t>
  </si>
  <si>
    <t>test_usb3[15]</t>
  </si>
  <si>
    <t>test_hsic0[15]</t>
  </si>
  <si>
    <t>test_hsic1[15]</t>
  </si>
  <si>
    <t>test_abb0[15]</t>
  </si>
  <si>
    <t>test_abb1[15]</t>
  </si>
  <si>
    <t>test_abb2[15]</t>
  </si>
  <si>
    <t>test_abb3[15]</t>
  </si>
  <si>
    <t>test_clk[15]</t>
  </si>
  <si>
    <t>test_sys0[15]</t>
  </si>
  <si>
    <t>test_sys1[15]</t>
  </si>
  <si>
    <t>test_usb0[16]</t>
  </si>
  <si>
    <t>test_usb1[16]</t>
  </si>
  <si>
    <t>test_usb2[16]</t>
  </si>
  <si>
    <t>test_usb3[16]</t>
  </si>
  <si>
    <t>test_hsic0[16]</t>
  </si>
  <si>
    <t>test_hsic1[16]</t>
  </si>
  <si>
    <t>test_abb0[16]</t>
  </si>
  <si>
    <t>test_abb1[16]</t>
  </si>
  <si>
    <t>test_abb2[16]</t>
  </si>
  <si>
    <t>test_abb3[16]</t>
  </si>
  <si>
    <t>test_clk[16]</t>
  </si>
  <si>
    <t>test_sys0[16]</t>
  </si>
  <si>
    <t>test_sys1[16]</t>
  </si>
  <si>
    <t>test_usb0[17]</t>
  </si>
  <si>
    <t>test_usb1[17]</t>
  </si>
  <si>
    <t>test_usb2[17]</t>
  </si>
  <si>
    <t>test_usb3[17]</t>
  </si>
  <si>
    <t>test_hsic0[17]</t>
  </si>
  <si>
    <t>test_hsic1[17]</t>
  </si>
  <si>
    <t>test_abb0[17]</t>
  </si>
  <si>
    <t>test_abb1[17]</t>
  </si>
  <si>
    <t>test_abb2[17]</t>
  </si>
  <si>
    <t>test_abb3[17]</t>
  </si>
  <si>
    <t>test_clk[17]</t>
  </si>
  <si>
    <t>test_sys0[17]</t>
  </si>
  <si>
    <t>test_sys1[17]</t>
  </si>
  <si>
    <t>test_usb0[18]</t>
  </si>
  <si>
    <t>test_usb1[18]</t>
  </si>
  <si>
    <t>test_usb2[18]</t>
  </si>
  <si>
    <t>test_usb3[18]</t>
  </si>
  <si>
    <t>test_hsic0[18]</t>
  </si>
  <si>
    <t>test_hsic1[18]</t>
  </si>
  <si>
    <t>test_abb0[18]</t>
  </si>
  <si>
    <t>test_abb1[18]</t>
  </si>
  <si>
    <t>test_abb2[18]</t>
  </si>
  <si>
    <t>test_abb3[18]</t>
  </si>
  <si>
    <t>test_clk[18]</t>
  </si>
  <si>
    <t>test_sys0[18]</t>
  </si>
  <si>
    <t>test_sys1[18]</t>
  </si>
  <si>
    <t>CC库版本11：
增加合封是否出PKG列；ABB ATE mode使能信号从GPIO_1_00挪至GPIO_2_01；RF_RESETN上电默认值改为OL；NF block_size默认值为0，上电默认改为PD；当前boot不支持16bit NF，删除总线宽度data_size，相应调整其它NF boot配置信息位置；DDR_VREF的buffer name等相关修改；DDR_DTO在main function中的Direction改为DO；SSIC数据差分信号最高频率修改为1.5GHz</t>
    <phoneticPr fontId="3" type="noConversion"/>
  </si>
  <si>
    <t>spi0_ctrl2_2:ios_af_ctrl5[11]:D0</t>
  </si>
  <si>
    <t>antpa_sel24_ctrl4_2:ios_af_ctrl5[18]:D0</t>
  </si>
  <si>
    <t>ptm_ctrl1_1:ios_af_ctrl5[22]:D0</t>
  </si>
  <si>
    <r>
      <t xml:space="preserve">PKG
</t>
    </r>
    <r>
      <rPr>
        <sz val="12"/>
        <rFont val="宋体"/>
        <family val="3"/>
        <charset val="134"/>
      </rPr>
      <t>单封</t>
    </r>
    <phoneticPr fontId="3" type="noConversion"/>
  </si>
  <si>
    <t>1MHz</t>
  </si>
  <si>
    <t>50MHz</t>
  </si>
  <si>
    <t>13MHz</t>
  </si>
  <si>
    <t>122.88MHz</t>
    <phoneticPr fontId="3" type="noConversion"/>
  </si>
  <si>
    <t>80MHz</t>
  </si>
  <si>
    <t>100MHz</t>
  </si>
  <si>
    <t>25MHz</t>
  </si>
  <si>
    <t>24MHz</t>
  </si>
  <si>
    <t>38.4MHz</t>
  </si>
  <si>
    <t>10MHz</t>
  </si>
  <si>
    <t>20MHz</t>
  </si>
  <si>
    <t>300MHz</t>
  </si>
  <si>
    <t>667Mbps</t>
  </si>
  <si>
    <t>333Mbps</t>
  </si>
  <si>
    <t>24Mhz</t>
  </si>
  <si>
    <t>19.2MHz</t>
  </si>
  <si>
    <t>333MHz</t>
  </si>
  <si>
    <t>666MHz</t>
  </si>
  <si>
    <t>25Mhz</t>
  </si>
  <si>
    <t>26MHz</t>
  </si>
  <si>
    <t>61.44MHz</t>
  </si>
  <si>
    <t>CC库版本11：
1、MMC0_DATA3上电默认状态改为IX
2、GPIO_3_03在boot时的TCXO_FREQ配置挪至天线控制GPIO_2_02，防止对接输入器件时，误采为38.4MHz时钟
3、GPIO/GSBI根据硬件建议，进行复用调整
4、调整RF线控复用WIFI共存信号的顺序
5、天线选择加uart3复用
6、表格加入Powfer&amp;Gnd项</t>
    <phoneticPr fontId="3" type="noConversion"/>
  </si>
  <si>
    <t>CC库版本12：
1、jtag0不使用mux控制，优先级最高
2、gpio_1_00控制信号改为mf_ctrl2[0]
3、JTAG_DFT_MODE挪至AO
4、MMC0_CLK上电默认值改为PD
5、ABB ATE测试信号调整
6、更新DDR buffer name，参考pad order 2.0
7、补齐频率</t>
    <phoneticPr fontId="3" type="noConversion"/>
  </si>
  <si>
    <t>IOM_CTRL27</t>
  </si>
  <si>
    <t>8mA</t>
  </si>
  <si>
    <t>CC库版本13：
1、ABB_ATE_MODE挪到GPIO_2_03，需要限制该gpio只能当输出使用
2、efusec_addr_pad从12bits减为10bits
3、JTAG0_RTCK的MUX类型改为MUX_C
4、JTAG0相关信号不需要IOM控制，pad配置接死
5、JTAG0_TDO PAD类型改为OT
6、efuse_load/pgenb/rwl输入不复用默认值改为1；nf_rb0不复用默认为1，空闲；jtag1_trst_n/tms/tdi输入不复用默认值为1
7、MMC0_CLK_FB_OUT增加IOM控制</t>
    <phoneticPr fontId="3" type="noConversion"/>
  </si>
  <si>
    <t>PCIE自带</t>
  </si>
  <si>
    <t>CC库版本14：
1、删除SSIC，增加PCIE
2、jtag1_trst_n输入不复用默认值改为0</t>
    <phoneticPr fontId="3" type="noConversion"/>
  </si>
  <si>
    <t>管脚上电默认状态</t>
    <phoneticPr fontId="3" type="noConversion"/>
  </si>
  <si>
    <t>test_pcie[0]</t>
  </si>
  <si>
    <t>test_pcie[1]</t>
  </si>
  <si>
    <t>test_pcie[2]</t>
  </si>
  <si>
    <t>test_pcie[3]</t>
  </si>
  <si>
    <t>test_pcie[4]</t>
  </si>
  <si>
    <t>test_pcie[5]</t>
  </si>
  <si>
    <t>test_pcie[6]</t>
  </si>
  <si>
    <t>test_pcie[7]</t>
  </si>
  <si>
    <t>test_pcie[8]</t>
  </si>
  <si>
    <t>test_pcie[9]</t>
  </si>
  <si>
    <t>test_pcie[10]</t>
  </si>
  <si>
    <t>test_pcie[11]</t>
  </si>
  <si>
    <t>test_pcie[12]</t>
  </si>
  <si>
    <t>test_pcie[13]</t>
  </si>
  <si>
    <t>test_pcie[14]</t>
  </si>
  <si>
    <t>test_pcie[15]</t>
  </si>
  <si>
    <t>test_pcie[16]</t>
  </si>
  <si>
    <t>test_pcie[17]</t>
  </si>
  <si>
    <t>test_pcie[18]</t>
  </si>
  <si>
    <t>test_pcie[19]</t>
  </si>
  <si>
    <t>test_pcie[20]</t>
  </si>
  <si>
    <t>test_pcie[21]</t>
  </si>
  <si>
    <t>test_pcie[22]</t>
  </si>
  <si>
    <t>test_pcie[23]</t>
  </si>
  <si>
    <t>test_pcie[24]</t>
  </si>
  <si>
    <t>test_pcie[25]</t>
  </si>
  <si>
    <t>test_pcie[26]</t>
  </si>
  <si>
    <t>test_pcie[27]</t>
  </si>
  <si>
    <t>test_pcie[28]</t>
  </si>
  <si>
    <t>test_pcie[29]</t>
  </si>
  <si>
    <t>test_pcie[30]</t>
  </si>
  <si>
    <t>test_pcie[31]</t>
  </si>
  <si>
    <t>tst_pcie_0_ctrl1_1:ios_af_ctrl29[0]:D0</t>
  </si>
  <si>
    <t>tst_pcie_1_ctrl1_1:ios_af_ctrl29[1]:D0</t>
  </si>
  <si>
    <t>tst_pcie_2_ctrl1_1:ios_af_ctrl29[2]:D0</t>
  </si>
  <si>
    <t>tst_pcie_3_ctrl1_1:ios_af_ctrl29[3]:D0</t>
  </si>
  <si>
    <t>tst_pcie_4_ctrl1_1:ios_af_ctrl29[4]:D0</t>
  </si>
  <si>
    <t>tst_pcie_5_ctrl1_1:ios_af_ctrl29[5]:D0</t>
  </si>
  <si>
    <t>tst_pcie_6_ctrl1_1:ios_af_ctrl29[6]:D0</t>
  </si>
  <si>
    <t>tst_pcie_7_ctrl1_1:ios_af_ctrl29[7]:D0</t>
  </si>
  <si>
    <t>tst_pcie_8_ctrl1_1:ios_af_ctrl29[8]:D0</t>
  </si>
  <si>
    <t>tst_pcie_9_ctrl1_1:ios_af_ctrl29[9]:D0</t>
  </si>
  <si>
    <t>tst_pcie_10_ctrl1_1:ios_af_ctrl29[10]:D0</t>
  </si>
  <si>
    <t>tst_pcie_11_ctrl1_1:ios_af_ctrl29[11]:D0</t>
  </si>
  <si>
    <t>tst_pcie_12_ctrl1_1:ios_af_ctrl29[12]:D0</t>
  </si>
  <si>
    <t>tst_pcie_13_ctrl1_1:ios_af_ctrl29[13]:D0</t>
  </si>
  <si>
    <t>tst_pcie_14_ctrl1_1:ios_af_ctrl29[14]:D0</t>
  </si>
  <si>
    <t>tst_pcie_15_ctrl1_1:ios_af_ctrl29[15]:D0</t>
  </si>
  <si>
    <t>tst_pcie_16_ctrl1_1:ios_af_ctrl29[16]:D0</t>
  </si>
  <si>
    <t>tst_pcie_17_ctrl1_1:ios_af_ctrl29[17]:D0</t>
  </si>
  <si>
    <t>tst_pcie_18_ctrl1_1:ios_af_ctrl29[18]:D0</t>
  </si>
  <si>
    <t>tst_pcie_19_ctrl1_1:ios_af_ctrl29[19]:D0</t>
  </si>
  <si>
    <t>tst_pcie_20_ctrl1_1:ios_af_ctrl29[20]:D0</t>
  </si>
  <si>
    <t>tst_pcie_21_ctrl1_1:ios_af_ctrl29[21]:D0</t>
  </si>
  <si>
    <t>tst_pcie_22_ctrl1_1:ios_af_ctrl29[22]:D0</t>
  </si>
  <si>
    <t>tst_pcie_23_ctrl1_1:ios_af_ctrl29[23]:D0</t>
  </si>
  <si>
    <t>tst_pcie_24_ctrl1_1:ios_af_ctrl29[24]:D0</t>
  </si>
  <si>
    <t>tst_pcie_25_ctrl1_1:ios_af_ctrl29[25]:D0</t>
  </si>
  <si>
    <t>tst_pcie_26_ctrl1_1:ios_af_ctrl29[26]:D0</t>
  </si>
  <si>
    <t>tst_pcie_27_ctrl1_1:ios_af_ctrl29[27]:D0</t>
  </si>
  <si>
    <t>tst_pcie_28_ctrl1_1:ios_af_ctrl29[28]:D0</t>
  </si>
  <si>
    <t>tst_pcie_29_ctrl1_1:ios_af_ctrl29[29]:D0</t>
  </si>
  <si>
    <t>tst_pcie_30_ctrl1_1:ios_af_ctrl29[30]:D0</t>
  </si>
  <si>
    <t>tst_pcie_31_ctrl1_1:ios_af_ctrl29[31]:D0</t>
  </si>
  <si>
    <t>PCIE</t>
    <phoneticPr fontId="50" type="noConversion"/>
  </si>
  <si>
    <t>PCIE IO</t>
    <phoneticPr fontId="3" type="noConversion"/>
  </si>
  <si>
    <t>CC库版本15：
1、将test_ssic修改为test_pcie
2、GPIO_2_03   GPIO_2_04  GPIO_1_30   GPIO_1_31  GPIO_2_00  从H调成V
3、NF ecc_type不支持ecc24，删除对ecc24的支持
4、Power&amp;Gnd更新</t>
    <phoneticPr fontId="3" type="noConversion"/>
  </si>
  <si>
    <t>NandFlash(15个pin)</t>
    <phoneticPr fontId="3" type="noConversion"/>
  </si>
  <si>
    <t>IOM_CTRL0</t>
    <phoneticPr fontId="3" type="noConversion"/>
  </si>
  <si>
    <t>PDDUKW4D_H_HI_RET</t>
    <phoneticPr fontId="3" type="noConversion"/>
  </si>
  <si>
    <t>nf_ce0_n</t>
    <phoneticPr fontId="3" type="noConversion"/>
  </si>
  <si>
    <r>
      <t>Nand FLASH</t>
    </r>
    <r>
      <rPr>
        <sz val="10"/>
        <rFont val="宋体"/>
        <family val="3"/>
        <charset val="134"/>
      </rPr>
      <t>的片选信号，低有效</t>
    </r>
    <phoneticPr fontId="3" type="noConversion"/>
  </si>
  <si>
    <t>122.88MHz</t>
    <phoneticPr fontId="3" type="noConversion"/>
  </si>
  <si>
    <t>孟飚</t>
    <phoneticPr fontId="3" type="noConversion"/>
  </si>
  <si>
    <t>确认</t>
    <phoneticPr fontId="3" type="noConversion"/>
  </si>
  <si>
    <t>宋占坤</t>
    <phoneticPr fontId="3" type="noConversion"/>
  </si>
  <si>
    <t>1.8VD(P3)</t>
    <phoneticPr fontId="3" type="noConversion"/>
  </si>
  <si>
    <t>NF_ALE</t>
    <phoneticPr fontId="3" type="noConversion"/>
  </si>
  <si>
    <t>nf_ale</t>
    <phoneticPr fontId="3" type="noConversion"/>
  </si>
  <si>
    <r>
      <t>Nand FLASH</t>
    </r>
    <r>
      <rPr>
        <sz val="10"/>
        <rFont val="宋体"/>
        <family val="3"/>
        <charset val="134"/>
      </rPr>
      <t>的地址锁存信号</t>
    </r>
    <phoneticPr fontId="3" type="noConversion"/>
  </si>
  <si>
    <t>NF_CLE</t>
    <phoneticPr fontId="3" type="noConversion"/>
  </si>
  <si>
    <t>nf_cle</t>
    <phoneticPr fontId="3" type="noConversion"/>
  </si>
  <si>
    <r>
      <t>Nand FLASH</t>
    </r>
    <r>
      <rPr>
        <sz val="10"/>
        <rFont val="宋体"/>
        <family val="3"/>
        <charset val="134"/>
      </rPr>
      <t>的命令锁存信号或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>D/C</t>
    </r>
    <r>
      <rPr>
        <sz val="10"/>
        <rFont val="宋体"/>
        <family val="3"/>
        <charset val="134"/>
      </rPr>
      <t>信号</t>
    </r>
    <phoneticPr fontId="3" type="noConversion"/>
  </si>
  <si>
    <t>NF_WR_N</t>
    <phoneticPr fontId="3" type="noConversion"/>
  </si>
  <si>
    <t>nf_wr_n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</si>
  <si>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的写使能信号，低有效</t>
    </r>
    <phoneticPr fontId="3" type="noConversion"/>
  </si>
  <si>
    <t>NF_RD_N</t>
    <phoneticPr fontId="3" type="noConversion"/>
  </si>
  <si>
    <t>nf_rd_n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</si>
  <si>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的读使能信号，低有效</t>
    </r>
    <phoneticPr fontId="3" type="noConversion"/>
  </si>
  <si>
    <t>NF_RB0</t>
    <phoneticPr fontId="3" type="noConversion"/>
  </si>
  <si>
    <t>nf_rb0</t>
    <phoneticPr fontId="3" type="noConversion"/>
  </si>
  <si>
    <t>nf_cmd_ctrl1_1:ios_mf_ctrl0[0]:D1</t>
    <phoneticPr fontId="3" type="noConversion"/>
  </si>
  <si>
    <r>
      <t>Nand FLASH</t>
    </r>
    <r>
      <rPr>
        <sz val="10"/>
        <rFont val="宋体"/>
        <family val="3"/>
        <charset val="134"/>
      </rPr>
      <t>的空闲／忙指示。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：空闲；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：忙</t>
    </r>
    <phoneticPr fontId="3" type="noConversion"/>
  </si>
  <si>
    <t>Y</t>
    <phoneticPr fontId="3" type="noConversion"/>
  </si>
  <si>
    <t>NF_DATA0</t>
    <phoneticPr fontId="3" type="noConversion"/>
  </si>
  <si>
    <t>nf_data[0]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</si>
  <si>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0bit</t>
    </r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</si>
  <si>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1bit</t>
    </r>
    <phoneticPr fontId="3" type="noConversion"/>
  </si>
  <si>
    <t>lte_frame_sync</t>
    <phoneticPr fontId="3" type="noConversion"/>
  </si>
  <si>
    <t>lte_rx_active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</si>
  <si>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4bit</t>
    </r>
    <phoneticPr fontId="3" type="noConversion"/>
  </si>
  <si>
    <t>lte_tx_active</t>
    <phoneticPr fontId="3" type="noConversion"/>
  </si>
  <si>
    <t>wlan_bt_ldo_en</t>
    <phoneticPr fontId="3" type="noConversion"/>
  </si>
  <si>
    <t>wlan_bt_rx_priority</t>
    <phoneticPr fontId="3" type="noConversion"/>
  </si>
  <si>
    <t>wlan_bt_tx_active</t>
    <phoneticPr fontId="3" type="noConversion"/>
  </si>
  <si>
    <t>wlan_bt_tx_actv_ctrl3_1:ios_af_ctrl0[5]:D0</t>
    <phoneticPr fontId="3" type="noConversion"/>
  </si>
  <si>
    <t>GPIO_1_00</t>
    <phoneticPr fontId="3" type="noConversion"/>
  </si>
  <si>
    <t>gpio1[0]</t>
    <phoneticPr fontId="3" type="noConversion"/>
  </si>
  <si>
    <t>gpio1_0_ctrl1_1:ios_mf_ctrl2[0]:D0</t>
    <phoneticPr fontId="3" type="noConversion"/>
  </si>
  <si>
    <t>nf_data[8]</t>
    <phoneticPr fontId="3" type="noConversion"/>
  </si>
  <si>
    <t>nf_data8_ctrl1_1:ios_af_ctrl0[6]:D0</t>
    <phoneticPr fontId="3" type="noConversion"/>
  </si>
  <si>
    <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8bit</t>
    </r>
    <phoneticPr fontId="3" type="noConversion"/>
  </si>
  <si>
    <t>nf_ce1_n</t>
    <phoneticPr fontId="3" type="noConversion"/>
  </si>
  <si>
    <t>nf_ce1_n_ctrl2_1:ios_af_ctrl0[7]:D0</t>
    <phoneticPr fontId="3" type="noConversion"/>
  </si>
  <si>
    <t>BOOT_MODE,JTAG_MODE(7个pin）</t>
    <phoneticPr fontId="3" type="noConversion"/>
  </si>
  <si>
    <t>JTAG_MODE0</t>
    <phoneticPr fontId="3" type="noConversion"/>
  </si>
  <si>
    <t>4mA</t>
    <phoneticPr fontId="3" type="noConversion"/>
  </si>
  <si>
    <t>IOM_CTRL15</t>
    <phoneticPr fontId="3" type="noConversion"/>
  </si>
  <si>
    <t>jtag_mode[0]</t>
    <phoneticPr fontId="3" type="noConversion"/>
  </si>
  <si>
    <t>no_ctrl</t>
    <phoneticPr fontId="3" type="noConversion"/>
  </si>
  <si>
    <t>1MHz</t>
    <phoneticPr fontId="3" type="noConversion"/>
  </si>
  <si>
    <t>JTAG 模式选择开关0</t>
    <phoneticPr fontId="3" type="noConversion"/>
  </si>
  <si>
    <t>gpio1[1]</t>
    <phoneticPr fontId="3" type="noConversion"/>
  </si>
  <si>
    <t>gpio1_1_ctrl1_1:ios_af_ctrl1[0]:D0</t>
    <phoneticPr fontId="3" type="noConversion"/>
  </si>
  <si>
    <t>antpa_sel[25]</t>
    <phoneticPr fontId="3" type="noConversion"/>
  </si>
  <si>
    <t>antpa_sel25_ctrl2_1:ios_af_ctrl1[6]:D0</t>
    <phoneticPr fontId="3" type="noConversion"/>
  </si>
  <si>
    <t>王少华</t>
    <phoneticPr fontId="3" type="noConversion"/>
  </si>
  <si>
    <t>JTAG 模式选择开关1</t>
    <phoneticPr fontId="3" type="noConversion"/>
  </si>
  <si>
    <t>gpio1_2_ctrl1_1:ios_af_ctrl1[1]:D0</t>
    <phoneticPr fontId="3" type="noConversion"/>
  </si>
  <si>
    <t>antpa_sel26_ctrl2_1:ios_af_ctrl1[7]:D0</t>
    <phoneticPr fontId="3" type="noConversion"/>
  </si>
  <si>
    <t>MUX_D</t>
    <phoneticPr fontId="3" type="noConversion"/>
  </si>
  <si>
    <t>BOOT_MODE0</t>
    <phoneticPr fontId="3" type="noConversion"/>
  </si>
  <si>
    <t>boot_mode[0]</t>
    <phoneticPr fontId="3" type="noConversion"/>
  </si>
  <si>
    <t>启动模式选择开关0</t>
    <phoneticPr fontId="3" type="noConversion"/>
  </si>
  <si>
    <t>gpio1_3_ctrl1_1:ios_af_ctrl1[2]:D0</t>
    <phoneticPr fontId="3" type="noConversion"/>
  </si>
  <si>
    <t>antpa_sel27_ctrl2_1:ios_af_ctrl1[8]:D0</t>
    <phoneticPr fontId="3" type="noConversion"/>
  </si>
  <si>
    <t>pad_sel</t>
    <phoneticPr fontId="3" type="noConversion"/>
  </si>
  <si>
    <t>efuse_en_ctrl1_1:ios_af_ctrl254[0]:D1</t>
    <phoneticPr fontId="3" type="noConversion"/>
  </si>
  <si>
    <r>
      <t>Effuse</t>
    </r>
    <r>
      <rPr>
        <sz val="10"/>
        <rFont val="宋体"/>
        <family val="3"/>
        <charset val="134"/>
      </rPr>
      <t>烧写选择是从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烧写还是</t>
    </r>
    <r>
      <rPr>
        <sz val="10"/>
        <rFont val="Arial"/>
        <family val="2"/>
      </rPr>
      <t>apb</t>
    </r>
    <r>
      <rPr>
        <sz val="10"/>
        <rFont val="宋体"/>
        <family val="3"/>
        <charset val="134"/>
      </rPr>
      <t xml:space="preserve">接口软件烧写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 xml:space="preserve">烧写；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apb</t>
    </r>
    <r>
      <rPr>
        <sz val="10"/>
        <rFont val="宋体"/>
        <family val="3"/>
        <charset val="134"/>
      </rPr>
      <t>接口软件烧写。</t>
    </r>
    <phoneticPr fontId="3" type="noConversion"/>
  </si>
  <si>
    <t>gpio1_4_ctrl1_1:ios_af_ctrl1[3]:D0</t>
    <phoneticPr fontId="3" type="noConversion"/>
  </si>
  <si>
    <t>antpa_sel28_ctrl2_1:ios_af_ctrl1[9]:D0</t>
    <phoneticPr fontId="3" type="noConversion"/>
  </si>
  <si>
    <t>冗余功能使能信号（低有效）</t>
    <phoneticPr fontId="3" type="noConversion"/>
  </si>
  <si>
    <t>et_tx_vld</t>
    <phoneticPr fontId="3" type="noConversion"/>
  </si>
  <si>
    <t>gpio1_5_ctrl1_1:ios_af_ctrl1[4]:D0</t>
    <phoneticPr fontId="3" type="noConversion"/>
  </si>
  <si>
    <t>antpa_sel29_ctrl2_1:ios_af_ctrl1[10]:D0</t>
    <phoneticPr fontId="3" type="noConversion"/>
  </si>
  <si>
    <t>Program enable (low active)</t>
    <phoneticPr fontId="3" type="noConversion"/>
  </si>
  <si>
    <t>ch0_tx_en</t>
    <phoneticPr fontId="3" type="noConversion"/>
  </si>
  <si>
    <t>gpio1_6_ctrl1_1:ios_af_ctrl1[5]:D0</t>
    <phoneticPr fontId="3" type="noConversion"/>
  </si>
  <si>
    <t>antpa_sel30_ctrl2_1:ios_af_ctrl1[11]:D0</t>
    <phoneticPr fontId="3" type="noConversion"/>
  </si>
  <si>
    <t>efusec_csb_pad</t>
    <phoneticPr fontId="3" type="noConversion"/>
  </si>
  <si>
    <t>Active-low chip select in low power standby mode</t>
    <phoneticPr fontId="3" type="noConversion"/>
  </si>
  <si>
    <t>MMC0（6个pin）（SD master/SDIO slave）</t>
    <phoneticPr fontId="3" type="noConversion"/>
  </si>
  <si>
    <t>1.8V/3.0VD(P2)</t>
    <phoneticPr fontId="3" type="noConversion"/>
  </si>
  <si>
    <t>MMC0_CLK</t>
    <phoneticPr fontId="3" type="noConversion"/>
  </si>
  <si>
    <t>B</t>
    <phoneticPr fontId="3" type="noConversion"/>
  </si>
  <si>
    <t>TSMC_SD3P0</t>
    <phoneticPr fontId="3" type="noConversion"/>
  </si>
  <si>
    <t>IOM_CTRL21</t>
    <phoneticPr fontId="3" type="noConversion"/>
  </si>
  <si>
    <t>pull-up/down control</t>
    <phoneticPr fontId="3" type="noConversion"/>
  </si>
  <si>
    <t>PRWHSWDGZ_H_C120424</t>
    <phoneticPr fontId="3" type="noConversion"/>
  </si>
  <si>
    <t>mmc0_clk</t>
    <phoneticPr fontId="3" type="noConversion"/>
  </si>
  <si>
    <t>MMC0的时钟信号</t>
    <phoneticPr fontId="3" type="noConversion"/>
  </si>
  <si>
    <t>jtag1_rtck</t>
    <phoneticPr fontId="3" type="noConversion"/>
  </si>
  <si>
    <t>DO</t>
    <phoneticPr fontId="3" type="noConversion"/>
  </si>
  <si>
    <t>JTAG1时钟输出</t>
    <phoneticPr fontId="3" type="noConversion"/>
  </si>
  <si>
    <t>pcm_clk</t>
    <phoneticPr fontId="3" type="noConversion"/>
  </si>
  <si>
    <t>pcm_ctrl2_2:ios_af_ctrl3[0]:D0</t>
    <phoneticPr fontId="3" type="noConversion"/>
  </si>
  <si>
    <t>50MHz</t>
    <phoneticPr fontId="3" type="noConversion"/>
  </si>
  <si>
    <t>gpio1[7]</t>
    <phoneticPr fontId="3" type="noConversion"/>
  </si>
  <si>
    <t>gpio1_7_ctrl1_1:ios_af_ctrl3[1]:D0</t>
    <phoneticPr fontId="3" type="noConversion"/>
  </si>
  <si>
    <t>24MHz</t>
    <phoneticPr fontId="3" type="noConversion"/>
  </si>
  <si>
    <t>antpa_sel25_ctrl2_2:ios_af_ctrl3[7]:D0</t>
    <phoneticPr fontId="3" type="noConversion"/>
  </si>
  <si>
    <t>ch0_tcxo_clk</t>
    <phoneticPr fontId="3" type="noConversion"/>
  </si>
  <si>
    <t>19.2MHz</t>
    <phoneticPr fontId="3" type="noConversion"/>
  </si>
  <si>
    <t>李新昌</t>
    <phoneticPr fontId="3" type="noConversion"/>
  </si>
  <si>
    <t>MMC0_CMD</t>
    <phoneticPr fontId="3" type="noConversion"/>
  </si>
  <si>
    <t>mmc0_cmd</t>
    <phoneticPr fontId="3" type="noConversion"/>
  </si>
  <si>
    <t>MMC0的命令信号</t>
    <phoneticPr fontId="3" type="noConversion"/>
  </si>
  <si>
    <t>jtag1_tck</t>
    <phoneticPr fontId="3" type="noConversion"/>
  </si>
  <si>
    <t>DI</t>
    <phoneticPr fontId="3" type="noConversion"/>
  </si>
  <si>
    <r>
      <t>JTAG1时钟输入</t>
    </r>
    <r>
      <rPr>
        <sz val="10"/>
        <rFont val="FrutigerNext LT Regular"/>
        <family val="2"/>
      </rPr>
      <t xml:space="preserve">
</t>
    </r>
    <phoneticPr fontId="3" type="noConversion"/>
  </si>
  <si>
    <t>pcm_sync</t>
    <phoneticPr fontId="3" type="noConversion"/>
  </si>
  <si>
    <t>gpio1_8_ctrl1_1:ios_af_ctrl3[2]:D0</t>
    <phoneticPr fontId="3" type="noConversion"/>
  </si>
  <si>
    <t>cfg_data[2]</t>
    <phoneticPr fontId="3" type="noConversion"/>
  </si>
  <si>
    <t>MMC0_DATA0</t>
    <phoneticPr fontId="3" type="noConversion"/>
  </si>
  <si>
    <t>mmc0_data[0]</t>
    <phoneticPr fontId="3" type="noConversion"/>
  </si>
  <si>
    <t>mmc0_ctrl1_1:ios_mf_ctrl1[1]:D1</t>
    <phoneticPr fontId="3" type="noConversion"/>
  </si>
  <si>
    <t>MMC0的第0位数据信号</t>
    <phoneticPr fontId="3" type="noConversion"/>
  </si>
  <si>
    <t>jtag1_trst_n</t>
    <phoneticPr fontId="3" type="noConversion"/>
  </si>
  <si>
    <t>jtag1_ctrl1_1:ios_af_ctrl2[0]:D0</t>
    <phoneticPr fontId="3" type="noConversion"/>
  </si>
  <si>
    <t>JTAG1复位输入，Schmit输入</t>
    <phoneticPr fontId="3" type="noConversion"/>
  </si>
  <si>
    <t>pcm_di</t>
    <phoneticPr fontId="3" type="noConversion"/>
  </si>
  <si>
    <t>gpio1_9_ctrl1_1:ios_af_ctrl3[3]:D0</t>
    <phoneticPr fontId="3" type="noConversion"/>
  </si>
  <si>
    <t>cfg_data[3]</t>
    <phoneticPr fontId="3" type="noConversion"/>
  </si>
  <si>
    <t>MMC0_DATA1</t>
    <phoneticPr fontId="3" type="noConversion"/>
  </si>
  <si>
    <t>mmc0_data[1]</t>
    <phoneticPr fontId="3" type="noConversion"/>
  </si>
  <si>
    <t>jtag1_tms</t>
    <phoneticPr fontId="3" type="noConversion"/>
  </si>
  <si>
    <t>jtag1_ctrl1_1:ios_af_ctrl2[0]:D1</t>
    <phoneticPr fontId="3" type="noConversion"/>
  </si>
  <si>
    <t>JTAG1模式选择输入</t>
    <phoneticPr fontId="3" type="noConversion"/>
  </si>
  <si>
    <t>pcm_do</t>
    <phoneticPr fontId="3" type="noConversion"/>
  </si>
  <si>
    <t>gpio1_10_ctrl1_1:ios_af_ctrl3[4]:D0</t>
    <phoneticPr fontId="3" type="noConversion"/>
  </si>
  <si>
    <t>cfg_data[4]</t>
    <phoneticPr fontId="3" type="noConversion"/>
  </si>
  <si>
    <t>MMC0_DATA2</t>
    <phoneticPr fontId="3" type="noConversion"/>
  </si>
  <si>
    <t>mmc0_data[2]</t>
    <phoneticPr fontId="3" type="noConversion"/>
  </si>
  <si>
    <t>jtag1_tdi</t>
    <phoneticPr fontId="3" type="noConversion"/>
  </si>
  <si>
    <t>JTAG1数据输入</t>
    <phoneticPr fontId="3" type="noConversion"/>
  </si>
  <si>
    <t>gpio1_11_ctrl1_1:ios_af_ctrl3[5]:D0</t>
    <phoneticPr fontId="3" type="noConversion"/>
  </si>
  <si>
    <t>cfg_data[5]</t>
    <phoneticPr fontId="3" type="noConversion"/>
  </si>
  <si>
    <t>MMC0_DATA3</t>
    <phoneticPr fontId="3" type="noConversion"/>
  </si>
  <si>
    <t>mmc0_data[3]</t>
    <phoneticPr fontId="3" type="noConversion"/>
  </si>
  <si>
    <t>jtag1_tdo</t>
    <phoneticPr fontId="3" type="noConversion"/>
  </si>
  <si>
    <t>JTAG1数据输出</t>
    <phoneticPr fontId="3" type="noConversion"/>
  </si>
  <si>
    <t>gpio1_12_ctrl1_1:ios_af_ctrl3[6]:D0</t>
    <phoneticPr fontId="3" type="noConversion"/>
  </si>
  <si>
    <t>cfg_data[6]</t>
    <phoneticPr fontId="3" type="noConversion"/>
  </si>
  <si>
    <t>MMC0_CLK_FB_OUT</t>
    <phoneticPr fontId="3" type="noConversion"/>
  </si>
  <si>
    <t>MMC0反馈时钟输出，不出封装</t>
    <phoneticPr fontId="3" type="noConversion"/>
  </si>
  <si>
    <t>MMC0_CLK_FB_IN</t>
    <phoneticPr fontId="3" type="noConversion"/>
  </si>
  <si>
    <t>NA_CTRL</t>
    <phoneticPr fontId="3" type="noConversion"/>
  </si>
  <si>
    <t>MMC0反馈时钟输入，不出封装</t>
    <phoneticPr fontId="3" type="noConversion"/>
  </si>
  <si>
    <t>JTAG0（6个pin）</t>
    <phoneticPr fontId="3" type="noConversion"/>
  </si>
  <si>
    <t>JTAG0_TCK</t>
    <phoneticPr fontId="3" type="noConversion"/>
  </si>
  <si>
    <t>PDDUKW4D_V_HI_RET</t>
    <phoneticPr fontId="3" type="noConversion"/>
  </si>
  <si>
    <r>
      <t>jtag0</t>
    </r>
    <r>
      <rPr>
        <sz val="10"/>
        <rFont val="宋体"/>
        <family val="3"/>
        <charset val="134"/>
      </rPr>
      <t>时钟输入</t>
    </r>
    <phoneticPr fontId="3" type="noConversion"/>
  </si>
  <si>
    <t>abb_rst_n</t>
    <phoneticPr fontId="3" type="noConversion"/>
  </si>
  <si>
    <t>abb_ate_mode_ctrl1_1:ios_af_ctrl255[0]:D0</t>
    <phoneticPr fontId="3" type="noConversion"/>
  </si>
  <si>
    <t>叶知秋</t>
    <phoneticPr fontId="3" type="noConversion"/>
  </si>
  <si>
    <t>JTAG0_RTCK</t>
    <phoneticPr fontId="3" type="noConversion"/>
  </si>
  <si>
    <r>
      <t>jtag0</t>
    </r>
    <r>
      <rPr>
        <sz val="10"/>
        <rFont val="宋体"/>
        <family val="3"/>
        <charset val="134"/>
      </rPr>
      <t>时钟输出</t>
    </r>
    <phoneticPr fontId="3" type="noConversion"/>
  </si>
  <si>
    <t>JTAG0_TRST_N</t>
    <phoneticPr fontId="3" type="noConversion"/>
  </si>
  <si>
    <t>24MHz</t>
    <phoneticPr fontId="3" type="noConversion"/>
  </si>
  <si>
    <t>PDDUKW4DS_V_HI_RET</t>
    <phoneticPr fontId="3" type="noConversion"/>
  </si>
  <si>
    <t>1MHz</t>
    <phoneticPr fontId="3" type="noConversion"/>
  </si>
  <si>
    <r>
      <t>jtag0</t>
    </r>
    <r>
      <rPr>
        <sz val="10"/>
        <rFont val="宋体"/>
        <family val="3"/>
        <charset val="134"/>
      </rPr>
      <t>复位输入，</t>
    </r>
    <r>
      <rPr>
        <sz val="10"/>
        <rFont val="Arial"/>
        <family val="2"/>
      </rPr>
      <t>Schmit</t>
    </r>
    <r>
      <rPr>
        <sz val="10"/>
        <rFont val="宋体"/>
        <family val="3"/>
        <charset val="134"/>
      </rPr>
      <t>输入</t>
    </r>
    <phoneticPr fontId="3" type="noConversion"/>
  </si>
  <si>
    <t>JTAG0_TMS</t>
    <phoneticPr fontId="3" type="noConversion"/>
  </si>
  <si>
    <t>PU</t>
    <phoneticPr fontId="3" type="noConversion"/>
  </si>
  <si>
    <r>
      <t>jtag0</t>
    </r>
    <r>
      <rPr>
        <sz val="10"/>
        <rFont val="宋体"/>
        <family val="3"/>
        <charset val="134"/>
      </rPr>
      <t>模式选择输入</t>
    </r>
    <phoneticPr fontId="3" type="noConversion"/>
  </si>
  <si>
    <t>JTAG0_TDI</t>
    <phoneticPr fontId="3" type="noConversion"/>
  </si>
  <si>
    <r>
      <t>jtag0</t>
    </r>
    <r>
      <rPr>
        <sz val="10"/>
        <rFont val="宋体"/>
        <family val="3"/>
        <charset val="134"/>
      </rPr>
      <t>数据输入</t>
    </r>
    <phoneticPr fontId="3" type="noConversion"/>
  </si>
  <si>
    <t>JTAG0_TDO</t>
    <phoneticPr fontId="3" type="noConversion"/>
  </si>
  <si>
    <r>
      <t>jtag0</t>
    </r>
    <r>
      <rPr>
        <sz val="10"/>
        <rFont val="宋体"/>
        <family val="3"/>
        <charset val="134"/>
      </rPr>
      <t>数据输出</t>
    </r>
    <phoneticPr fontId="3" type="noConversion"/>
  </si>
  <si>
    <t>GPIO/GSBI_0(16pin）</t>
    <phoneticPr fontId="3" type="noConversion"/>
  </si>
  <si>
    <t>GPIO_2_16</t>
    <phoneticPr fontId="3" type="noConversion"/>
  </si>
  <si>
    <t>PD</t>
    <phoneticPr fontId="3" type="noConversion"/>
  </si>
  <si>
    <t>IOM_CTRL33</t>
    <phoneticPr fontId="3" type="noConversion"/>
  </si>
  <si>
    <t>gpio2[16]</t>
    <phoneticPr fontId="3" type="noConversion"/>
  </si>
  <si>
    <t>gpio2_16_ctrl1_1:ios_mf_ctrl3[0]:D0</t>
    <phoneticPr fontId="3" type="noConversion"/>
  </si>
  <si>
    <t>uart1_txd</t>
    <phoneticPr fontId="3" type="noConversion"/>
  </si>
  <si>
    <t>uart1_ctrl1_1:ios_af_ctrl4[0]:D0</t>
    <phoneticPr fontId="3" type="noConversion"/>
  </si>
  <si>
    <t>lcd_cs_n</t>
    <phoneticPr fontId="3" type="noConversion"/>
  </si>
  <si>
    <t>lcd_ctrl1_1:ios_af_ctrl5[0]:D0</t>
    <phoneticPr fontId="3" type="noConversion"/>
  </si>
  <si>
    <t>i2c1_sda</t>
    <phoneticPr fontId="3" type="noConversion"/>
  </si>
  <si>
    <t>i2c1_ctrl2_2:ios_af_ctrl5[10]:D1</t>
    <phoneticPr fontId="3" type="noConversion"/>
  </si>
  <si>
    <t>1MHz</t>
    <phoneticPr fontId="3" type="noConversion"/>
  </si>
  <si>
    <t>ptm_clk</t>
    <phoneticPr fontId="50" type="noConversion"/>
  </si>
  <si>
    <t>CoreSight 调试时钟</t>
    <phoneticPr fontId="3" type="noConversion"/>
  </si>
  <si>
    <t>cfg_clk</t>
    <phoneticPr fontId="3" type="noConversion"/>
  </si>
  <si>
    <t>122.88MHz</t>
    <phoneticPr fontId="3" type="noConversion"/>
  </si>
  <si>
    <t>王润泽</t>
    <phoneticPr fontId="3" type="noConversion"/>
  </si>
  <si>
    <t>确认</t>
    <phoneticPr fontId="3" type="noConversion"/>
  </si>
  <si>
    <t>宋占坤
刘勇</t>
    <phoneticPr fontId="3" type="noConversion"/>
  </si>
  <si>
    <t>Y</t>
    <phoneticPr fontId="3" type="noConversion"/>
  </si>
  <si>
    <t>MUX_D</t>
    <phoneticPr fontId="3" type="noConversion"/>
  </si>
  <si>
    <t>gpio2_17_ctrl1_1:ios_mf_ctrl3[1]:D0</t>
    <phoneticPr fontId="3" type="noConversion"/>
  </si>
  <si>
    <t>uart1_rxd</t>
    <phoneticPr fontId="3" type="noConversion"/>
  </si>
  <si>
    <t>lcd_rst_n</t>
    <phoneticPr fontId="3" type="noConversion"/>
  </si>
  <si>
    <t>i2c1_scl</t>
    <phoneticPr fontId="3" type="noConversion"/>
  </si>
  <si>
    <t>ptm_ctl</t>
    <phoneticPr fontId="50" type="noConversion"/>
  </si>
  <si>
    <r>
      <t xml:space="preserve">CoreSight </t>
    </r>
    <r>
      <rPr>
        <sz val="10"/>
        <rFont val="宋体"/>
        <family val="3"/>
        <charset val="134"/>
      </rPr>
      <t>随路触发指示信号</t>
    </r>
    <phoneticPr fontId="3" type="noConversion"/>
  </si>
  <si>
    <t>cfg_en</t>
    <phoneticPr fontId="3" type="noConversion"/>
  </si>
  <si>
    <t>1.8VD(P3)</t>
    <phoneticPr fontId="3" type="noConversion"/>
  </si>
  <si>
    <t>gpio2_18_ctrl1_1:ios_mf_ctrl3[2]:D0</t>
    <phoneticPr fontId="3" type="noConversion"/>
  </si>
  <si>
    <t>uart2_ctrl2_1:ios_af_ctrl4[1]:D0</t>
    <phoneticPr fontId="3" type="noConversion"/>
  </si>
  <si>
    <t>hs_uart_rts_n</t>
    <phoneticPr fontId="3" type="noConversion"/>
  </si>
  <si>
    <t>hs_uart1_ctrl1_1:ios_af_ctrl5[1]:D0</t>
    <phoneticPr fontId="3" type="noConversion"/>
  </si>
  <si>
    <t>4MHz</t>
    <phoneticPr fontId="3" type="noConversion"/>
  </si>
  <si>
    <t>spi0_cs0_n</t>
    <phoneticPr fontId="3" type="noConversion"/>
  </si>
  <si>
    <t>spi0_ctrl2_2:ios_af_ctrl5[11]:D0</t>
    <phoneticPr fontId="3" type="noConversion"/>
  </si>
  <si>
    <t>ptm_do[0]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</si>
  <si>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bit0</t>
    </r>
    <phoneticPr fontId="3" type="noConversion"/>
  </si>
  <si>
    <t>cfg_rw</t>
    <phoneticPr fontId="3" type="noConversion"/>
  </si>
  <si>
    <t>gpio2_19_ctrl1_1:ios_mf_ctrl3[3]:D0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</si>
  <si>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</si>
  <si>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cfg_addr[0]</t>
    <phoneticPr fontId="3" type="noConversion"/>
  </si>
  <si>
    <t>gpio2_20_ctrl1_1:ios_mf_ctrl3[4]:D0</t>
    <phoneticPr fontId="3" type="noConversion"/>
  </si>
  <si>
    <t>uart3_ctrl2_1:ios_af_ctrl4[2]:D0</t>
    <phoneticPr fontId="3" type="noConversion"/>
  </si>
  <si>
    <t>hs_uart_txd</t>
    <phoneticPr fontId="3" type="noConversion"/>
  </si>
  <si>
    <t>hs_uart2_ctrl1_1:ios_af_ctrl5[2]:D0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</si>
  <si>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</si>
  <si>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gpio2_21_ctrl1_1:ios_mf_ctrl3[5]:D0</t>
    <phoneticPr fontId="3" type="noConversion"/>
  </si>
  <si>
    <t>hs_uart_rxd</t>
    <phoneticPr fontId="3" type="noConversion"/>
  </si>
  <si>
    <t>spi0_4line_ctrl2_2:ios_af_ctrl5[12]:D0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</si>
  <si>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</si>
  <si>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efusec_data_pad[27]</t>
    <phoneticPr fontId="3" type="noConversion"/>
  </si>
  <si>
    <t>250MHz</t>
    <phoneticPr fontId="3" type="noConversion"/>
  </si>
  <si>
    <t>gpio2_22_ctrl1_1:ios_mf_ctrl3[6]:D0</t>
    <phoneticPr fontId="3" type="noConversion"/>
  </si>
  <si>
    <t>i2c0_sda</t>
    <phoneticPr fontId="3" type="noConversion"/>
  </si>
  <si>
    <t>i2c0_ctrl2_1:ios_af_ctrl4[3]:D1</t>
    <phoneticPr fontId="3" type="noConversion"/>
  </si>
  <si>
    <t>uart2_ctrl2_2:ios_af_ctrl5[3]:D0</t>
    <phoneticPr fontId="3" type="noConversion"/>
  </si>
  <si>
    <t>spi0_cs1_n</t>
    <phoneticPr fontId="3" type="noConversion"/>
  </si>
  <si>
    <t>spi0_cs1_ctrl3_3:ios_af_ctrl5[13]:D0</t>
    <phoneticPr fontId="3" type="noConversion"/>
  </si>
  <si>
    <t>50MHz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</si>
  <si>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</si>
  <si>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250MHz</t>
    <phoneticPr fontId="3" type="noConversion"/>
  </si>
  <si>
    <t>gpio2_23_ctrl1_1:ios_mf_ctrl3[7]:D0</t>
    <phoneticPr fontId="3" type="noConversion"/>
  </si>
  <si>
    <t>i2c0_scl</t>
    <phoneticPr fontId="3" type="noConversion"/>
  </si>
  <si>
    <t>spi1_cs1_n</t>
    <phoneticPr fontId="3" type="noConversion"/>
  </si>
  <si>
    <t>spi1_cs1_ctrl3_3:ios_af_ctrl5[14]:D0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</si>
  <si>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</si>
  <si>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gpio2_24_ctrl1_1:ios_mf_ctrl3[8]:D0</t>
    <phoneticPr fontId="3" type="noConversion"/>
  </si>
  <si>
    <t>pcm_ctrl2_1:ios_af_ctrl4[4]:D0</t>
    <phoneticPr fontId="3" type="noConversion"/>
  </si>
  <si>
    <t>spi0_cs1_n</t>
    <phoneticPr fontId="3" type="noConversion"/>
  </si>
  <si>
    <t>spi0_cs1_ctrl3_2:ios_af_ctrl5[4]:D0</t>
    <phoneticPr fontId="3" type="noConversion"/>
  </si>
  <si>
    <r>
      <t>antpa_sel[21]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</si>
  <si>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antpa_sel21_ctrl4_2:ios_af_ctrl5[15]:D0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</si>
  <si>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</si>
  <si>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efuse_en_ctrl1_1:ios_af_ctrl254[0]:D0</t>
    <phoneticPr fontId="3" type="noConversion"/>
  </si>
  <si>
    <t>gpio2_25_ctrl1_1:ios_mf_ctrl3[9]:D0</t>
    <phoneticPr fontId="3" type="noConversion"/>
  </si>
  <si>
    <t>spi1_cs1_n</t>
    <phoneticPr fontId="3" type="noConversion"/>
  </si>
  <si>
    <t>spi1_cs1_ctrl3_2:ios_af_ctrl5[5]:D0</t>
    <phoneticPr fontId="3" type="noConversion"/>
  </si>
  <si>
    <t>antpa_sel22_ctrl4_2:ios_af_ctrl5[16]:D0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</si>
  <si>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bit7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</si>
  <si>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gpio2_26_ctrl1_1:ios_mf_ctrl3[10]:D0</t>
    <phoneticPr fontId="3" type="noConversion"/>
  </si>
  <si>
    <t>i2c1_ctrl2_1:ios_af_ctrl5[6]:D1</t>
    <phoneticPr fontId="3" type="noConversion"/>
  </si>
  <si>
    <t>antpa_sel23_ctrl4_2:ios_af_ctrl5[17]:D0</t>
    <phoneticPr fontId="3" type="noConversion"/>
  </si>
  <si>
    <t>ptm_do[8]</t>
    <phoneticPr fontId="3" type="noConversion"/>
  </si>
  <si>
    <t>80MHz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</si>
  <si>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bit8</t>
    </r>
    <phoneticPr fontId="3" type="noConversion"/>
  </si>
  <si>
    <t>efusec_addr_pad[0]</t>
    <phoneticPr fontId="3" type="noConversion"/>
  </si>
  <si>
    <t>gpio2_27_ctrl1_1:ios_mf_ctrl3[11]:D0</t>
    <phoneticPr fontId="3" type="noConversion"/>
  </si>
  <si>
    <t>antpa_sel[24]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</si>
  <si>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</si>
  <si>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t>gpio2_28_ctrl1_1:ios_mf_ctrl3[12]:D0</t>
    <phoneticPr fontId="3" type="noConversion"/>
  </si>
  <si>
    <t>i2c0_ctrl2_2:ios_af_ctrl5[7]:D1</t>
    <phoneticPr fontId="3" type="noConversion"/>
  </si>
  <si>
    <t>wlan_bt_ldo_en</t>
    <phoneticPr fontId="3" type="noConversion"/>
  </si>
  <si>
    <t>wlan_bt_ldo_en_ctrl5_2:ios_af_ctrl5[19]:D0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</si>
  <si>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bit10</t>
    </r>
    <r>
      <rPr>
        <sz val="12"/>
        <rFont val="宋体"/>
        <family val="3"/>
        <charset val="134"/>
      </rPr>
      <t/>
    </r>
  </si>
  <si>
    <t>gpio2_29_ctrl1_1:ios_mf_ctrl3[13]:D0</t>
    <phoneticPr fontId="3" type="noConversion"/>
  </si>
  <si>
    <t>wlan_bt_tx_active</t>
    <phoneticPr fontId="3" type="noConversion"/>
  </si>
  <si>
    <t>wlan_bt_tx_actv_ctrl3_2:ios_af_ctrl5[20]:D0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</si>
  <si>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bit11</t>
    </r>
    <r>
      <rPr>
        <sz val="12"/>
        <rFont val="宋体"/>
        <family val="3"/>
        <charset val="134"/>
      </rPr>
      <t/>
    </r>
  </si>
  <si>
    <t>B</t>
    <phoneticPr fontId="3" type="noConversion"/>
  </si>
  <si>
    <t>gpio2_30_ctrl1_1:ios_mf_ctrl3[14]:D0</t>
    <phoneticPr fontId="3" type="noConversion"/>
  </si>
  <si>
    <t>gp_pwm1_ctrl1_1:ios_af_ctrl5[8]:D0</t>
    <phoneticPr fontId="3" type="noConversion"/>
  </si>
  <si>
    <t>lte_tx_actv_ctrl5_2:ios_af_ctrl5[21]:D0</t>
    <phoneticPr fontId="3" type="noConversion"/>
  </si>
  <si>
    <t>80MHz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</si>
  <si>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bit12</t>
    </r>
    <r>
      <rPr>
        <sz val="12"/>
        <rFont val="宋体"/>
        <family val="3"/>
        <charset val="134"/>
      </rPr>
      <t/>
    </r>
  </si>
  <si>
    <t>cfg_data[0]</t>
    <phoneticPr fontId="3" type="noConversion"/>
  </si>
  <si>
    <t>gpio2_31_ctrl1_1:ios_mf_ctrl3[15]:D0</t>
    <phoneticPr fontId="3" type="noConversion"/>
  </si>
  <si>
    <t>gp_pwm2_ctrl1_1:ios_af_ctrl5[9]:D0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</si>
  <si>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bit13</t>
    </r>
    <r>
      <rPr>
        <sz val="12"/>
        <rFont val="宋体"/>
        <family val="3"/>
        <charset val="134"/>
      </rPr>
      <t/>
    </r>
  </si>
  <si>
    <t>cfg_data[1]</t>
    <phoneticPr fontId="3" type="noConversion"/>
  </si>
  <si>
    <t>GPIO/GSBI_1(7pin）</t>
    <phoneticPr fontId="3" type="noConversion"/>
  </si>
  <si>
    <t>GPIO_3_00</t>
    <phoneticPr fontId="3" type="noConversion"/>
  </si>
  <si>
    <t>IOM_CTRL49</t>
    <phoneticPr fontId="3" type="noConversion"/>
  </si>
  <si>
    <t>gpio3[0]</t>
    <phoneticPr fontId="3" type="noConversion"/>
  </si>
  <si>
    <t>gpio3_0_ctrl1_1:ios_mf_ctrl4[0]:D0</t>
    <phoneticPr fontId="3" type="noConversion"/>
  </si>
  <si>
    <t>spi1_cs0_n</t>
    <phoneticPr fontId="3" type="noConversion"/>
  </si>
  <si>
    <t>spi1_ctrl1_1:ios_af_ctrl6[0]:D0</t>
    <phoneticPr fontId="3" type="noConversion"/>
  </si>
  <si>
    <t>uart1_dcd_n</t>
    <phoneticPr fontId="3" type="noConversion"/>
  </si>
  <si>
    <t>uart1_8line_ctrl2_1:ios_af_ctrl7[0]:D0</t>
    <phoneticPr fontId="3" type="noConversion"/>
  </si>
  <si>
    <t>clk1_19p2</t>
    <phoneticPr fontId="3" type="noConversion"/>
  </si>
  <si>
    <t>clk1_19p2_ctrl1_1:ios_af_ctrl7[3]:D0</t>
    <phoneticPr fontId="3" type="noConversion"/>
  </si>
  <si>
    <t>蓝牙/GPS工作时钟</t>
    <phoneticPr fontId="3" type="noConversion"/>
  </si>
  <si>
    <t>antpa_sel21_ctrl4_1:ios_af_ctrl7[9]:D0</t>
    <phoneticPr fontId="3" type="noConversion"/>
  </si>
  <si>
    <t>cfg_data[7]</t>
    <phoneticPr fontId="3" type="noConversion"/>
  </si>
  <si>
    <t>王润泽</t>
    <phoneticPr fontId="3" type="noConversion"/>
  </si>
  <si>
    <t>宋占坤
刘勇</t>
    <phoneticPr fontId="3" type="noConversion"/>
  </si>
  <si>
    <t>gpio3_1_ctrl1_1:ios_mf_ctrl4[1]:D0</t>
    <phoneticPr fontId="3" type="noConversion"/>
  </si>
  <si>
    <t>uart1_dsr_n</t>
    <phoneticPr fontId="3" type="noConversion"/>
  </si>
  <si>
    <t>uicc_dp</t>
    <phoneticPr fontId="3" type="noConversion"/>
  </si>
  <si>
    <t>uicc_ctrl1_1:ios_af_ctrl7[4]:D0</t>
    <phoneticPr fontId="3" type="noConversion"/>
  </si>
  <si>
    <t>12MHz</t>
    <phoneticPr fontId="3" type="noConversion"/>
  </si>
  <si>
    <t>antpa_sel22_ctrl4_1:ios_af_ctrl7[10]:D0</t>
    <phoneticPr fontId="3" type="noConversion"/>
  </si>
  <si>
    <r>
      <rPr>
        <sz val="10"/>
        <rFont val="宋体"/>
        <family val="3"/>
        <charset val="134"/>
      </rPr>
      <t>来自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冗余信息行选择信号（高有效）</t>
    </r>
    <phoneticPr fontId="3" type="noConversion"/>
  </si>
  <si>
    <t>ch0_rxa_en</t>
    <phoneticPr fontId="3" type="noConversion"/>
  </si>
  <si>
    <t>gpio3_2_ctrl1_1:ios_mf_ctrl4[2]:D0</t>
    <phoneticPr fontId="3" type="noConversion"/>
  </si>
  <si>
    <t>uicc_dm</t>
    <phoneticPr fontId="3" type="noConversion"/>
  </si>
  <si>
    <t>antpa_sel23_ctrl4_1:ios_af_ctrl7[11]:D0</t>
    <phoneticPr fontId="3" type="noConversion"/>
  </si>
  <si>
    <t>低功耗使能信号（高有效）</t>
    <phoneticPr fontId="3" type="noConversion"/>
  </si>
  <si>
    <t>ch0_rxb_en</t>
    <phoneticPr fontId="3" type="noConversion"/>
  </si>
  <si>
    <t>gpio3_3_ctrl1_1:ios_mf_ctrl4[3]:D0</t>
    <phoneticPr fontId="3" type="noConversion"/>
  </si>
  <si>
    <t>spi1_4line_ctrl1_1:ios_af_ctrl6[1]:D0</t>
    <phoneticPr fontId="3" type="noConversion"/>
  </si>
  <si>
    <t>gp_pwm3_ctrl1_1:ios_af_ctrl7[5]:D0</t>
    <phoneticPr fontId="3" type="noConversion"/>
  </si>
  <si>
    <t>antpa_sel[24]</t>
    <phoneticPr fontId="3" type="noConversion"/>
  </si>
  <si>
    <t>antpa_sel24_ctrl4_1:ios_af_ctrl7[12]:D0</t>
    <phoneticPr fontId="3" type="noConversion"/>
  </si>
  <si>
    <r>
      <t>Margin</t>
    </r>
    <r>
      <rPr>
        <sz val="10"/>
        <rFont val="宋体"/>
        <family val="3"/>
        <charset val="134"/>
      </rPr>
      <t>读有效信号（高有效）</t>
    </r>
    <phoneticPr fontId="3" type="noConversion"/>
  </si>
  <si>
    <t>gpio3_4_ctrl1_1:ios_mf_ctrl4[4]:D0</t>
    <phoneticPr fontId="3" type="noConversion"/>
  </si>
  <si>
    <t>spi0_cs1_ctrl3_1:ios_af_ctrl6[2]:D0</t>
    <phoneticPr fontId="3" type="noConversion"/>
  </si>
  <si>
    <t>uart1_cts_n</t>
    <phoneticPr fontId="3" type="noConversion"/>
  </si>
  <si>
    <t>uart1_4line_ctrl2_1:ios_af_ctrl7[1]:D0</t>
    <phoneticPr fontId="3" type="noConversion"/>
  </si>
  <si>
    <t>用于数据流控或者睡眠控制</t>
    <phoneticPr fontId="3" type="noConversion"/>
  </si>
  <si>
    <t>lte_frm_sync_ctrl5_2:ios_af_ctrl7[6]:D0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</si>
  <si>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bit14</t>
    </r>
    <r>
      <rPr>
        <sz val="12"/>
        <rFont val="宋体"/>
        <family val="3"/>
        <charset val="134"/>
      </rPr>
      <t/>
    </r>
  </si>
  <si>
    <t>High to turn “ON” the array for read or program access</t>
    <phoneticPr fontId="3" type="noConversion"/>
  </si>
  <si>
    <t>gpio3_5_ctrl1_1:ios_mf_ctrl4[5]:D0</t>
    <phoneticPr fontId="3" type="noConversion"/>
  </si>
  <si>
    <t>spi1_cs1_ctrl3_1:ios_af_ctrl6[3]:D0</t>
    <phoneticPr fontId="3" type="noConversion"/>
  </si>
  <si>
    <t>uart1_rts_n</t>
    <phoneticPr fontId="3" type="noConversion"/>
  </si>
  <si>
    <t>wlan_bt_rx_priority_ctrl5_2:ios_af_ctrl7[7]:D0</t>
    <phoneticPr fontId="3" type="noConversion"/>
  </si>
  <si>
    <r>
      <t xml:space="preserve">CoreSight </t>
    </r>
    <r>
      <rPr>
        <sz val="10"/>
        <rFont val="宋体"/>
        <family val="3"/>
        <charset val="134"/>
      </rPr>
      <t>调试输出数据</t>
    </r>
    <r>
      <rPr>
        <sz val="10"/>
        <rFont val="Arial"/>
        <family val="2"/>
      </rPr>
      <t>bit15</t>
    </r>
    <r>
      <rPr>
        <sz val="12"/>
        <rFont val="宋体"/>
        <family val="3"/>
        <charset val="134"/>
      </rPr>
      <t/>
    </r>
  </si>
  <si>
    <t>烧写电源开关控制信号（高有效）</t>
    <phoneticPr fontId="3" type="noConversion"/>
  </si>
  <si>
    <t>et_tx_en</t>
    <phoneticPr fontId="3" type="noConversion"/>
  </si>
  <si>
    <t>gpio3_6_ctrl1_1:ios_mf_ctrl4[6]:D0</t>
    <phoneticPr fontId="3" type="noConversion"/>
  </si>
  <si>
    <t>gp_pwm0</t>
    <phoneticPr fontId="3" type="noConversion"/>
  </si>
  <si>
    <t>gp_pwm0_ctrl1_1:ios_af_ctrl6[4]:D0</t>
    <phoneticPr fontId="3" type="noConversion"/>
  </si>
  <si>
    <t>clk0_19p2</t>
    <phoneticPr fontId="3" type="noConversion"/>
  </si>
  <si>
    <t>clk0_19p2_ctrl1_1:ios_af_ctrl7[2]:D0</t>
    <phoneticPr fontId="3" type="noConversion"/>
  </si>
  <si>
    <t>lte_rx_actv_ctrl5_2:ios_af_ctrl7[8]:D0</t>
    <phoneticPr fontId="3" type="noConversion"/>
  </si>
  <si>
    <t>tcssi</t>
    <phoneticPr fontId="3" type="noConversion"/>
  </si>
  <si>
    <t>tcssi_ctrl1_1:ios_af_ctrl7[13]:D0</t>
    <phoneticPr fontId="3" type="noConversion"/>
  </si>
  <si>
    <t>High to turn “ON” sense amplifier and load data into latch</t>
    <phoneticPr fontId="3" type="noConversion"/>
  </si>
  <si>
    <t>ch1_tcxo_clk</t>
    <phoneticPr fontId="3" type="noConversion"/>
  </si>
  <si>
    <t>RF线控：CH0 FEM(6pin）</t>
    <phoneticPr fontId="3" type="noConversion"/>
  </si>
  <si>
    <t>CH0_RF_RESETN</t>
    <phoneticPr fontId="3" type="noConversion"/>
  </si>
  <si>
    <t>LVCMOS</t>
    <phoneticPr fontId="3" type="noConversion"/>
  </si>
  <si>
    <t>IOM_CTRL56</t>
    <phoneticPr fontId="3" type="noConversion"/>
  </si>
  <si>
    <t>ch0_rf_ctrl1_1:ios_mf_ctrl5[0]:D0</t>
    <phoneticPr fontId="3" type="noConversion"/>
  </si>
  <si>
    <r>
      <t>CH0</t>
    </r>
    <r>
      <rPr>
        <sz val="10"/>
        <rFont val="宋体"/>
        <family val="3"/>
        <charset val="134"/>
      </rPr>
      <t>射频</t>
    </r>
    <r>
      <rPr>
        <sz val="10"/>
        <rFont val="Arial"/>
        <family val="2"/>
      </rPr>
      <t>TX</t>
    </r>
    <r>
      <rPr>
        <sz val="10"/>
        <rFont val="宋体"/>
        <family val="3"/>
        <charset val="134"/>
      </rPr>
      <t>通道复位</t>
    </r>
    <phoneticPr fontId="3" type="noConversion"/>
  </si>
  <si>
    <t>gpio1[13]</t>
    <phoneticPr fontId="3" type="noConversion"/>
  </si>
  <si>
    <t>gpio1_13_ctrl1_1:ios_af_ctrl8[0]:D0</t>
    <phoneticPr fontId="3" type="noConversion"/>
  </si>
  <si>
    <t>wlan_bt_ldo_en_ctrl5_3:ios_af_ctrl9[1]:D0</t>
    <phoneticPr fontId="3" type="noConversion"/>
  </si>
  <si>
    <t>lte_mod4_sys_sync</t>
    <phoneticPr fontId="3" type="noConversion"/>
  </si>
  <si>
    <t>lte_mod4_sys_sync_ctrl2_1:ios_af_ctrl9[7]:D0</t>
    <phoneticPr fontId="3" type="noConversion"/>
  </si>
  <si>
    <r>
      <rPr>
        <sz val="10"/>
        <rFont val="宋体"/>
        <family val="3"/>
        <charset val="134"/>
      </rPr>
      <t>中继线控</t>
    </r>
    <r>
      <rPr>
        <sz val="10"/>
        <rFont val="Arial"/>
        <family val="2"/>
      </rPr>
      <t>0</t>
    </r>
    <phoneticPr fontId="3" type="noConversion"/>
  </si>
  <si>
    <t>efusec_data_pad[0]</t>
    <phoneticPr fontId="3" type="noConversion"/>
  </si>
  <si>
    <t>ch0_rx_clk</t>
    <phoneticPr fontId="3" type="noConversion"/>
  </si>
  <si>
    <t>陆宏伟</t>
    <phoneticPr fontId="3" type="noConversion"/>
  </si>
  <si>
    <t>温馨</t>
    <phoneticPr fontId="3" type="noConversion"/>
  </si>
  <si>
    <t>CH0_RF_SSI</t>
    <phoneticPr fontId="3" type="noConversion"/>
  </si>
  <si>
    <r>
      <t xml:space="preserve">CH0 </t>
    </r>
    <r>
      <rPr>
        <sz val="10"/>
        <rFont val="宋体"/>
        <family val="3"/>
        <charset val="134"/>
      </rPr>
      <t>射频线控</t>
    </r>
    <r>
      <rPr>
        <sz val="10"/>
        <rFont val="Arial"/>
        <family val="2"/>
      </rPr>
      <t>SSI0</t>
    </r>
    <r>
      <rPr>
        <sz val="10"/>
        <rFont val="宋体"/>
        <family val="3"/>
        <charset val="134"/>
      </rPr>
      <t>接口信号</t>
    </r>
    <phoneticPr fontId="3" type="noConversion"/>
  </si>
  <si>
    <t>gpio1_14_ctrl1_1:ios_af_ctrl8[1]:D0</t>
    <phoneticPr fontId="3" type="noConversion"/>
  </si>
  <si>
    <t>lte_multi_sys_sync</t>
    <phoneticPr fontId="3" type="noConversion"/>
  </si>
  <si>
    <t>lte_multi_sys_sync_ctrl2_1:ios_af_ctrl9[8]:D0</t>
    <phoneticPr fontId="3" type="noConversion"/>
  </si>
  <si>
    <t>ch0_rx_vld</t>
    <phoneticPr fontId="3" type="noConversion"/>
  </si>
  <si>
    <t>CH0_RF_TCVR_ON</t>
    <phoneticPr fontId="3" type="noConversion"/>
  </si>
  <si>
    <r>
      <t>CH0</t>
    </r>
    <r>
      <rPr>
        <sz val="10"/>
        <rFont val="宋体"/>
        <family val="3"/>
        <charset val="134"/>
      </rPr>
      <t>射频</t>
    </r>
    <r>
      <rPr>
        <sz val="10"/>
        <rFont val="Arial"/>
        <family val="2"/>
      </rPr>
      <t>RX</t>
    </r>
    <r>
      <rPr>
        <sz val="10"/>
        <rFont val="宋体"/>
        <family val="3"/>
        <charset val="134"/>
      </rPr>
      <t>通道使能</t>
    </r>
    <phoneticPr fontId="3" type="noConversion"/>
  </si>
  <si>
    <t>gpio1_15_ctrl1_1:ios_af_ctrl8[2]:D0</t>
    <phoneticPr fontId="3" type="noConversion"/>
  </si>
  <si>
    <t>lte_tx_actv_ctrl5_3:ios_af_ctrl9[2]:D0</t>
    <phoneticPr fontId="3" type="noConversion"/>
  </si>
  <si>
    <t>gpio1_16_ctrl1_1:ios_mf_ctrl5[1]:D0</t>
    <phoneticPr fontId="3" type="noConversion"/>
  </si>
  <si>
    <t>et_mode</t>
    <phoneticPr fontId="3" type="noConversion"/>
  </si>
  <si>
    <t>et_mode_ctrl2_1:ios_af_ctrl8[3]:D0</t>
    <phoneticPr fontId="3" type="noConversion"/>
  </si>
  <si>
    <r>
      <t>ET PMU</t>
    </r>
    <r>
      <rPr>
        <sz val="10"/>
        <rFont val="宋体"/>
        <family val="3"/>
        <charset val="134"/>
      </rPr>
      <t>模式控制信号</t>
    </r>
    <phoneticPr fontId="3" type="noConversion"/>
  </si>
  <si>
    <t>ch0_apt_pdm</t>
    <phoneticPr fontId="3" type="noConversion"/>
  </si>
  <si>
    <t>ch0_apt_pdm_ctrl1_1:ios_af_ctrl9[0]:D0</t>
    <phoneticPr fontId="3" type="noConversion"/>
  </si>
  <si>
    <r>
      <t>PDM</t>
    </r>
    <r>
      <rPr>
        <sz val="10"/>
        <rFont val="宋体"/>
        <family val="3"/>
        <charset val="134"/>
      </rPr>
      <t>信号，用于调节</t>
    </r>
    <r>
      <rPr>
        <sz val="10"/>
        <rFont val="Arial"/>
        <family val="2"/>
      </rPr>
      <t>CH0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>PA</t>
    </r>
    <r>
      <rPr>
        <sz val="10"/>
        <rFont val="宋体"/>
        <family val="3"/>
        <charset val="134"/>
      </rPr>
      <t>的供电电压</t>
    </r>
    <phoneticPr fontId="3" type="noConversion"/>
  </si>
  <si>
    <t>lte_frm_sync_ctrl5_3:ios_af_ctrl9[3]:D0</t>
    <phoneticPr fontId="3" type="noConversion"/>
  </si>
  <si>
    <t>antpa_sel21_ctrl4_3:ios_af_ctrl9[9]:D0</t>
    <phoneticPr fontId="3" type="noConversion"/>
  </si>
  <si>
    <t>gpio1_17_ctrl1_1:ios_mf_ctrl5[2]:D0</t>
    <phoneticPr fontId="3" type="noConversion"/>
  </si>
  <si>
    <t>ch0_mipi_clk</t>
    <phoneticPr fontId="3" type="noConversion"/>
  </si>
  <si>
    <t>ch0_mipi_ctrl1_1:ios_af_ctrl8[4]:D0</t>
    <phoneticPr fontId="3" type="noConversion"/>
  </si>
  <si>
    <t>wlan_bt_rx_priority_ctrl5_3:ios_af_ctrl9[4]:D0</t>
    <phoneticPr fontId="3" type="noConversion"/>
  </si>
  <si>
    <t>antpa_sel22_ctrl4_3:ios_af_ctrl9[10]:D0</t>
    <phoneticPr fontId="3" type="noConversion"/>
  </si>
  <si>
    <t>gpio1_18_ctrl1_1:ios_mf_ctrl5[3]:D0</t>
    <phoneticPr fontId="3" type="noConversion"/>
  </si>
  <si>
    <t>ch0_mipi_data</t>
    <phoneticPr fontId="3" type="noConversion"/>
  </si>
  <si>
    <t>lte_rx_actv_ctrl5_3:ios_af_ctrl9[5]:D0</t>
    <phoneticPr fontId="3" type="noConversion"/>
  </si>
  <si>
    <t>antpa_sel23_ctrl4_3:ios_af_ctrl9[11]:D0</t>
    <phoneticPr fontId="3" type="noConversion"/>
  </si>
  <si>
    <t>efusec_data_pad[5]</t>
    <phoneticPr fontId="3" type="noConversion"/>
  </si>
  <si>
    <t>RF线控：CH1 FEM(6pin）</t>
    <phoneticPr fontId="3" type="noConversion"/>
  </si>
  <si>
    <t>IOM_CTRL62</t>
    <phoneticPr fontId="3" type="noConversion"/>
  </si>
  <si>
    <t>ch1_rf_ctrl1_1:ios_mf_ctrl6[0]:D0</t>
    <phoneticPr fontId="3" type="noConversion"/>
  </si>
  <si>
    <r>
      <t>CH1</t>
    </r>
    <r>
      <rPr>
        <sz val="10"/>
        <rFont val="宋体"/>
        <family val="3"/>
        <charset val="134"/>
      </rPr>
      <t>射频</t>
    </r>
    <r>
      <rPr>
        <sz val="10"/>
        <rFont val="Arial"/>
        <family val="2"/>
      </rPr>
      <t>TX</t>
    </r>
    <r>
      <rPr>
        <sz val="10"/>
        <rFont val="宋体"/>
        <family val="3"/>
        <charset val="134"/>
      </rPr>
      <t>通道复位</t>
    </r>
    <phoneticPr fontId="3" type="noConversion"/>
  </si>
  <si>
    <t>gpio1[19]</t>
    <phoneticPr fontId="3" type="noConversion"/>
  </si>
  <si>
    <t>wlan_bt_ldo_en_ctrl5_4:ios_af_ctrl11[1]:D0</t>
    <phoneticPr fontId="3" type="noConversion"/>
  </si>
  <si>
    <t>lte_mod4_sys_sync_ctrl2_2:ios_af_ctrl11[7]:D0</t>
    <phoneticPr fontId="3" type="noConversion"/>
  </si>
  <si>
    <t>ch0_rxa_data[0]</t>
    <phoneticPr fontId="3" type="noConversion"/>
  </si>
  <si>
    <r>
      <t>CH1</t>
    </r>
    <r>
      <rPr>
        <sz val="10"/>
        <rFont val="宋体"/>
        <family val="3"/>
        <charset val="134"/>
      </rPr>
      <t>射频线控</t>
    </r>
    <r>
      <rPr>
        <sz val="10"/>
        <rFont val="Arial"/>
        <family val="2"/>
      </rPr>
      <t>SSI1</t>
    </r>
    <r>
      <rPr>
        <sz val="10"/>
        <rFont val="宋体"/>
        <family val="3"/>
        <charset val="134"/>
      </rPr>
      <t>接口信号</t>
    </r>
    <phoneticPr fontId="3" type="noConversion"/>
  </si>
  <si>
    <t>lte_multi_sys_sync_ctrl2_2:ios_af_ctrl11[8]:D0</t>
    <phoneticPr fontId="3" type="noConversion"/>
  </si>
  <si>
    <t>ch0_rxa_data[1]</t>
    <phoneticPr fontId="3" type="noConversion"/>
  </si>
  <si>
    <r>
      <t>CH1</t>
    </r>
    <r>
      <rPr>
        <sz val="10"/>
        <rFont val="宋体"/>
        <family val="3"/>
        <charset val="134"/>
      </rPr>
      <t>射频</t>
    </r>
    <r>
      <rPr>
        <sz val="10"/>
        <rFont val="Arial"/>
        <family val="2"/>
      </rPr>
      <t>RX</t>
    </r>
    <r>
      <rPr>
        <sz val="10"/>
        <rFont val="宋体"/>
        <family val="3"/>
        <charset val="134"/>
      </rPr>
      <t>通道使能</t>
    </r>
    <phoneticPr fontId="3" type="noConversion"/>
  </si>
  <si>
    <t>lte_tx_actv_ctrl5_4:ios_af_ctrl11[2]:D0</t>
    <phoneticPr fontId="3" type="noConversion"/>
  </si>
  <si>
    <t>ch0_rxa_data[2]</t>
    <phoneticPr fontId="3" type="noConversion"/>
  </si>
  <si>
    <t>et_mode_ctrl2_2:ios_af_ctrl10[3]:D0</t>
    <phoneticPr fontId="3" type="noConversion"/>
  </si>
  <si>
    <t>ch1_apt_pdm_ctrl1_1:ios_af_ctrl11[0]:D0</t>
    <phoneticPr fontId="3" type="noConversion"/>
  </si>
  <si>
    <t>lte_frm_sync_ctrl5_4:ios_af_ctrl11[3]:D0</t>
    <phoneticPr fontId="3" type="noConversion"/>
  </si>
  <si>
    <t>antpa_sel21_ctrl4_4:ios_af_ctrl11[9]:D0</t>
    <phoneticPr fontId="3" type="noConversion"/>
  </si>
  <si>
    <t>ch0_rxa_data[3]</t>
    <phoneticPr fontId="3" type="noConversion"/>
  </si>
  <si>
    <t>gpio1_23_ctrl1_1:ios_mf_ctrl6[2]:D0</t>
    <phoneticPr fontId="3" type="noConversion"/>
  </si>
  <si>
    <t>ch1_mipi_clk</t>
    <phoneticPr fontId="3" type="noConversion"/>
  </si>
  <si>
    <t>ch1_mipi_ctrl1_1:ios_af_ctrl10[4]:D0</t>
    <phoneticPr fontId="3" type="noConversion"/>
  </si>
  <si>
    <t>wlan_bt_rx_priority_ctrl5_4:ios_af_ctrl11[4]:D0</t>
    <phoneticPr fontId="3" type="noConversion"/>
  </si>
  <si>
    <t>antpa_sel22_ctrl4_4:ios_af_ctrl11[10]:D0</t>
    <phoneticPr fontId="3" type="noConversion"/>
  </si>
  <si>
    <t>ch0_rxa_data[4]</t>
    <phoneticPr fontId="3" type="noConversion"/>
  </si>
  <si>
    <t>gpio1_24_ctrl1_1:ios_mf_ctrl6[3]:D0</t>
    <phoneticPr fontId="3" type="noConversion"/>
  </si>
  <si>
    <t>ch1_mipi_data</t>
    <phoneticPr fontId="3" type="noConversion"/>
  </si>
  <si>
    <t>lte_rx_actv_ctrl5_4:ios_af_ctrl11[5]:D0</t>
    <phoneticPr fontId="3" type="noConversion"/>
  </si>
  <si>
    <t>antpa_sel23_ctrl4_4:ios_af_ctrl11[11]:D0</t>
    <phoneticPr fontId="3" type="noConversion"/>
  </si>
  <si>
    <t>ch0_rxa_data[5]</t>
    <phoneticPr fontId="3" type="noConversion"/>
  </si>
  <si>
    <t>TCXO PDM（2个pin）</t>
    <phoneticPr fontId="3" type="noConversion"/>
  </si>
  <si>
    <t>CH0_AFC_PDM</t>
    <phoneticPr fontId="3" type="noConversion"/>
  </si>
  <si>
    <t>IOM_CTRL68</t>
    <phoneticPr fontId="3" type="noConversion"/>
  </si>
  <si>
    <t>ch0_afc_ctrl2_1:ios_mf_ctrl7[0]:D0</t>
    <phoneticPr fontId="3" type="noConversion"/>
  </si>
  <si>
    <t>gpio1[25]</t>
    <phoneticPr fontId="3" type="noConversion"/>
  </si>
  <si>
    <t>gpio1_25_ctrl1_1:ios_af_ctrl12[0]:D0</t>
    <phoneticPr fontId="3" type="noConversion"/>
  </si>
  <si>
    <r>
      <t xml:space="preserve">CH0 TCXO </t>
    </r>
    <r>
      <rPr>
        <sz val="10"/>
        <rFont val="宋体"/>
        <family val="3"/>
        <charset val="134"/>
      </rPr>
      <t>调压控制信号</t>
    </r>
    <phoneticPr fontId="3" type="noConversion"/>
  </si>
  <si>
    <t>ch1_afc_ctrl2_2:ios_af_ctrl13[0]:D0</t>
    <phoneticPr fontId="3" type="noConversion"/>
  </si>
  <si>
    <t>antpa_sel24_ctrl4_3:ios_af_ctrl13[2]:D0</t>
    <phoneticPr fontId="3" type="noConversion"/>
  </si>
  <si>
    <t>CH1_AFC_PDM</t>
    <phoneticPr fontId="3" type="noConversion"/>
  </si>
  <si>
    <t>ch1_afc_ctrl2_1:ios_mf_ctrl7[1]:D0</t>
    <phoneticPr fontId="3" type="noConversion"/>
  </si>
  <si>
    <t>gpio1[26]</t>
    <phoneticPr fontId="3" type="noConversion"/>
  </si>
  <si>
    <t>gpio1_26_ctrl1_1:ios_af_ctrl12[1]:D0</t>
    <phoneticPr fontId="3" type="noConversion"/>
  </si>
  <si>
    <r>
      <t xml:space="preserve">CH1 TCXO </t>
    </r>
    <r>
      <rPr>
        <sz val="10"/>
        <rFont val="宋体"/>
        <family val="3"/>
        <charset val="134"/>
      </rPr>
      <t>调压控制信号</t>
    </r>
    <phoneticPr fontId="3" type="noConversion"/>
  </si>
  <si>
    <t>ch0_afc_ctrl2_2:ios_af_ctrl13[1]:D0</t>
    <phoneticPr fontId="3" type="noConversion"/>
  </si>
  <si>
    <t>antpa_sel24_ctrl4_4:ios_af_ctrl13[3]:D0</t>
    <phoneticPr fontId="3" type="noConversion"/>
  </si>
  <si>
    <t>ch0_rxa_data[6]</t>
    <phoneticPr fontId="3" type="noConversion"/>
  </si>
  <si>
    <t>RF线控：FEM(21个pin）</t>
    <phoneticPr fontId="3" type="noConversion"/>
  </si>
  <si>
    <t>GPIO_1_27</t>
    <phoneticPr fontId="3" type="noConversion"/>
  </si>
  <si>
    <t>IOM_CTRL70</t>
    <phoneticPr fontId="3" type="noConversion"/>
  </si>
  <si>
    <t>gpio1[27]</t>
    <phoneticPr fontId="3" type="noConversion"/>
  </si>
  <si>
    <r>
      <t xml:space="preserve">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NANDC</t>
    </r>
    <r>
      <rPr>
        <sz val="10"/>
        <rFont val="宋体"/>
        <family val="3"/>
        <charset val="134"/>
      </rPr>
      <t>发给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器件的地址数目，</t>
    </r>
    <r>
      <rPr>
        <sz val="10"/>
        <rFont val="Arial"/>
        <family val="2"/>
      </rPr>
      <t>addr_num</t>
    </r>
    <r>
      <rPr>
        <sz val="10"/>
        <rFont val="宋体"/>
        <family val="3"/>
        <charset val="134"/>
      </rPr>
      <t xml:space="preserve">。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 xml:space="preserve">个地址周期；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个地址周期。
默认值</t>
    </r>
    <r>
      <rPr>
        <sz val="10"/>
        <rFont val="Arial"/>
        <family val="2"/>
      </rPr>
      <t>1</t>
    </r>
    <phoneticPr fontId="3" type="noConversion"/>
  </si>
  <si>
    <r>
      <t>antpa_sel[0]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</si>
  <si>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0</t>
    </r>
    <phoneticPr fontId="3" type="noConversion"/>
  </si>
  <si>
    <t>GPIO_1_28</t>
    <phoneticPr fontId="3" type="noConversion"/>
  </si>
  <si>
    <t>gpio1_28_ctrl1_1:ios_mf_ctrl8[1]:D0</t>
    <phoneticPr fontId="3" type="noConversion"/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</si>
  <si>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</t>
    </r>
    <phoneticPr fontId="3" type="noConversion"/>
  </si>
  <si>
    <t>gpio1_29_ctrl1_1:ios_mf_ctrl8[2]:D0</t>
    <phoneticPr fontId="3" type="noConversion"/>
  </si>
  <si>
    <t>GPIO_1_30</t>
    <phoneticPr fontId="3" type="noConversion"/>
  </si>
  <si>
    <t>gpio1_30_ctrl1_1:ios_mf_ctrl8[3]:D0</t>
    <phoneticPr fontId="3" type="noConversion"/>
  </si>
  <si>
    <r>
      <t xml:space="preserve">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</t>
    </r>
    <r>
      <rPr>
        <sz val="10"/>
        <rFont val="Arial"/>
        <family val="2"/>
      </rPr>
      <t>block</t>
    </r>
    <r>
      <rPr>
        <sz val="10"/>
        <rFont val="宋体"/>
        <family val="3"/>
        <charset val="134"/>
      </rPr>
      <t>的大小，</t>
    </r>
    <r>
      <rPr>
        <sz val="10"/>
        <rFont val="Arial"/>
        <family val="2"/>
      </rPr>
      <t>block_size</t>
    </r>
    <r>
      <rPr>
        <sz val="10"/>
        <rFont val="宋体"/>
        <family val="3"/>
        <charset val="134"/>
      </rPr>
      <t xml:space="preserve">。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64</t>
    </r>
    <r>
      <rPr>
        <sz val="10"/>
        <rFont val="宋体"/>
        <family val="3"/>
        <charset val="134"/>
      </rPr>
      <t>个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128</t>
    </r>
    <r>
      <rPr>
        <sz val="10"/>
        <rFont val="宋体"/>
        <family val="3"/>
        <charset val="134"/>
      </rPr>
      <t>个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>。</t>
    </r>
    <r>
      <rPr>
        <sz val="10"/>
        <rFont val="Arial"/>
        <family val="2"/>
      </rPr>
      <t xml:space="preserve">
</t>
    </r>
    <r>
      <rPr>
        <sz val="10"/>
        <rFont val="宋体"/>
        <family val="3"/>
        <charset val="134"/>
      </rPr>
      <t>默认值</t>
    </r>
    <r>
      <rPr>
        <sz val="10"/>
        <rFont val="Arial"/>
        <family val="2"/>
      </rPr>
      <t>0</t>
    </r>
    <phoneticPr fontId="3" type="noConversion"/>
  </si>
  <si>
    <t>gpio1_31_ctrl1_1:ios_mf_ctrl8[4]:D0</t>
    <phoneticPr fontId="3" type="noConversion"/>
  </si>
  <si>
    <t>GPIO_2_00</t>
    <phoneticPr fontId="3" type="noConversion"/>
  </si>
  <si>
    <t>gpio2[0]</t>
    <phoneticPr fontId="3" type="noConversion"/>
  </si>
  <si>
    <t>gpio2_0_ctrl1_1:ios_mf_ctrl8[5]:D0</t>
    <phoneticPr fontId="3" type="noConversion"/>
  </si>
  <si>
    <t>gpio2_1_ctrl1_1:ios_mf_ctrl8[6]:D0</t>
    <phoneticPr fontId="3" type="noConversion"/>
  </si>
  <si>
    <t>GPIO_2_02</t>
    <phoneticPr fontId="3" type="noConversion"/>
  </si>
  <si>
    <t>gpio2_2_ctrl1_1:ios_mf_ctrl8[7]:D0</t>
    <phoneticPr fontId="3" type="noConversion"/>
  </si>
  <si>
    <r>
      <t>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TCXO_FREQ     0:19.2MHz,1:38.4Mhz</t>
    </r>
    <phoneticPr fontId="3" type="noConversion"/>
  </si>
  <si>
    <r>
      <t>antpa_sel[7]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</si>
  <si>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gpio2_3_ctrl1_1:ios_mf_ctrl8[8]:D0</t>
    <phoneticPr fontId="3" type="noConversion"/>
  </si>
  <si>
    <r>
      <t>Boot</t>
    </r>
    <r>
      <rPr>
        <sz val="10"/>
        <rFont val="宋体"/>
        <family val="3"/>
        <charset val="134"/>
      </rPr>
      <t>时，是否为</t>
    </r>
    <r>
      <rPr>
        <sz val="10"/>
        <rFont val="Arial"/>
        <family val="2"/>
      </rPr>
      <t xml:space="preserve"> ABB ATE mode</t>
    </r>
    <r>
      <rPr>
        <sz val="10"/>
        <rFont val="宋体"/>
        <family val="3"/>
        <charset val="134"/>
      </rPr>
      <t>的标志，</t>
    </r>
    <r>
      <rPr>
        <sz val="10"/>
        <rFont val="Arial"/>
        <family val="2"/>
      </rPr>
      <t>abb_ate_mode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：为</t>
    </r>
    <r>
      <rPr>
        <sz val="10"/>
        <rFont val="Arial"/>
        <family val="2"/>
      </rPr>
      <t>ABB ATE</t>
    </r>
    <r>
      <rPr>
        <sz val="10"/>
        <rFont val="宋体"/>
        <family val="3"/>
        <charset val="134"/>
      </rPr>
      <t>测试模式；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：其它模式
复位时需要保证该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为输出。</t>
    </r>
    <phoneticPr fontId="3" type="noConversion"/>
  </si>
  <si>
    <r>
      <t>antpa_sel[8]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</si>
  <si>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gpio2_4_ctrl1_1:ios_mf_ctrl8[9]:D0</t>
    <phoneticPr fontId="3" type="noConversion"/>
  </si>
  <si>
    <r>
      <t>antpa_sel[9]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</si>
  <si>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gpio2_5_ctrl1_1:ios_mf_ctrl8[10]:D0</t>
    <phoneticPr fontId="3" type="noConversion"/>
  </si>
  <si>
    <r>
      <t>antpa_sel[10]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</si>
  <si>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gpio2_6_ctrl1_1:ios_mf_ctrl8[11]:D0</t>
    <phoneticPr fontId="3" type="noConversion"/>
  </si>
  <si>
    <r>
      <t>antpa_sel[11]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</si>
  <si>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gpio2_7_ctrl1_1:ios_mf_ctrl8[12]:D0</t>
    <phoneticPr fontId="3" type="noConversion"/>
  </si>
  <si>
    <r>
      <t>antpa_sel[12]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</si>
  <si>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efusec_data_pad[11]</t>
    <phoneticPr fontId="3" type="noConversion"/>
  </si>
  <si>
    <t>gpio2_8_ctrl1_1:ios_mf_ctrl8[13]:D0</t>
    <phoneticPr fontId="3" type="noConversion"/>
  </si>
  <si>
    <r>
      <t>antpa_sel[13]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</si>
  <si>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uart3_ctrl2_2:ios_af_ctrl15[2]:D0</t>
    <phoneticPr fontId="3" type="noConversion"/>
  </si>
  <si>
    <t>gpio2_9_ctrl1_1:ios_mf_ctrl8[14]:D0</t>
    <phoneticPr fontId="3" type="noConversion"/>
  </si>
  <si>
    <r>
      <t>antpa_sel[14]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</si>
  <si>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gpio2_10_ctrl1_1:ios_mf_ctrl8[15]:D0</t>
    <phoneticPr fontId="3" type="noConversion"/>
  </si>
  <si>
    <r>
      <t>antpa_sel[15]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</si>
  <si>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uart1_4line_ctrl2_2:ios_af_ctrl15[3]:D0</t>
    <phoneticPr fontId="3" type="noConversion"/>
  </si>
  <si>
    <t>lte_frm_sync_ctrl5_5:ios_af_ctrl15[5]:D0</t>
    <phoneticPr fontId="3" type="noConversion"/>
  </si>
  <si>
    <t>gpio2_11_ctrl1_1:ios_mf_ctrl8[16]:D0</t>
    <phoneticPr fontId="3" type="noConversion"/>
  </si>
  <si>
    <r>
      <t>antpa_sel[16]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</si>
  <si>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lte_rx_actv_ctrl5_5:ios_af_ctrl15[6]:D0</t>
    <phoneticPr fontId="3" type="noConversion"/>
  </si>
  <si>
    <t>gpio2_12_ctrl1_1:ios_mf_ctrl8[17]:D0</t>
    <phoneticPr fontId="3" type="noConversion"/>
  </si>
  <si>
    <r>
      <t>antpa_sel[17]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</si>
  <si>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uart1_8line_ctrl2_2:ios_af_ctrl15[4]:D0</t>
    <phoneticPr fontId="3" type="noConversion"/>
  </si>
  <si>
    <t>用于数据连线状态检测，用于侦测模块是否进入数据传输状态</t>
    <phoneticPr fontId="3" type="noConversion"/>
  </si>
  <si>
    <t>lte_tx_actv_ctrl5_5:ios_af_ctrl15[7]:D0</t>
    <phoneticPr fontId="3" type="noConversion"/>
  </si>
  <si>
    <t>gpio2_13_ctrl1_1:ios_mf_ctrl8[18]:D0</t>
    <phoneticPr fontId="3" type="noConversion"/>
  </si>
  <si>
    <r>
      <t>antpa_sel[18]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</si>
  <si>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wlan_bt_ldo_en_ctrl5_5:ios_af_ctrl15[8]:D0</t>
    <phoneticPr fontId="3" type="noConversion"/>
  </si>
  <si>
    <t>gpio2_14_ctrl1_1:ios_mf_ctrl8[19]:D0</t>
    <phoneticPr fontId="3" type="noConversion"/>
  </si>
  <si>
    <r>
      <t>antpa_sel[19]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</si>
  <si>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用于电话挂断</t>
    <phoneticPr fontId="3" type="noConversion"/>
  </si>
  <si>
    <t>wlan_bt_rx_priority_ctrl5_5:ios_af_ctrl15[9]:D0</t>
    <phoneticPr fontId="3" type="noConversion"/>
  </si>
  <si>
    <t>gpio2_15_ctrl1_1:ios_mf_ctrl8[20]:D0</t>
    <phoneticPr fontId="3" type="noConversion"/>
  </si>
  <si>
    <r>
      <t>antpa_sel[20]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</si>
  <si>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rPr>
        <sz val="10"/>
        <rFont val="宋体"/>
        <family val="3"/>
        <charset val="134"/>
      </rPr>
      <t>用于数据状态下获得</t>
    </r>
    <r>
      <rPr>
        <sz val="10"/>
        <rFont val="Arial"/>
        <family val="2"/>
      </rPr>
      <t>SMS</t>
    </r>
    <r>
      <rPr>
        <sz val="10"/>
        <rFont val="宋体"/>
        <family val="3"/>
        <charset val="134"/>
      </rPr>
      <t>、电话到达的提示，从而切换状态来处理</t>
    </r>
    <r>
      <rPr>
        <sz val="10"/>
        <rFont val="Arial"/>
        <family val="2"/>
      </rPr>
      <t>SMS</t>
    </r>
    <r>
      <rPr>
        <sz val="10"/>
        <rFont val="宋体"/>
        <family val="3"/>
        <charset val="134"/>
      </rPr>
      <t>和来电</t>
    </r>
    <phoneticPr fontId="3" type="noConversion"/>
  </si>
  <si>
    <t>wlan_bt_tx_actv_ctrl3_3:ios_af_ctrl15[10]:D0</t>
    <phoneticPr fontId="3" type="noConversion"/>
  </si>
  <si>
    <t>ABB信号（32个pin）</t>
    <phoneticPr fontId="3" type="noConversion"/>
  </si>
  <si>
    <t>1.3VA</t>
    <phoneticPr fontId="3" type="noConversion"/>
  </si>
  <si>
    <t>CH0_TCXO_IN</t>
    <phoneticPr fontId="50" type="noConversion"/>
  </si>
  <si>
    <t>ABB</t>
    <phoneticPr fontId="3" type="noConversion"/>
  </si>
  <si>
    <t>Analog</t>
    <phoneticPr fontId="3" type="noConversion"/>
  </si>
  <si>
    <t>PDB3A_NGV_V_G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</si>
  <si>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GUL19.2MHz</t>
    </r>
    <r>
      <rPr>
        <sz val="10"/>
        <rFont val="宋体"/>
        <family val="3"/>
        <charset val="134"/>
      </rPr>
      <t>模拟时钟</t>
    </r>
    <phoneticPr fontId="3" type="noConversion"/>
  </si>
  <si>
    <t>邹定凯</t>
    <phoneticPr fontId="3" type="noConversion"/>
  </si>
  <si>
    <t>CH1_TCXO_IN</t>
    <phoneticPr fontId="50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</si>
  <si>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LTE19.2MHz</t>
    </r>
    <r>
      <rPr>
        <sz val="10"/>
        <rFont val="宋体"/>
        <family val="3"/>
        <charset val="134"/>
      </rPr>
      <t>模拟时钟输入</t>
    </r>
    <phoneticPr fontId="3" type="noConversion"/>
  </si>
  <si>
    <t>PDB3A_V_G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</si>
  <si>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</si>
  <si>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</si>
  <si>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</si>
  <si>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</si>
  <si>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</si>
  <si>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</si>
  <si>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</si>
  <si>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</si>
  <si>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</si>
  <si>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</si>
  <si>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</si>
  <si>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</si>
  <si>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t>1.8VA</t>
    </r>
    <r>
      <rPr>
        <sz val="10"/>
        <rFont val="宋体"/>
        <family val="3"/>
        <charset val="134"/>
      </rPr>
      <t/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</si>
  <si>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</si>
  <si>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</si>
  <si>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</si>
  <si>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</si>
  <si>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</si>
  <si>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</si>
  <si>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</si>
  <si>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</si>
  <si>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</si>
  <si>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</si>
  <si>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LTE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</si>
  <si>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t>ABB_VREF</t>
    <phoneticPr fontId="3" type="noConversion"/>
  </si>
  <si>
    <t>0MHz</t>
    <phoneticPr fontId="3" type="noConversion"/>
  </si>
  <si>
    <t>ABB</t>
    <phoneticPr fontId="3" type="noConversion"/>
  </si>
  <si>
    <t>Analog</t>
    <phoneticPr fontId="3" type="noConversion"/>
  </si>
  <si>
    <t>NA_CTRL</t>
    <phoneticPr fontId="3" type="noConversion"/>
  </si>
  <si>
    <t>PDB3A_V_G</t>
    <phoneticPr fontId="3" type="noConversion"/>
  </si>
  <si>
    <t>no_ctrl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</si>
  <si>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模拟信号，内部参考电压输出</t>
    </r>
    <phoneticPr fontId="3" type="noConversion"/>
  </si>
  <si>
    <t>1.3VA</t>
    <phoneticPr fontId="3" type="noConversion"/>
  </si>
  <si>
    <t>ABB_IBIAS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</si>
  <si>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模拟信号，外接电阻（</t>
    </r>
    <r>
      <rPr>
        <sz val="10"/>
        <rFont val="Arial"/>
        <family val="2"/>
      </rPr>
      <t>20Kohm</t>
    </r>
    <r>
      <rPr>
        <sz val="10"/>
        <rFont val="宋体"/>
        <family val="3"/>
        <charset val="134"/>
      </rPr>
      <t>±</t>
    </r>
    <r>
      <rPr>
        <sz val="10"/>
        <rFont val="Arial"/>
        <family val="2"/>
      </rPr>
      <t>1%</t>
    </r>
    <r>
      <rPr>
        <sz val="10"/>
        <rFont val="宋体"/>
        <family val="3"/>
        <charset val="134"/>
      </rPr>
      <t>）给内部产生电流</t>
    </r>
    <phoneticPr fontId="3" type="noConversion"/>
  </si>
  <si>
    <t>Y</t>
    <phoneticPr fontId="3" type="noConversion"/>
  </si>
  <si>
    <t>ABB_TEST0</t>
    <phoneticPr fontId="50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</si>
  <si>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 xml:space="preserve">LTE PLL </t>
    </r>
    <r>
      <rPr>
        <sz val="10"/>
        <rFont val="宋体"/>
        <family val="3"/>
        <charset val="134"/>
      </rPr>
      <t>时钟测试信号</t>
    </r>
    <phoneticPr fontId="3" type="noConversion"/>
  </si>
  <si>
    <t>PDB3AC_V_G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</si>
  <si>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 xml:space="preserve">GU PLL </t>
    </r>
    <r>
      <rPr>
        <sz val="10"/>
        <rFont val="宋体"/>
        <family val="3"/>
        <charset val="134"/>
      </rPr>
      <t>时钟测试信号</t>
    </r>
    <phoneticPr fontId="3" type="noConversion"/>
  </si>
  <si>
    <t>ET_TX_P</t>
    <phoneticPr fontId="3" type="noConversion"/>
  </si>
  <si>
    <t>ET_TX_N</t>
    <phoneticPr fontId="3" type="noConversion"/>
  </si>
  <si>
    <t>LPDDR2信号（65个pin）：CA(19pin)</t>
    <phoneticPr fontId="3" type="noConversion"/>
  </si>
  <si>
    <t>1.2VD(P1)</t>
    <phoneticPr fontId="3" type="noConversion"/>
  </si>
  <si>
    <t>DDR_CKP</t>
    <phoneticPr fontId="3" type="noConversion"/>
  </si>
  <si>
    <t>SYNOPSYS</t>
    <phoneticPr fontId="3" type="noConversion"/>
  </si>
  <si>
    <t>SSTL</t>
    <phoneticPr fontId="3" type="noConversion"/>
  </si>
  <si>
    <t>SNPS_D3M_PDDRIO_EW</t>
    <phoneticPr fontId="3" type="noConversion"/>
  </si>
  <si>
    <r>
      <t>DDR</t>
    </r>
    <r>
      <rPr>
        <sz val="10"/>
        <rFont val="宋体"/>
        <family val="3"/>
        <charset val="134"/>
      </rPr>
      <t>差分时钟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</si>
  <si>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刘子熹</t>
    <phoneticPr fontId="3" type="noConversion"/>
  </si>
  <si>
    <t>是</t>
    <phoneticPr fontId="3" type="noConversion"/>
  </si>
  <si>
    <t>宋占坤</t>
    <phoneticPr fontId="3" type="noConversion"/>
  </si>
  <si>
    <t>DDR_CKN</t>
    <phoneticPr fontId="3" type="noConversion"/>
  </si>
  <si>
    <r>
      <t>DDR</t>
    </r>
    <r>
      <rPr>
        <sz val="10"/>
        <rFont val="宋体"/>
        <family val="3"/>
        <charset val="134"/>
      </rPr>
      <t>差分时钟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</si>
  <si>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DDR_CKE</t>
    <phoneticPr fontId="3" type="noConversion"/>
  </si>
  <si>
    <t>SNPS_D3M_PCKE_EW</t>
    <phoneticPr fontId="3" type="noConversion"/>
  </si>
  <si>
    <r>
      <t>DDR</t>
    </r>
    <r>
      <rPr>
        <sz val="10"/>
        <rFont val="宋体"/>
        <family val="3"/>
        <charset val="134"/>
      </rPr>
      <t>时钟使能信号，高有效</t>
    </r>
    <phoneticPr fontId="3" type="noConversion"/>
  </si>
  <si>
    <t>DDR_CS_N</t>
    <phoneticPr fontId="3" type="noConversion"/>
  </si>
  <si>
    <r>
      <t>DDR</t>
    </r>
    <r>
      <rPr>
        <sz val="10"/>
        <rFont val="宋体"/>
        <family val="3"/>
        <charset val="134"/>
      </rPr>
      <t>片选信号</t>
    </r>
    <phoneticPr fontId="3" type="noConversion"/>
  </si>
  <si>
    <t>DDR_CA0</t>
    <phoneticPr fontId="3" type="noConversion"/>
  </si>
  <si>
    <t>ddr_ca[0]</t>
    <phoneticPr fontId="3" type="noConversion"/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</si>
  <si>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bit0</t>
    </r>
    <phoneticPr fontId="3" type="noConversion"/>
  </si>
  <si>
    <t>DDR_VREF0</t>
    <phoneticPr fontId="3" type="noConversion"/>
  </si>
  <si>
    <t>SNPS_D3M_PVREF_EW</t>
    <phoneticPr fontId="50" type="noConversion"/>
  </si>
  <si>
    <r>
      <t>DDR</t>
    </r>
    <r>
      <rPr>
        <sz val="10"/>
        <rFont val="宋体"/>
        <family val="3"/>
        <charset val="134"/>
      </rPr>
      <t>参考电压信号</t>
    </r>
    <r>
      <rPr>
        <sz val="10"/>
        <rFont val="Arial"/>
        <family val="2"/>
      </rPr>
      <t>0</t>
    </r>
    <phoneticPr fontId="3" type="noConversion"/>
  </si>
  <si>
    <t>DDR_VREF_ZQ</t>
    <phoneticPr fontId="3" type="noConversion"/>
  </si>
  <si>
    <t>SNPS_D3M_PZCTRL_EW</t>
    <phoneticPr fontId="3" type="noConversion"/>
  </si>
  <si>
    <r>
      <t>DDR ZQ</t>
    </r>
    <r>
      <rPr>
        <sz val="10"/>
        <rFont val="宋体"/>
        <family val="3"/>
        <charset val="134"/>
      </rPr>
      <t>参考电压信号</t>
    </r>
    <phoneticPr fontId="3" type="noConversion"/>
  </si>
  <si>
    <t>DDR_ZQ</t>
    <phoneticPr fontId="3" type="noConversion"/>
  </si>
  <si>
    <t>SNPS_D3M_PZQ_EW</t>
    <phoneticPr fontId="3" type="noConversion"/>
  </si>
  <si>
    <r>
      <t>DDR ZQ</t>
    </r>
    <r>
      <rPr>
        <sz val="10"/>
        <rFont val="宋体"/>
        <family val="3"/>
        <charset val="134"/>
      </rPr>
      <t>校准信号</t>
    </r>
    <phoneticPr fontId="3" type="noConversion"/>
  </si>
  <si>
    <t>DDR_ATO</t>
    <phoneticPr fontId="3" type="noConversion"/>
  </si>
  <si>
    <t>SNPS_D3M_PAIO_EW</t>
    <phoneticPr fontId="3" type="noConversion"/>
  </si>
  <si>
    <r>
      <t xml:space="preserve">DDR </t>
    </r>
    <r>
      <rPr>
        <sz val="10"/>
        <rFont val="宋体"/>
        <family val="3"/>
        <charset val="134"/>
      </rPr>
      <t>测试信号</t>
    </r>
    <phoneticPr fontId="3" type="noConversion"/>
  </si>
  <si>
    <t>DDR_DTO0</t>
    <phoneticPr fontId="3" type="noConversion"/>
  </si>
  <si>
    <t>DDR_DTO1</t>
    <phoneticPr fontId="3" type="noConversion"/>
  </si>
  <si>
    <t>LPDDR2信号（65个pin）：DQ(46pin)</t>
    <phoneticPr fontId="3" type="noConversion"/>
  </si>
  <si>
    <t>DDR_DQM0</t>
    <phoneticPr fontId="3" type="noConversion"/>
  </si>
  <si>
    <t>ddr_dqm[0]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</si>
  <si>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bit0</t>
    </r>
    <phoneticPr fontId="3" type="noConversion"/>
  </si>
  <si>
    <t>DDR_DQM1</t>
    <phoneticPr fontId="3" type="noConversion"/>
  </si>
  <si>
    <t>DDR_DQM2</t>
    <phoneticPr fontId="3" type="noConversion"/>
  </si>
  <si>
    <t>DDR_DQM3</t>
    <phoneticPr fontId="3" type="noConversion"/>
  </si>
  <si>
    <t>DDR_DQ00</t>
    <phoneticPr fontId="3" type="noConversion"/>
  </si>
  <si>
    <t>B</t>
    <phoneticPr fontId="3" type="noConversion"/>
  </si>
  <si>
    <t>ddr_dq[0]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</si>
  <si>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bit0</t>
    </r>
    <phoneticPr fontId="3" type="noConversion"/>
  </si>
  <si>
    <t>DDR_DQ01</t>
    <phoneticPr fontId="3" type="noConversion"/>
  </si>
  <si>
    <t>DDR_DQ02</t>
    <phoneticPr fontId="3" type="noConversion"/>
  </si>
  <si>
    <t>DDR_DQ03</t>
    <phoneticPr fontId="3" type="noConversion"/>
  </si>
  <si>
    <t>DDR_DQ04</t>
    <phoneticPr fontId="3" type="noConversion"/>
  </si>
  <si>
    <t>DDR_DQ05</t>
    <phoneticPr fontId="3" type="noConversion"/>
  </si>
  <si>
    <t>DDR_DQ06</t>
    <phoneticPr fontId="3" type="noConversion"/>
  </si>
  <si>
    <t>DDR_DQ07</t>
    <phoneticPr fontId="3" type="noConversion"/>
  </si>
  <si>
    <t>DDR_DQ08</t>
    <phoneticPr fontId="3" type="noConversion"/>
  </si>
  <si>
    <t>DDR_DQ09</t>
    <phoneticPr fontId="3" type="noConversion"/>
  </si>
  <si>
    <t>DDR_DQ10</t>
    <phoneticPr fontId="3" type="noConversion"/>
  </si>
  <si>
    <t>DDR_DQ11</t>
    <phoneticPr fontId="3" type="noConversion"/>
  </si>
  <si>
    <t>DDR_DQ12</t>
    <phoneticPr fontId="3" type="noConversion"/>
  </si>
  <si>
    <t>DDR_DQ13</t>
    <phoneticPr fontId="3" type="noConversion"/>
  </si>
  <si>
    <t>DDR_DQ14</t>
    <phoneticPr fontId="3" type="noConversion"/>
  </si>
  <si>
    <t>DDR_DQ15</t>
    <phoneticPr fontId="3" type="noConversion"/>
  </si>
  <si>
    <t>DDR_DQ16</t>
    <phoneticPr fontId="3" type="noConversion"/>
  </si>
  <si>
    <t>DDR_DQ17</t>
    <phoneticPr fontId="3" type="noConversion"/>
  </si>
  <si>
    <t>DDR_DQ18</t>
    <phoneticPr fontId="3" type="noConversion"/>
  </si>
  <si>
    <t>DDR_DQ19</t>
    <phoneticPr fontId="3" type="noConversion"/>
  </si>
  <si>
    <t>DDR_DQ20</t>
    <phoneticPr fontId="3" type="noConversion"/>
  </si>
  <si>
    <t>DDR_DQ21</t>
    <phoneticPr fontId="3" type="noConversion"/>
  </si>
  <si>
    <t>DDR_DQ22</t>
    <phoneticPr fontId="3" type="noConversion"/>
  </si>
  <si>
    <t>DDR_DQ23</t>
    <phoneticPr fontId="3" type="noConversion"/>
  </si>
  <si>
    <t>DDR_DQ24</t>
    <phoneticPr fontId="3" type="noConversion"/>
  </si>
  <si>
    <t>DDR_DQ25</t>
    <phoneticPr fontId="3" type="noConversion"/>
  </si>
  <si>
    <t>DDR_DQ26</t>
    <phoneticPr fontId="3" type="noConversion"/>
  </si>
  <si>
    <t>DDR_DQ27</t>
    <phoneticPr fontId="3" type="noConversion"/>
  </si>
  <si>
    <t>DDR_DQ28</t>
    <phoneticPr fontId="3" type="noConversion"/>
  </si>
  <si>
    <t>DDR_DQ29</t>
    <phoneticPr fontId="3" type="noConversion"/>
  </si>
  <si>
    <t>DDR_DQ30</t>
    <phoneticPr fontId="3" type="noConversion"/>
  </si>
  <si>
    <t>DDR_DQ31</t>
    <phoneticPr fontId="3" type="noConversion"/>
  </si>
  <si>
    <t>DDR_DQS0_P</t>
    <phoneticPr fontId="3" type="noConversion"/>
  </si>
  <si>
    <t>SNPS_D3M_PDIFF_EW</t>
    <phoneticPr fontId="3" type="noConversion"/>
  </si>
  <si>
    <r>
      <t>DDR DQS0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</si>
  <si>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DDR_DQS0_N</t>
    <phoneticPr fontId="3" type="noConversion"/>
  </si>
  <si>
    <r>
      <t>DDR DQS0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</si>
  <si>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DDR_DQS1_P</t>
    <phoneticPr fontId="3" type="noConversion"/>
  </si>
  <si>
    <r>
      <t>DDR DQS1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</si>
  <si>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DDR_DQS1_N</t>
    <phoneticPr fontId="3" type="noConversion"/>
  </si>
  <si>
    <r>
      <t>DDR DQS1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</si>
  <si>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DDR_DQS2_P</t>
    <phoneticPr fontId="3" type="noConversion"/>
  </si>
  <si>
    <r>
      <t>DDR DQS2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</si>
  <si>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DDR_DQS2_N</t>
    <phoneticPr fontId="3" type="noConversion"/>
  </si>
  <si>
    <r>
      <t>DDR DQS2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</si>
  <si>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DDR_DQS3_P</t>
    <phoneticPr fontId="3" type="noConversion"/>
  </si>
  <si>
    <r>
      <t>DDR DQS3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</si>
  <si>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DDR_DQS3_N</t>
    <phoneticPr fontId="3" type="noConversion"/>
  </si>
  <si>
    <r>
      <t>DDR DQS3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</si>
  <si>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DDR_VREF1</t>
    <phoneticPr fontId="3" type="noConversion"/>
  </si>
  <si>
    <r>
      <t>DDR</t>
    </r>
    <r>
      <rPr>
        <sz val="10"/>
        <rFont val="宋体"/>
        <family val="3"/>
        <charset val="134"/>
      </rPr>
      <t>参考电压信号</t>
    </r>
    <r>
      <rPr>
        <sz val="10"/>
        <rFont val="Arial"/>
        <family val="2"/>
      </rPr>
      <t>1</t>
    </r>
    <phoneticPr fontId="3" type="noConversion"/>
  </si>
  <si>
    <t>USB3.0信号（10个pin）</t>
    <phoneticPr fontId="3" type="noConversion"/>
  </si>
  <si>
    <t>5V</t>
    <phoneticPr fontId="3" type="noConversion"/>
  </si>
  <si>
    <t>MUX_NA</t>
    <phoneticPr fontId="3" type="noConversion"/>
  </si>
  <si>
    <t>USB30_VBUS</t>
    <phoneticPr fontId="3" type="noConversion"/>
  </si>
  <si>
    <t>1MHz</t>
    <phoneticPr fontId="3" type="noConversion"/>
  </si>
  <si>
    <t>USB30</t>
    <phoneticPr fontId="3" type="noConversion"/>
  </si>
  <si>
    <t>NA</t>
    <phoneticPr fontId="3" type="noConversion"/>
  </si>
  <si>
    <r>
      <t>USB30 PHY</t>
    </r>
    <r>
      <rPr>
        <sz val="10"/>
        <rFont val="宋体"/>
        <family val="3"/>
        <charset val="134"/>
      </rPr>
      <t>自带</t>
    </r>
    <phoneticPr fontId="3" type="noConversion"/>
  </si>
  <si>
    <t>徐华春</t>
    <phoneticPr fontId="3" type="noConversion"/>
  </si>
  <si>
    <t>USB30_ID</t>
    <phoneticPr fontId="3" type="noConversion"/>
  </si>
  <si>
    <t>USB30_DP</t>
    <phoneticPr fontId="3" type="noConversion"/>
  </si>
  <si>
    <t>480MHz</t>
    <phoneticPr fontId="3" type="noConversion"/>
  </si>
  <si>
    <t>USB30_DM</t>
    <phoneticPr fontId="3" type="noConversion"/>
  </si>
  <si>
    <t>AIO</t>
    <phoneticPr fontId="3" type="noConversion"/>
  </si>
  <si>
    <t>USB30_RX_M</t>
    <phoneticPr fontId="3" type="noConversion"/>
  </si>
  <si>
    <t>5GHz</t>
    <phoneticPr fontId="3" type="noConversion"/>
  </si>
  <si>
    <t>USB30_RX_P</t>
    <phoneticPr fontId="3" type="noConversion"/>
  </si>
  <si>
    <t>USB30_TX_M</t>
    <phoneticPr fontId="3" type="noConversion"/>
  </si>
  <si>
    <t>USB30_TX_P</t>
    <phoneticPr fontId="3" type="noConversion"/>
  </si>
  <si>
    <t>3.3V</t>
    <phoneticPr fontId="3" type="noConversion"/>
  </si>
  <si>
    <t>N</t>
    <phoneticPr fontId="3" type="noConversion"/>
  </si>
  <si>
    <t>USB30_XO</t>
    <phoneticPr fontId="3" type="noConversion"/>
  </si>
  <si>
    <t>AI</t>
    <phoneticPr fontId="3" type="noConversion"/>
  </si>
  <si>
    <t>19.2MHz</t>
    <phoneticPr fontId="3" type="noConversion"/>
  </si>
  <si>
    <t>USB30_XI</t>
    <phoneticPr fontId="3" type="noConversion"/>
  </si>
  <si>
    <t>USB30_REF_PAD_CLK_M</t>
    <phoneticPr fontId="3" type="noConversion"/>
  </si>
  <si>
    <t>USB30_REF_PAD_CLK_P</t>
    <phoneticPr fontId="3" type="noConversion"/>
  </si>
  <si>
    <t>USB30_RESREF</t>
    <phoneticPr fontId="3" type="noConversion"/>
  </si>
  <si>
    <t>1.8VA</t>
    <phoneticPr fontId="3" type="noConversion"/>
  </si>
  <si>
    <t>USBPHY_CLK</t>
    <phoneticPr fontId="3" type="noConversion"/>
  </si>
  <si>
    <t>38.4MHz</t>
    <phoneticPr fontId="3" type="noConversion"/>
  </si>
  <si>
    <t>PDB3A_NGV_V_G</t>
    <phoneticPr fontId="3" type="noConversion"/>
  </si>
  <si>
    <t>PCIE（7个pin）</t>
    <phoneticPr fontId="3" type="noConversion"/>
  </si>
  <si>
    <t>REF_PAD_CLK_M</t>
    <phoneticPr fontId="3" type="noConversion"/>
  </si>
  <si>
    <t>100MHz</t>
    <phoneticPr fontId="3" type="noConversion"/>
  </si>
  <si>
    <t>SYNOPSYS</t>
    <phoneticPr fontId="3" type="noConversion"/>
  </si>
  <si>
    <t>NA</t>
    <phoneticPr fontId="3" type="noConversion"/>
  </si>
  <si>
    <t>no_ctrl</t>
    <phoneticPr fontId="3" type="noConversion"/>
  </si>
  <si>
    <t>李新昌</t>
    <phoneticPr fontId="3" type="noConversion"/>
  </si>
  <si>
    <t>确认</t>
    <phoneticPr fontId="3" type="noConversion"/>
  </si>
  <si>
    <t>宋占坤</t>
    <phoneticPr fontId="3" type="noConversion"/>
  </si>
  <si>
    <t>REF_PAD_CLK_P</t>
    <phoneticPr fontId="3" type="noConversion"/>
  </si>
  <si>
    <t>RESREF</t>
    <phoneticPr fontId="3" type="noConversion"/>
  </si>
  <si>
    <t>RESREF</t>
    <phoneticPr fontId="3" type="noConversion"/>
  </si>
  <si>
    <t>确认</t>
    <phoneticPr fontId="3" type="noConversion"/>
  </si>
  <si>
    <t>RX0_M</t>
    <phoneticPr fontId="3" type="noConversion"/>
  </si>
  <si>
    <t>1.8V</t>
    <phoneticPr fontId="3" type="noConversion"/>
  </si>
  <si>
    <t>RX0_P</t>
    <phoneticPr fontId="3" type="noConversion"/>
  </si>
  <si>
    <t>TX0_M</t>
    <phoneticPr fontId="3" type="noConversion"/>
  </si>
  <si>
    <t>TX0_P</t>
    <phoneticPr fontId="3" type="noConversion"/>
  </si>
  <si>
    <r>
      <t>PCIE</t>
    </r>
    <r>
      <rPr>
        <sz val="10"/>
        <rFont val="宋体"/>
        <family val="3"/>
        <charset val="134"/>
      </rPr>
      <t>电源管脚共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个，未列出</t>
    </r>
    <phoneticPr fontId="3" type="noConversion"/>
  </si>
  <si>
    <t>注：黄色表示需要在封装上合并的</t>
    <phoneticPr fontId="50" type="noConversion"/>
  </si>
  <si>
    <t>VDD</t>
    <phoneticPr fontId="50" type="noConversion"/>
  </si>
  <si>
    <t>VDD_PERI</t>
    <phoneticPr fontId="50" type="noConversion"/>
  </si>
  <si>
    <t>VSS</t>
    <phoneticPr fontId="50" type="noConversion"/>
  </si>
  <si>
    <t>DVDD18_1</t>
    <phoneticPr fontId="50" type="noConversion"/>
  </si>
  <si>
    <t>DVDD18</t>
    <phoneticPr fontId="50" type="noConversion"/>
  </si>
  <si>
    <t>DVDD18_AO</t>
    <phoneticPr fontId="50" type="noConversion"/>
  </si>
  <si>
    <t>1.5/0</t>
    <phoneticPr fontId="50" type="noConversion"/>
  </si>
  <si>
    <t>VDDM_MMC0</t>
    <phoneticPr fontId="50" type="noConversion"/>
  </si>
  <si>
    <t>VDD18_MMC0</t>
    <phoneticPr fontId="50" type="noConversion"/>
  </si>
  <si>
    <t>3.0/1.8</t>
    <phoneticPr fontId="50" type="noConversion"/>
  </si>
  <si>
    <t>VDD33_MMC0</t>
    <phoneticPr fontId="50" type="noConversion"/>
  </si>
  <si>
    <t>DDR</t>
    <phoneticPr fontId="50" type="noConversion"/>
  </si>
  <si>
    <t>VDDQ_DDR</t>
    <phoneticPr fontId="50" type="noConversion"/>
  </si>
  <si>
    <t>VSSQ_DDR</t>
    <phoneticPr fontId="50" type="noConversion"/>
  </si>
  <si>
    <t>VDDQCA_DDR</t>
    <phoneticPr fontId="50" type="noConversion"/>
  </si>
  <si>
    <t>VSSQCA_DDR</t>
    <phoneticPr fontId="50" type="noConversion"/>
  </si>
  <si>
    <t>AVDD18_DDRCAPLL</t>
    <phoneticPr fontId="50" type="noConversion"/>
  </si>
  <si>
    <t>AVDD18_DDRDXPLL</t>
    <phoneticPr fontId="50" type="noConversion"/>
  </si>
  <si>
    <t>AVDD18_DDRPLL_1/2</t>
    <phoneticPr fontId="50" type="noConversion"/>
  </si>
  <si>
    <t>DDR_VREF0</t>
    <phoneticPr fontId="50" type="noConversion"/>
  </si>
  <si>
    <t>DDR_VREF_ZQ</t>
    <phoneticPr fontId="50" type="noConversion"/>
  </si>
  <si>
    <t>DDR_VREF1</t>
    <phoneticPr fontId="50" type="noConversion"/>
  </si>
  <si>
    <t>DDR_VREF_1/2</t>
    <phoneticPr fontId="50" type="noConversion"/>
  </si>
  <si>
    <t>CH0_DVDD09</t>
    <phoneticPr fontId="50" type="noConversion"/>
  </si>
  <si>
    <t>CH1_DVDD09</t>
    <phoneticPr fontId="50" type="noConversion"/>
  </si>
  <si>
    <t>AVSS_ABB</t>
    <phoneticPr fontId="50" type="noConversion"/>
  </si>
  <si>
    <t>DVDD_USB</t>
    <phoneticPr fontId="50" type="noConversion"/>
  </si>
  <si>
    <t>VP_USB</t>
    <phoneticPr fontId="50" type="noConversion"/>
  </si>
  <si>
    <t>VPTX0_USB</t>
    <phoneticPr fontId="50" type="noConversion"/>
  </si>
  <si>
    <t>VDD330_USB</t>
    <phoneticPr fontId="50" type="noConversion"/>
  </si>
  <si>
    <t>VDD33_USB</t>
    <phoneticPr fontId="50" type="noConversion"/>
  </si>
  <si>
    <t>VPH_USB</t>
    <phoneticPr fontId="50" type="noConversion"/>
  </si>
  <si>
    <t>GD_USB</t>
    <phoneticPr fontId="50" type="noConversion"/>
  </si>
  <si>
    <t>VSSA0_USB</t>
    <phoneticPr fontId="50" type="noConversion"/>
  </si>
  <si>
    <t>VP_PCIE</t>
    <phoneticPr fontId="50" type="noConversion"/>
  </si>
  <si>
    <t>VP09_PCIE</t>
    <phoneticPr fontId="50" type="noConversion"/>
  </si>
  <si>
    <t>VPTX0_PCIE</t>
    <phoneticPr fontId="50" type="noConversion"/>
  </si>
  <si>
    <t>VPTX09_PCIE</t>
    <phoneticPr fontId="50" type="noConversion"/>
  </si>
  <si>
    <t>VPH_PCIE</t>
    <phoneticPr fontId="50" type="noConversion"/>
  </si>
  <si>
    <t>VP18_PCIE</t>
    <phoneticPr fontId="50" type="noConversion"/>
  </si>
  <si>
    <t>GD_PCIE</t>
    <phoneticPr fontId="50" type="noConversion"/>
  </si>
  <si>
    <t>HSIC</t>
    <phoneticPr fontId="50" type="noConversion"/>
  </si>
  <si>
    <t>VDD12_HSIC</t>
    <phoneticPr fontId="50" type="noConversion"/>
  </si>
  <si>
    <t>VSS12_HSIC</t>
    <phoneticPr fontId="50" type="noConversion"/>
  </si>
  <si>
    <t>AVDDH_PLL</t>
    <phoneticPr fontId="50" type="noConversion"/>
  </si>
  <si>
    <t>AVDDL_PLL</t>
    <phoneticPr fontId="50" type="noConversion"/>
  </si>
  <si>
    <t>AVSS_PLL</t>
    <phoneticPr fontId="50" type="noConversion"/>
  </si>
  <si>
    <t>PLL_BBP</t>
    <phoneticPr fontId="50" type="noConversion"/>
  </si>
  <si>
    <t>AVDDH_PLL_BBP</t>
    <phoneticPr fontId="50" type="noConversion"/>
  </si>
  <si>
    <t>AVDDH_BBPPLL</t>
    <phoneticPr fontId="50" type="noConversion"/>
  </si>
  <si>
    <t>AVDDL_PLL_BBP</t>
    <phoneticPr fontId="50" type="noConversion"/>
  </si>
  <si>
    <t>AVDDL_BBPPLL</t>
    <phoneticPr fontId="50" type="noConversion"/>
  </si>
  <si>
    <t>AVSS_PLL_BBP</t>
    <phoneticPr fontId="50" type="noConversion"/>
  </si>
  <si>
    <t>AVSS_BBPPLL</t>
    <phoneticPr fontId="50" type="noConversion"/>
  </si>
  <si>
    <t>AVDD18_TS</t>
    <phoneticPr fontId="50" type="noConversion"/>
  </si>
  <si>
    <t>AVSS_TS</t>
    <phoneticPr fontId="50" type="noConversion"/>
  </si>
  <si>
    <t>EFUSE</t>
    <phoneticPr fontId="50" type="noConversion"/>
  </si>
  <si>
    <t>VDD_EFUSE</t>
    <phoneticPr fontId="50" type="noConversion"/>
  </si>
  <si>
    <t>TXCO</t>
    <phoneticPr fontId="50" type="noConversion"/>
  </si>
  <si>
    <t>AVDD18_TCXO</t>
    <phoneticPr fontId="50" type="noConversion"/>
  </si>
  <si>
    <t>AVSS_TCXO</t>
    <phoneticPr fontId="50" type="noConversion"/>
  </si>
  <si>
    <t>CC库版本16：
1、修改PCIE PAD方向描述
2、修改驱动电流下拉选项为可配的有效值
3、jtag_trst_n的最高频率修改为1MHz
4、GPIO_2_03的描述中增加“复位时需要保证该PAD为输出”
5、更新Power$Gnd表项为powerlist_V3.3版本</t>
    <phoneticPr fontId="3" type="noConversion"/>
  </si>
  <si>
    <r>
      <t xml:space="preserve">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>容量，</t>
    </r>
    <r>
      <rPr>
        <sz val="10"/>
        <rFont val="Arial"/>
        <family val="2"/>
      </rPr>
      <t>page_size</t>
    </r>
    <r>
      <rPr>
        <sz val="10"/>
        <rFont val="宋体"/>
        <family val="3"/>
        <charset val="134"/>
      </rPr>
      <t>。</t>
    </r>
    <r>
      <rPr>
        <sz val="10"/>
        <rFont val="Arial"/>
        <family val="2"/>
      </rPr>
      <t>{gpio1[29],gpio1[28]}</t>
    </r>
    <r>
      <rPr>
        <sz val="10"/>
        <rFont val="宋体"/>
        <family val="3"/>
        <charset val="134"/>
      </rPr>
      <t xml:space="preserve">：
</t>
    </r>
    <r>
      <rPr>
        <sz val="10"/>
        <rFont val="Arial"/>
        <family val="2"/>
      </rPr>
      <t>00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512B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01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2KB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4KB</t>
    </r>
    <r>
      <rPr>
        <sz val="10"/>
        <rFont val="宋体"/>
        <family val="3"/>
        <charset val="134"/>
      </rPr>
      <t>。
默认值：</t>
    </r>
    <r>
      <rPr>
        <sz val="10"/>
        <rFont val="Arial"/>
        <family val="2"/>
      </rPr>
      <t>01</t>
    </r>
    <phoneticPr fontId="3" type="noConversion"/>
  </si>
  <si>
    <r>
      <t xml:space="preserve">
Boot</t>
    </r>
    <r>
      <rPr>
        <sz val="10"/>
        <rFont val="宋体"/>
        <family val="3"/>
        <charset val="134"/>
      </rPr>
      <t>时，选择</t>
    </r>
    <r>
      <rPr>
        <sz val="10"/>
        <rFont val="Arial"/>
        <family val="2"/>
      </rPr>
      <t>ECC</t>
    </r>
    <r>
      <rPr>
        <sz val="10"/>
        <rFont val="宋体"/>
        <family val="3"/>
        <charset val="134"/>
      </rPr>
      <t>模式，</t>
    </r>
    <r>
      <rPr>
        <sz val="10"/>
        <rFont val="Arial"/>
        <family val="2"/>
      </rPr>
      <t>ecc_type</t>
    </r>
    <r>
      <rPr>
        <sz val="10"/>
        <rFont val="宋体"/>
        <family val="3"/>
        <charset val="134"/>
      </rPr>
      <t>。</t>
    </r>
    <r>
      <rPr>
        <sz val="10"/>
        <rFont val="Arial"/>
        <family val="2"/>
      </rPr>
      <t>{gpio2[0],gpio1[31]}</t>
    </r>
    <r>
      <rPr>
        <sz val="10"/>
        <rFont val="宋体"/>
        <family val="3"/>
        <charset val="134"/>
      </rPr>
      <t xml:space="preserve">：
</t>
    </r>
    <r>
      <rPr>
        <sz val="10"/>
        <rFont val="Arial"/>
        <family val="2"/>
      </rPr>
      <t>01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ECC4/ECC1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ECC8</t>
    </r>
    <r>
      <rPr>
        <sz val="10"/>
        <rFont val="宋体"/>
        <family val="3"/>
        <charset val="134"/>
      </rPr>
      <t>。
默认值：</t>
    </r>
    <r>
      <rPr>
        <sz val="10"/>
        <rFont val="Arial"/>
        <family val="2"/>
      </rPr>
      <t>01</t>
    </r>
    <phoneticPr fontId="3" type="noConversion"/>
  </si>
  <si>
    <t>1.8VA</t>
    <phoneticPr fontId="3" type="noConversion"/>
  </si>
  <si>
    <t>CC库版本17：
1、NandFlash配置信息删除page size的8K和ECC的ECC0</t>
    <phoneticPr fontId="3" type="noConversion"/>
  </si>
  <si>
    <t>CC库版本18：
CH0_RX电压改为1.8V</t>
    <phoneticPr fontId="3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</si>
  <si>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</si>
  <si>
    <t>CH0_AGND09_PLL</t>
  </si>
  <si>
    <t>CH0_AVDD13_TX</t>
  </si>
  <si>
    <t>CH1_AGND18_RXA</t>
  </si>
  <si>
    <t>CH1_AGND18_RXB</t>
  </si>
  <si>
    <t>CH1_AGND18_TX</t>
  </si>
  <si>
    <t>CH1_AVDD09_PLL</t>
  </si>
  <si>
    <t>CH1_AVDD18_RXA</t>
  </si>
  <si>
    <t>CH1_AVDD18_RXB</t>
  </si>
  <si>
    <t>CH1_AVDD18_TX</t>
  </si>
  <si>
    <t>CH1_DGND09_TX</t>
  </si>
  <si>
    <t>CH1_DVDD09_TX</t>
  </si>
  <si>
    <t>CC库版本19：
1、删除DDR_VREF2/3/4
2、更新Power&amp;Gnd</t>
    <phoneticPr fontId="3" type="noConversion"/>
  </si>
  <si>
    <r>
      <t>Power</t>
    </r>
    <r>
      <rPr>
        <b/>
        <sz val="12"/>
        <rFont val="宋体"/>
        <family val="3"/>
        <charset val="134"/>
      </rPr>
      <t>用途</t>
    </r>
    <phoneticPr fontId="50" type="noConversion"/>
  </si>
  <si>
    <r>
      <rPr>
        <b/>
        <sz val="12"/>
        <rFont val="宋体"/>
        <family val="3"/>
        <charset val="134"/>
      </rPr>
      <t>电压（</t>
    </r>
    <r>
      <rPr>
        <b/>
        <sz val="12"/>
        <rFont val="Arial"/>
        <family val="2"/>
      </rPr>
      <t>V</t>
    </r>
    <r>
      <rPr>
        <b/>
        <sz val="12"/>
        <rFont val="宋体"/>
        <family val="3"/>
        <charset val="134"/>
      </rPr>
      <t>）</t>
    </r>
    <phoneticPr fontId="50" type="noConversion"/>
  </si>
  <si>
    <r>
      <t>Pillar</t>
    </r>
    <r>
      <rPr>
        <b/>
        <sz val="12"/>
        <rFont val="宋体"/>
        <family val="3"/>
        <charset val="134"/>
      </rPr>
      <t>名</t>
    </r>
    <phoneticPr fontId="50" type="noConversion"/>
  </si>
  <si>
    <r>
      <t>Pillar</t>
    </r>
    <r>
      <rPr>
        <b/>
        <sz val="12"/>
        <rFont val="宋体"/>
        <family val="3"/>
        <charset val="134"/>
      </rPr>
      <t>数目</t>
    </r>
    <phoneticPr fontId="50" type="noConversion"/>
  </si>
  <si>
    <r>
      <t>Ball</t>
    </r>
    <r>
      <rPr>
        <b/>
        <sz val="12"/>
        <rFont val="宋体"/>
        <family val="3"/>
        <charset val="134"/>
      </rPr>
      <t>名</t>
    </r>
    <phoneticPr fontId="50" type="noConversion"/>
  </si>
  <si>
    <r>
      <t>Ball</t>
    </r>
    <r>
      <rPr>
        <b/>
        <sz val="12"/>
        <rFont val="宋体"/>
        <family val="3"/>
        <charset val="134"/>
      </rPr>
      <t>数目</t>
    </r>
    <phoneticPr fontId="50" type="noConversion"/>
  </si>
  <si>
    <r>
      <rPr>
        <b/>
        <sz val="12"/>
        <rFont val="宋体"/>
        <family val="3"/>
        <charset val="134"/>
      </rPr>
      <t>备注</t>
    </r>
    <phoneticPr fontId="50" type="noConversion"/>
  </si>
  <si>
    <r>
      <t>Alwayson Core</t>
    </r>
    <r>
      <rPr>
        <sz val="12"/>
        <rFont val="宋体"/>
        <family val="3"/>
        <charset val="134"/>
      </rPr>
      <t>电源</t>
    </r>
    <phoneticPr fontId="50" type="noConversion"/>
  </si>
  <si>
    <r>
      <t>Peri Core</t>
    </r>
    <r>
      <rPr>
        <sz val="12"/>
        <rFont val="宋体"/>
        <family val="3"/>
        <charset val="134"/>
      </rPr>
      <t>电源</t>
    </r>
    <phoneticPr fontId="50" type="noConversion"/>
  </si>
  <si>
    <r>
      <rPr>
        <sz val="12"/>
        <rFont val="宋体"/>
        <family val="3"/>
        <charset val="134"/>
      </rPr>
      <t>数字地</t>
    </r>
    <phoneticPr fontId="50" type="noConversion"/>
  </si>
  <si>
    <r>
      <t>1.8V IO</t>
    </r>
    <r>
      <rPr>
        <sz val="12"/>
        <rFont val="宋体"/>
        <family val="3"/>
        <charset val="134"/>
      </rPr>
      <t>电源</t>
    </r>
    <phoneticPr fontId="50" type="noConversion"/>
  </si>
  <si>
    <t>DVDD18_2</t>
    <phoneticPr fontId="50" type="noConversion"/>
  </si>
  <si>
    <t>DVDD18_6</t>
    <phoneticPr fontId="50" type="noConversion"/>
  </si>
  <si>
    <t>MMC0</t>
    <phoneticPr fontId="5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</si>
  <si>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50" type="noConversion"/>
  </si>
  <si>
    <t>AVDD18_ET</t>
    <phoneticPr fontId="50" type="noConversion"/>
  </si>
  <si>
    <t>AVDD18</t>
    <phoneticPr fontId="50" type="noConversion"/>
  </si>
  <si>
    <t>AGND</t>
    <phoneticPr fontId="50" type="noConversion"/>
  </si>
  <si>
    <t>CH0_AGND13_TX</t>
    <phoneticPr fontId="50" type="noConversion"/>
  </si>
  <si>
    <t>CH0_AGND18_PLL</t>
    <phoneticPr fontId="50" type="noConversion"/>
  </si>
  <si>
    <t>CH0_AGND18_RXA</t>
    <phoneticPr fontId="50" type="noConversion"/>
  </si>
  <si>
    <t>CH0_AGND18_RXB</t>
    <phoneticPr fontId="50" type="noConversion"/>
  </si>
  <si>
    <t>CH0_AGND18_TX</t>
    <phoneticPr fontId="50" type="noConversion"/>
  </si>
  <si>
    <t>CH0_AVDD09_PLL</t>
    <phoneticPr fontId="50" type="noConversion"/>
  </si>
  <si>
    <t>AVDD13</t>
    <phoneticPr fontId="50" type="noConversion"/>
  </si>
  <si>
    <t>CH0_AVDD18_PLL</t>
    <phoneticPr fontId="50" type="noConversion"/>
  </si>
  <si>
    <t>CH0_AVDD18_RXA</t>
    <phoneticPr fontId="50" type="noConversion"/>
  </si>
  <si>
    <t>CH0_AVDD18_RXB</t>
    <phoneticPr fontId="50" type="noConversion"/>
  </si>
  <si>
    <t>CH0_AVDD18_TX</t>
    <phoneticPr fontId="50" type="noConversion"/>
  </si>
  <si>
    <t>CH0_DGND09_RX</t>
    <phoneticPr fontId="50" type="noConversion"/>
  </si>
  <si>
    <t>CH0_DGND09_TX</t>
    <phoneticPr fontId="50" type="noConversion"/>
  </si>
  <si>
    <t>CH0_DVDD09_RX</t>
    <phoneticPr fontId="50" type="noConversion"/>
  </si>
  <si>
    <t>CH0_DVDD09_TX</t>
    <phoneticPr fontId="50" type="noConversion"/>
  </si>
  <si>
    <t>CH1_AGND09_PLL</t>
    <phoneticPr fontId="50" type="noConversion"/>
  </si>
  <si>
    <t>CH1_AGND13_TX</t>
    <phoneticPr fontId="50" type="noConversion"/>
  </si>
  <si>
    <t>CH1_AGND18_PLL</t>
    <phoneticPr fontId="50" type="noConversion"/>
  </si>
  <si>
    <t>CH1_AVDD13_TX</t>
    <phoneticPr fontId="50" type="noConversion"/>
  </si>
  <si>
    <t>CH1_AVDD18_PLL</t>
    <phoneticPr fontId="50" type="noConversion"/>
  </si>
  <si>
    <t>CH1_DGND09_RX</t>
    <phoneticPr fontId="50" type="noConversion"/>
  </si>
  <si>
    <t>CH1_DVDD09_RX</t>
    <phoneticPr fontId="50" type="noConversion"/>
  </si>
  <si>
    <r>
      <t>0.9V</t>
    </r>
    <r>
      <rPr>
        <sz val="12"/>
        <rFont val="宋体"/>
        <family val="3"/>
        <charset val="134"/>
      </rPr>
      <t>的三个电源可以在板上合并。</t>
    </r>
    <phoneticPr fontId="50" type="noConversion"/>
  </si>
  <si>
    <t>CC库版本8：
增加一列，标注Die是否出Pillar；特殊信号处理中，uicc_dp控制为GPIO_3_01的重定向为uicc_ctrl1_1，uicc_dm控制为GPIO_3_02的重定向为uicc_ctrl1_1（以前分别为GPIO_2_25和GPIO_2_26）；NF频率调整为100MHz；NF高7bit调整为天线选择；nf_data8复用的gpio用作启动后标识ABB_ATE_MODE信号；ANTE_SEL21-24在PDM和MIPI复用2组；GPIO按形态划分级数简化为3级；TCXO_FREQ挪至GPIO满足EM形态需求；AUXDAC0增加复用GPIO；AFC_PDM IO从AO域调回PD域；NF配置信息2bit对应关系细化说明；NF配置信息挪到天线选择低7bit；ABB_ATE_MODE配置信号使用NF第8bit；挪常开域的19.2MHz时钟到掉电域；修改ao和iom寄存器的基地址，当前地址分配不够用；PMU挪到AO；3个GPIO从AO挪至PD；GPIO对接器件配置组合修改为与硬件讨论结果一致；ANTPA_SEL25-30复用到MMC0和Boot_mode；ANTPA_SEL21-24复用到PDM、MIPI，不单独出；ANTPA_SEL复用的WIFI共存放到ANTPA_SEL1-6；8线UART在FEM复用一组；根据硬件命名需求，将PAD名称GPIO_X_X统一改为GPIO_X_XX；DDR_VREF编号；i2c——&gt;i2c0，spi——&gt;spi0，spi0_cs——&gt;spi0_cs0，spi1_cs——&gt;spi1_cs0，tcssi1——&gt;tcssi；8线UART是UART1的扩展，修改8线相关信号名字为uart1_*；</t>
    <phoneticPr fontId="3" type="noConversion"/>
  </si>
  <si>
    <t>CC库版本20：
1、信号数量统计范围出错，修改
2、Power&amp;Gnd更新：加DVDD18_2，连到VDD18_MMC0</t>
    <phoneticPr fontId="3" type="noConversion"/>
  </si>
  <si>
    <t>gpio1_22_ctrl1_1:ios_mf_ctrl6[1]:D0</t>
    <phoneticPr fontId="3" type="noConversion"/>
  </si>
  <si>
    <t>复用功能选择</t>
    <phoneticPr fontId="3" type="noConversion"/>
  </si>
  <si>
    <t>内部上下拉选择</t>
    <phoneticPr fontId="3" type="noConversion"/>
  </si>
  <si>
    <t>驱动能力选择</t>
    <phoneticPr fontId="3" type="noConversion"/>
  </si>
  <si>
    <t>是否使用</t>
    <phoneticPr fontId="3" type="noConversion"/>
  </si>
  <si>
    <t>是否生成</t>
    <phoneticPr fontId="3" type="noConversion"/>
  </si>
  <si>
    <t>根据硬件设计选填，自动生成IO Share底软初始化代码</t>
    <phoneticPr fontId="3" type="noConversion"/>
  </si>
  <si>
    <t>default</t>
  </si>
  <si>
    <t>Yes</t>
  </si>
  <si>
    <t>default</t>
    <phoneticPr fontId="3" type="noConversion"/>
  </si>
  <si>
    <t>default</t>
    <phoneticPr fontId="3" type="noConversion"/>
  </si>
  <si>
    <t>efusec_data_pad[11]</t>
  </si>
  <si>
    <r>
      <t xml:space="preserve">余军霞 </t>
    </r>
    <r>
      <rPr>
        <sz val="12"/>
        <rFont val="宋体"/>
        <family val="3"/>
        <charset val="134"/>
      </rPr>
      <t>00114070</t>
    </r>
    <phoneticPr fontId="3" type="noConversion"/>
  </si>
  <si>
    <t>1、添加G~K列可根据硬件设计选填，自动生成IO Share底软初始化代码
2、添加sheet1表格（已经隐藏，勿动）</t>
    <phoneticPr fontId="3" type="noConversion"/>
  </si>
  <si>
    <t>1、添加管脚复用VBA代码
2、去掉了原有芯片代码生产按键，添加生成“生成DRV代码”按键</t>
    <phoneticPr fontId="3" type="noConversion"/>
  </si>
  <si>
    <t>刘文慧 00225826</t>
    <phoneticPr fontId="3" type="noConversion"/>
  </si>
  <si>
    <t>antpa_sel[0]</t>
  </si>
  <si>
    <t>antpa_sel[7]</t>
  </si>
  <si>
    <t>antpa_sel[8]</t>
  </si>
  <si>
    <t>antpa_sel[9]</t>
  </si>
  <si>
    <t>antpa_sel[10]</t>
  </si>
  <si>
    <t>antpa_sel[11]</t>
  </si>
  <si>
    <t>antpa_sel[12]</t>
  </si>
  <si>
    <t>antpa_sel[13]</t>
  </si>
  <si>
    <t>antpa_sel[14]</t>
  </si>
  <si>
    <t>antpa_sel[15]</t>
  </si>
  <si>
    <t>antpa_sel[16]</t>
  </si>
  <si>
    <t>antpa_sel[17]</t>
  </si>
  <si>
    <t>antpa_sel[18]</t>
  </si>
  <si>
    <t>antpa_sel[19]</t>
  </si>
  <si>
    <t>antpa_sel[20]</t>
  </si>
  <si>
    <t>no-pull</t>
  </si>
  <si>
    <t>ch1_mipi_clk</t>
  </si>
  <si>
    <t>ch1_mipi_data</t>
  </si>
  <si>
    <t>ch0_apt_pdm</t>
  </si>
  <si>
    <t>ch0_mipi_clk</t>
  </si>
  <si>
    <t>ch0_mipi_data</t>
  </si>
  <si>
    <t>antpa_sel[21]</t>
  </si>
  <si>
    <t>antpa_sel[24]</t>
  </si>
  <si>
    <t>lte_frame_sync</t>
  </si>
  <si>
    <t>uart1_txd</t>
  </si>
  <si>
    <t>uart1_rxd</t>
  </si>
  <si>
    <t>i2c0_sda</t>
  </si>
  <si>
    <t>i2c0_scl</t>
  </si>
  <si>
    <t>i2c1_sda</t>
  </si>
  <si>
    <t>lte_tx_active</t>
  </si>
  <si>
    <t>i2c1_scl</t>
    <phoneticPr fontId="3" type="noConversion"/>
  </si>
  <si>
    <t>GPIO_2_31</t>
    <phoneticPr fontId="3" type="noConversion"/>
  </si>
  <si>
    <t>antpa_sel[25]</t>
  </si>
  <si>
    <t>no-pull</t>
    <phoneticPr fontId="3" type="noConversion"/>
  </si>
  <si>
    <t>1、增加了对UDP平台上的管脚默认复用功能和IO上电状态配置的说明</t>
    <phoneticPr fontId="3" type="noConversion"/>
  </si>
  <si>
    <r>
      <t xml:space="preserve">宋永刚 </t>
    </r>
    <r>
      <rPr>
        <sz val="12"/>
        <rFont val="宋体"/>
        <family val="3"/>
        <charset val="134"/>
      </rPr>
      <t>00194148</t>
    </r>
    <phoneticPr fontId="3" type="noConversion"/>
  </si>
  <si>
    <t>lte_rx_active</t>
    <phoneticPr fontId="3" type="noConversion"/>
  </si>
  <si>
    <t>wlan_bt_rx_priority</t>
    <phoneticPr fontId="3" type="noConversion"/>
  </si>
  <si>
    <t>hs_uart_cts_n</t>
    <phoneticPr fontId="3" type="noConversion"/>
  </si>
  <si>
    <t>请输入产品名称：</t>
    <phoneticPr fontId="3" type="noConversion"/>
  </si>
  <si>
    <t>UDP</t>
    <phoneticPr fontId="3" type="noConversion"/>
  </si>
  <si>
    <t>生成文件路径：</t>
    <phoneticPr fontId="3" type="noConversion"/>
  </si>
  <si>
    <t>当前目录\xx_ios_pd_config.h</t>
    <phoneticPr fontId="3" type="noConversion"/>
  </si>
</sst>
</file>

<file path=xl/styles.xml><?xml version="1.0" encoding="utf-8"?>
<styleSheet xmlns="http://schemas.openxmlformats.org/spreadsheetml/2006/main">
  <fonts count="63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i/>
      <sz val="14"/>
      <name val="宋体"/>
      <family val="3"/>
      <charset val="134"/>
    </font>
    <font>
      <i/>
      <sz val="12"/>
      <name val="宋体"/>
      <family val="3"/>
      <charset val="134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4"/>
      <name val="宋体"/>
      <family val="3"/>
      <charset val="134"/>
    </font>
    <font>
      <sz val="12"/>
      <color indexed="55"/>
      <name val="宋体"/>
      <family val="3"/>
      <charset val="134"/>
    </font>
    <font>
      <sz val="10"/>
      <color indexed="55"/>
      <name val="Arial"/>
      <family val="2"/>
    </font>
    <font>
      <sz val="14"/>
      <color indexed="55"/>
      <name val="宋体"/>
      <family val="3"/>
      <charset val="134"/>
    </font>
    <font>
      <sz val="10"/>
      <color indexed="55"/>
      <name val="宋体"/>
      <family val="3"/>
      <charset val="134"/>
    </font>
    <font>
      <sz val="12"/>
      <name val="Times New Roman"/>
      <family val="1"/>
    </font>
    <font>
      <sz val="10"/>
      <color indexed="8"/>
      <name val="Arial"/>
      <family val="2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53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0.5"/>
      <name val="Arial"/>
      <family val="2"/>
    </font>
    <font>
      <sz val="10.5"/>
      <name val="Arial"/>
      <family val="2"/>
    </font>
    <font>
      <sz val="10.5"/>
      <name val="宋体"/>
      <family val="3"/>
      <charset val="134"/>
    </font>
    <font>
      <sz val="10.5"/>
      <name val="Times New Roman"/>
      <family val="1"/>
    </font>
    <font>
      <sz val="10.5"/>
      <color rgb="FFFF0000"/>
      <name val="Arial"/>
      <family val="2"/>
    </font>
    <font>
      <sz val="10.5"/>
      <color rgb="FFFF0000"/>
      <name val="宋体"/>
      <family val="3"/>
      <charset val="134"/>
    </font>
    <font>
      <sz val="12"/>
      <color rgb="FFFF0000"/>
      <name val="Arial"/>
      <family val="2"/>
    </font>
    <font>
      <vertAlign val="superscript"/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10"/>
      <name val="Arial Unicode MS"/>
      <family val="2"/>
      <charset val="134"/>
    </font>
    <font>
      <strike/>
      <sz val="12"/>
      <name val="宋体"/>
      <family val="3"/>
      <charset val="134"/>
    </font>
    <font>
      <strike/>
      <sz val="10"/>
      <name val="Arial"/>
      <family val="2"/>
    </font>
    <font>
      <sz val="10"/>
      <name val="FrutigerNext LT Regular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14"/>
      <color rgb="FF00B0F0"/>
      <name val="Arial"/>
      <family val="2"/>
    </font>
    <font>
      <sz val="14"/>
      <color rgb="FF00B050"/>
      <name val="Arial"/>
      <family val="2"/>
    </font>
    <font>
      <sz val="10"/>
      <color theme="0" tint="-0.499984740745262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63377788628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3">
    <xf numFmtId="0" fontId="0" fillId="0" borderId="0"/>
    <xf numFmtId="0" fontId="17" fillId="0" borderId="0"/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22" fillId="2" borderId="0" applyNumberFormat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34" fillId="0" borderId="0">
      <alignment vertical="center"/>
    </xf>
    <xf numFmtId="0" fontId="2" fillId="0" borderId="0"/>
    <xf numFmtId="0" fontId="25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17" fillId="0" borderId="0"/>
    <xf numFmtId="0" fontId="35" fillId="0" borderId="0">
      <alignment vertical="center"/>
    </xf>
    <xf numFmtId="0" fontId="38" fillId="0" borderId="0">
      <alignment vertical="center"/>
    </xf>
    <xf numFmtId="0" fontId="19" fillId="2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552">
    <xf numFmtId="0" fontId="0" fillId="0" borderId="0" xfId="0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4" borderId="0" xfId="0" applyFill="1" applyAlignment="1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9" fillId="5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/>
    <xf numFmtId="0" fontId="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8" borderId="1" xfId="0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9" fontId="13" fillId="0" borderId="1" xfId="0" applyNumberFormat="1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vertical="center"/>
    </xf>
    <xf numFmtId="0" fontId="8" fillId="7" borderId="3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/>
    </xf>
    <xf numFmtId="0" fontId="13" fillId="7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18" fillId="10" borderId="6" xfId="1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28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 applyProtection="1">
      <alignment vertical="center"/>
    </xf>
    <xf numFmtId="0" fontId="8" fillId="7" borderId="3" xfId="0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31" fillId="0" borderId="1" xfId="0" applyFont="1" applyFill="1" applyBorder="1" applyAlignment="1">
      <alignment horizontal="center" vertical="center" wrapText="1"/>
    </xf>
    <xf numFmtId="0" fontId="8" fillId="10" borderId="6" xfId="10" applyFont="1" applyFill="1" applyBorder="1" applyAlignment="1">
      <alignment horizontal="left" vertical="center"/>
    </xf>
    <xf numFmtId="0" fontId="32" fillId="0" borderId="1" xfId="0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0" fillId="0" borderId="0" xfId="17" applyFont="1">
      <alignment vertical="center"/>
    </xf>
    <xf numFmtId="0" fontId="2" fillId="0" borderId="0" xfId="17" applyFont="1">
      <alignment vertical="center"/>
    </xf>
    <xf numFmtId="0" fontId="0" fillId="0" borderId="0" xfId="18" applyFont="1">
      <alignment vertical="center"/>
    </xf>
    <xf numFmtId="0" fontId="0" fillId="13" borderId="1" xfId="18" applyFont="1" applyFill="1" applyBorder="1">
      <alignment vertical="center"/>
    </xf>
    <xf numFmtId="0" fontId="0" fillId="14" borderId="1" xfId="18" applyFont="1" applyFill="1" applyBorder="1">
      <alignment vertical="center"/>
    </xf>
    <xf numFmtId="0" fontId="2" fillId="13" borderId="1" xfId="18" applyFont="1" applyFill="1" applyBorder="1">
      <alignment vertical="center"/>
    </xf>
    <xf numFmtId="0" fontId="2" fillId="14" borderId="1" xfId="18" applyFont="1" applyFill="1" applyBorder="1">
      <alignment vertical="center"/>
    </xf>
    <xf numFmtId="0" fontId="0" fillId="14" borderId="1" xfId="18" applyFont="1" applyFill="1" applyBorder="1" applyAlignment="1">
      <alignment vertical="center" wrapText="1"/>
    </xf>
    <xf numFmtId="0" fontId="2" fillId="14" borderId="1" xfId="18" applyFont="1" applyFill="1" applyBorder="1" applyAlignment="1">
      <alignment vertical="center" wrapText="1"/>
    </xf>
    <xf numFmtId="0" fontId="2" fillId="9" borderId="6" xfId="0" applyFont="1" applyFill="1" applyBorder="1" applyAlignment="1">
      <alignment vertical="center"/>
    </xf>
    <xf numFmtId="0" fontId="37" fillId="9" borderId="6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15" borderId="1" xfId="17" applyFont="1" applyFill="1" applyBorder="1">
      <alignment vertical="center"/>
    </xf>
    <xf numFmtId="0" fontId="0" fillId="15" borderId="1" xfId="17" applyFont="1" applyFill="1" applyBorder="1">
      <alignment vertical="center"/>
    </xf>
    <xf numFmtId="0" fontId="2" fillId="17" borderId="1" xfId="17" applyFont="1" applyFill="1" applyBorder="1">
      <alignment vertical="center"/>
    </xf>
    <xf numFmtId="0" fontId="0" fillId="17" borderId="1" xfId="17" applyFont="1" applyFill="1" applyBorder="1">
      <alignment vertical="center"/>
    </xf>
    <xf numFmtId="0" fontId="0" fillId="11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2" fillId="19" borderId="1" xfId="0" applyFont="1" applyFill="1" applyBorder="1" applyAlignment="1">
      <alignment vertical="center"/>
    </xf>
    <xf numFmtId="0" fontId="2" fillId="0" borderId="0" xfId="0" applyFont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42" fillId="20" borderId="20" xfId="0" applyFont="1" applyFill="1" applyBorder="1" applyAlignment="1">
      <alignment horizontal="center" vertical="top" wrapText="1"/>
    </xf>
    <xf numFmtId="0" fontId="42" fillId="20" borderId="21" xfId="0" applyFont="1" applyFill="1" applyBorder="1" applyAlignment="1">
      <alignment horizontal="center" vertical="top" wrapText="1"/>
    </xf>
    <xf numFmtId="0" fontId="43" fillId="0" borderId="22" xfId="0" applyFont="1" applyBorder="1" applyAlignment="1">
      <alignment vertical="top" wrapText="1"/>
    </xf>
    <xf numFmtId="0" fontId="43" fillId="0" borderId="23" xfId="0" applyFont="1" applyBorder="1" applyAlignment="1">
      <alignment vertical="top" wrapText="1"/>
    </xf>
    <xf numFmtId="0" fontId="44" fillId="0" borderId="23" xfId="0" applyFont="1" applyBorder="1" applyAlignment="1">
      <alignment vertical="top" wrapText="1"/>
    </xf>
    <xf numFmtId="0" fontId="45" fillId="0" borderId="0" xfId="0" applyFont="1" applyAlignment="1">
      <alignment vertical="center"/>
    </xf>
    <xf numFmtId="0" fontId="46" fillId="0" borderId="23" xfId="0" applyFont="1" applyBorder="1" applyAlignment="1">
      <alignment vertical="top" wrapText="1"/>
    </xf>
    <xf numFmtId="0" fontId="46" fillId="0" borderId="22" xfId="0" applyFont="1" applyBorder="1" applyAlignment="1">
      <alignment vertical="top" wrapText="1"/>
    </xf>
    <xf numFmtId="0" fontId="2" fillId="0" borderId="7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 wrapText="1"/>
    </xf>
    <xf numFmtId="0" fontId="2" fillId="21" borderId="1" xfId="0" applyFont="1" applyFill="1" applyBorder="1" applyAlignment="1">
      <alignment vertical="center" wrapText="1"/>
    </xf>
    <xf numFmtId="0" fontId="0" fillId="17" borderId="1" xfId="0" applyFill="1" applyBorder="1" applyAlignment="1">
      <alignment vertical="center"/>
    </xf>
    <xf numFmtId="0" fontId="2" fillId="17" borderId="1" xfId="0" applyFont="1" applyFill="1" applyBorder="1" applyAlignment="1">
      <alignment vertical="center"/>
    </xf>
    <xf numFmtId="0" fontId="2" fillId="17" borderId="1" xfId="0" applyFont="1" applyFill="1" applyBorder="1" applyAlignment="1">
      <alignment vertical="center" wrapText="1"/>
    </xf>
    <xf numFmtId="0" fontId="2" fillId="16" borderId="1" xfId="0" applyFont="1" applyFill="1" applyBorder="1" applyAlignment="1">
      <alignment vertical="center"/>
    </xf>
    <xf numFmtId="0" fontId="0" fillId="16" borderId="1" xfId="0" applyFill="1" applyBorder="1" applyAlignment="1">
      <alignment vertical="center"/>
    </xf>
    <xf numFmtId="0" fontId="9" fillId="15" borderId="1" xfId="0" applyFont="1" applyFill="1" applyBorder="1" applyAlignment="1">
      <alignment vertical="center"/>
    </xf>
    <xf numFmtId="0" fontId="6" fillId="0" borderId="20" xfId="0" applyFont="1" applyBorder="1" applyAlignment="1">
      <alignment vertical="top" wrapText="1"/>
    </xf>
    <xf numFmtId="0" fontId="7" fillId="0" borderId="22" xfId="0" applyFont="1" applyBorder="1" applyAlignment="1">
      <alignment vertical="top" wrapText="1"/>
    </xf>
    <xf numFmtId="0" fontId="48" fillId="0" borderId="22" xfId="0" applyFont="1" applyBorder="1" applyAlignment="1">
      <alignment vertical="top" wrapText="1"/>
    </xf>
    <xf numFmtId="0" fontId="2" fillId="0" borderId="8" xfId="0" applyFont="1" applyBorder="1" applyAlignment="1">
      <alignment vertical="center"/>
    </xf>
    <xf numFmtId="0" fontId="41" fillId="14" borderId="1" xfId="18" applyFont="1" applyFill="1" applyBorder="1">
      <alignment vertical="center"/>
    </xf>
    <xf numFmtId="0" fontId="41" fillId="15" borderId="1" xfId="17" applyFont="1" applyFill="1" applyBorder="1">
      <alignment vertical="center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2" fillId="0" borderId="1" xfId="0" applyFont="1" applyBorder="1" applyAlignment="1">
      <alignment vertical="center" wrapText="1" shrinkToFit="1"/>
    </xf>
    <xf numFmtId="0" fontId="0" fillId="0" borderId="0" xfId="0" applyAlignment="1">
      <alignment vertical="center"/>
    </xf>
    <xf numFmtId="0" fontId="2" fillId="0" borderId="0" xfId="0" applyFont="1" applyAlignment="1">
      <alignment vertical="center" wrapText="1"/>
    </xf>
    <xf numFmtId="0" fontId="0" fillId="13" borderId="1" xfId="17" applyFont="1" applyFill="1" applyBorder="1">
      <alignment vertical="center"/>
    </xf>
    <xf numFmtId="0" fontId="2" fillId="13" borderId="1" xfId="17" applyFont="1" applyFill="1" applyBorder="1">
      <alignment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7" fillId="0" borderId="24" xfId="0" applyFont="1" applyBorder="1" applyAlignment="1">
      <alignment vertical="top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right" vertical="center"/>
    </xf>
    <xf numFmtId="0" fontId="0" fillId="15" borderId="1" xfId="0" applyFill="1" applyBorder="1" applyAlignment="1">
      <alignment horizontal="right" vertical="center"/>
    </xf>
    <xf numFmtId="0" fontId="2" fillId="15" borderId="1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  <xf numFmtId="0" fontId="9" fillId="23" borderId="20" xfId="0" applyFont="1" applyFill="1" applyBorder="1" applyAlignment="1">
      <alignment vertical="top" wrapText="1"/>
    </xf>
    <xf numFmtId="0" fontId="6" fillId="23" borderId="24" xfId="0" applyFont="1" applyFill="1" applyBorder="1" applyAlignment="1">
      <alignment vertical="top" wrapText="1"/>
    </xf>
    <xf numFmtId="0" fontId="2" fillId="24" borderId="1" xfId="0" applyFont="1" applyFill="1" applyBorder="1" applyAlignment="1">
      <alignment vertical="center"/>
    </xf>
    <xf numFmtId="0" fontId="2" fillId="24" borderId="1" xfId="0" applyFont="1" applyFill="1" applyBorder="1" applyAlignment="1">
      <alignment vertical="center" wrapText="1"/>
    </xf>
    <xf numFmtId="0" fontId="41" fillId="24" borderId="1" xfId="0" applyFont="1" applyFill="1" applyBorder="1" applyAlignment="1">
      <alignment vertical="center" wrapText="1"/>
    </xf>
    <xf numFmtId="0" fontId="2" fillId="22" borderId="1" xfId="0" applyFont="1" applyFill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0" xfId="0" applyAlignment="1">
      <alignment vertical="center" wrapText="1"/>
    </xf>
    <xf numFmtId="0" fontId="8" fillId="26" borderId="6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vertical="center" wrapText="1"/>
    </xf>
    <xf numFmtId="0" fontId="8" fillId="26" borderId="6" xfId="0" applyFont="1" applyFill="1" applyBorder="1" applyAlignment="1">
      <alignment horizontal="left" vertical="center" wrapText="1"/>
    </xf>
    <xf numFmtId="0" fontId="2" fillId="9" borderId="4" xfId="0" applyFont="1" applyFill="1" applyBorder="1" applyAlignment="1">
      <alignment vertical="center"/>
    </xf>
    <xf numFmtId="0" fontId="2" fillId="0" borderId="1" xfId="7" applyBorder="1">
      <alignment vertical="center"/>
    </xf>
    <xf numFmtId="0" fontId="18" fillId="27" borderId="6" xfId="10" applyFont="1" applyFill="1" applyBorder="1" applyAlignment="1">
      <alignment horizontal="left" vertical="center"/>
    </xf>
    <xf numFmtId="0" fontId="8" fillId="25" borderId="1" xfId="0" applyFont="1" applyFill="1" applyBorder="1" applyAlignment="1">
      <alignment vertical="center"/>
    </xf>
    <xf numFmtId="0" fontId="18" fillId="28" borderId="1" xfId="10" applyFont="1" applyFill="1" applyBorder="1">
      <alignment vertical="center"/>
    </xf>
    <xf numFmtId="0" fontId="8" fillId="25" borderId="1" xfId="0" applyFont="1" applyFill="1" applyBorder="1" applyAlignment="1">
      <alignment vertical="center" wrapText="1"/>
    </xf>
    <xf numFmtId="0" fontId="8" fillId="28" borderId="1" xfId="0" applyFont="1" applyFill="1" applyBorder="1" applyAlignment="1">
      <alignment vertical="center"/>
    </xf>
    <xf numFmtId="0" fontId="10" fillId="10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/>
    </xf>
    <xf numFmtId="0" fontId="8" fillId="29" borderId="6" xfId="10" applyFont="1" applyFill="1" applyBorder="1" applyAlignment="1">
      <alignment horizontal="left" vertical="center"/>
    </xf>
    <xf numFmtId="0" fontId="8" fillId="28" borderId="6" xfId="1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8" fillId="29" borderId="6" xfId="0" applyFont="1" applyFill="1" applyBorder="1" applyAlignment="1">
      <alignment horizontal="left" vertical="center"/>
    </xf>
    <xf numFmtId="0" fontId="2" fillId="0" borderId="0" xfId="7">
      <alignment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vertical="center" wrapText="1"/>
    </xf>
    <xf numFmtId="0" fontId="7" fillId="5" borderId="1" xfId="0" applyFont="1" applyFill="1" applyBorder="1" applyAlignment="1">
      <alignment vertical="center"/>
    </xf>
    <xf numFmtId="0" fontId="2" fillId="28" borderId="1" xfId="7" applyFont="1" applyFill="1" applyBorder="1">
      <alignment vertical="center"/>
    </xf>
    <xf numFmtId="0" fontId="2" fillId="7" borderId="1" xfId="0" applyFont="1" applyFill="1" applyBorder="1" applyAlignment="1" applyProtection="1">
      <alignment vertical="center"/>
    </xf>
    <xf numFmtId="0" fontId="2" fillId="7" borderId="1" xfId="0" applyFont="1" applyFill="1" applyBorder="1" applyAlignment="1" applyProtection="1">
      <alignment vertical="center" wrapText="1"/>
    </xf>
    <xf numFmtId="0" fontId="7" fillId="0" borderId="24" xfId="0" applyFont="1" applyBorder="1" applyAlignment="1">
      <alignment vertical="top" wrapText="1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41" fillId="0" borderId="1" xfId="7" applyFont="1" applyBorder="1">
      <alignment vertical="center"/>
    </xf>
    <xf numFmtId="0" fontId="2" fillId="28" borderId="1" xfId="0" applyFont="1" applyFill="1" applyBorder="1" applyAlignment="1">
      <alignment vertical="center"/>
    </xf>
    <xf numFmtId="0" fontId="8" fillId="10" borderId="6" xfId="10" applyFont="1" applyFill="1" applyBorder="1" applyAlignment="1">
      <alignment horizontal="left" vertical="center" wrapText="1"/>
    </xf>
    <xf numFmtId="0" fontId="2" fillId="31" borderId="0" xfId="0" applyFont="1" applyFill="1" applyAlignment="1" applyProtection="1">
      <alignment vertical="center"/>
    </xf>
    <xf numFmtId="0" fontId="2" fillId="32" borderId="0" xfId="7" applyFill="1">
      <alignment vertical="center"/>
    </xf>
    <xf numFmtId="0" fontId="2" fillId="28" borderId="0" xfId="7" applyFill="1">
      <alignment vertical="center"/>
    </xf>
    <xf numFmtId="0" fontId="2" fillId="30" borderId="0" xfId="7" applyFill="1">
      <alignment vertical="center"/>
    </xf>
    <xf numFmtId="0" fontId="2" fillId="29" borderId="0" xfId="7" applyFill="1">
      <alignment vertical="center"/>
    </xf>
    <xf numFmtId="0" fontId="2" fillId="27" borderId="0" xfId="7" applyFill="1">
      <alignment vertical="center"/>
    </xf>
    <xf numFmtId="0" fontId="2" fillId="29" borderId="1" xfId="7" applyFill="1" applyBorder="1">
      <alignment vertical="center"/>
    </xf>
    <xf numFmtId="0" fontId="2" fillId="29" borderId="5" xfId="7" applyFill="1" applyBorder="1">
      <alignment vertical="center"/>
    </xf>
    <xf numFmtId="0" fontId="2" fillId="28" borderId="1" xfId="7" applyFill="1" applyBorder="1">
      <alignment vertical="center"/>
    </xf>
    <xf numFmtId="0" fontId="2" fillId="30" borderId="1" xfId="7" applyFill="1" applyBorder="1">
      <alignment vertical="center"/>
    </xf>
    <xf numFmtId="0" fontId="2" fillId="29" borderId="6" xfId="7" applyFill="1" applyBorder="1">
      <alignment vertical="center"/>
    </xf>
    <xf numFmtId="0" fontId="2" fillId="27" borderId="1" xfId="7" applyFill="1" applyBorder="1">
      <alignment vertical="center"/>
    </xf>
    <xf numFmtId="0" fontId="2" fillId="0" borderId="0" xfId="7" applyAlignment="1">
      <alignment horizontal="center" vertical="center"/>
    </xf>
    <xf numFmtId="0" fontId="2" fillId="0" borderId="0" xfId="7" applyFont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/>
    </xf>
    <xf numFmtId="0" fontId="8" fillId="28" borderId="3" xfId="0" applyFont="1" applyFill="1" applyBorder="1" applyAlignment="1">
      <alignment vertical="center"/>
    </xf>
    <xf numFmtId="0" fontId="2" fillId="27" borderId="1" xfId="7" applyFont="1" applyFill="1" applyBorder="1">
      <alignment vertical="center"/>
    </xf>
    <xf numFmtId="0" fontId="18" fillId="28" borderId="3" xfId="0" applyFont="1" applyFill="1" applyBorder="1" applyAlignment="1">
      <alignment vertical="center"/>
    </xf>
    <xf numFmtId="0" fontId="8" fillId="28" borderId="1" xfId="10" applyFont="1" applyFill="1" applyBorder="1">
      <alignment vertical="center"/>
    </xf>
    <xf numFmtId="0" fontId="18" fillId="28" borderId="0" xfId="10" applyFont="1" applyFill="1" applyBorder="1">
      <alignment vertical="center"/>
    </xf>
    <xf numFmtId="0" fontId="8" fillId="28" borderId="1" xfId="10" applyFont="1" applyFill="1" applyBorder="1" applyAlignment="1">
      <alignment horizontal="left" vertical="center"/>
    </xf>
    <xf numFmtId="0" fontId="8" fillId="28" borderId="1" xfId="0" applyFont="1" applyFill="1" applyBorder="1" applyAlignment="1">
      <alignment vertical="center" wrapText="1"/>
    </xf>
    <xf numFmtId="0" fontId="8" fillId="28" borderId="0" xfId="0" applyFont="1" applyFill="1" applyBorder="1" applyAlignment="1">
      <alignment vertical="center"/>
    </xf>
    <xf numFmtId="0" fontId="8" fillId="28" borderId="1" xfId="9" applyFont="1" applyFill="1" applyBorder="1" applyAlignment="1">
      <alignment vertical="center" wrapText="1"/>
    </xf>
    <xf numFmtId="0" fontId="8" fillId="33" borderId="1" xfId="0" applyFont="1" applyFill="1" applyBorder="1" applyAlignment="1">
      <alignment vertical="center"/>
    </xf>
    <xf numFmtId="0" fontId="8" fillId="33" borderId="1" xfId="0" applyFont="1" applyFill="1" applyBorder="1" applyAlignment="1">
      <alignment vertical="center" wrapText="1"/>
    </xf>
    <xf numFmtId="0" fontId="0" fillId="33" borderId="6" xfId="0" applyFill="1" applyBorder="1" applyAlignment="1">
      <alignment horizontal="left" vertical="center"/>
    </xf>
    <xf numFmtId="0" fontId="18" fillId="33" borderId="6" xfId="10" applyFont="1" applyFill="1" applyBorder="1" applyAlignment="1">
      <alignment horizontal="center" vertical="center"/>
    </xf>
    <xf numFmtId="0" fontId="41" fillId="0" borderId="0" xfId="0" applyFont="1" applyBorder="1" applyAlignment="1">
      <alignment vertical="center"/>
    </xf>
    <xf numFmtId="9" fontId="41" fillId="0" borderId="0" xfId="0" applyNumberFormat="1" applyFont="1" applyBorder="1" applyAlignment="1">
      <alignment vertical="center"/>
    </xf>
    <xf numFmtId="0" fontId="41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49" fontId="2" fillId="0" borderId="0" xfId="0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2" fillId="9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8" fillId="29" borderId="1" xfId="0" applyFont="1" applyFill="1" applyBorder="1" applyAlignment="1">
      <alignment vertical="center"/>
    </xf>
    <xf numFmtId="0" fontId="8" fillId="29" borderId="3" xfId="0" applyFont="1" applyFill="1" applyBorder="1" applyAlignment="1">
      <alignment vertical="center"/>
    </xf>
    <xf numFmtId="0" fontId="8" fillId="29" borderId="1" xfId="0" applyFont="1" applyFill="1" applyBorder="1" applyAlignment="1">
      <alignment vertical="center" wrapText="1"/>
    </xf>
    <xf numFmtId="0" fontId="8" fillId="29" borderId="0" xfId="0" applyFont="1" applyFill="1" applyBorder="1" applyAlignment="1">
      <alignment vertical="center"/>
    </xf>
    <xf numFmtId="0" fontId="8" fillId="26" borderId="0" xfId="0" applyFont="1" applyFill="1" applyBorder="1" applyAlignment="1">
      <alignment horizontal="left" vertical="center"/>
    </xf>
    <xf numFmtId="0" fontId="2" fillId="28" borderId="1" xfId="0" applyFont="1" applyFill="1" applyBorder="1" applyAlignment="1">
      <alignment horizontal="center" vertical="center" wrapText="1"/>
    </xf>
    <xf numFmtId="0" fontId="0" fillId="28" borderId="1" xfId="0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2" fillId="34" borderId="1" xfId="7" applyFill="1" applyBorder="1">
      <alignment vertical="center"/>
    </xf>
    <xf numFmtId="0" fontId="2" fillId="34" borderId="7" xfId="7" applyFill="1" applyBorder="1">
      <alignment vertical="center"/>
    </xf>
    <xf numFmtId="0" fontId="2" fillId="35" borderId="1" xfId="7" applyFill="1" applyBorder="1">
      <alignment vertical="center"/>
    </xf>
    <xf numFmtId="0" fontId="2" fillId="0" borderId="1" xfId="7" applyFont="1" applyBorder="1">
      <alignment vertical="center"/>
    </xf>
    <xf numFmtId="0" fontId="2" fillId="0" borderId="1" xfId="7" applyFont="1" applyBorder="1" applyAlignment="1">
      <alignment horizontal="center" vertical="center"/>
    </xf>
    <xf numFmtId="0" fontId="2" fillId="0" borderId="1" xfId="7" applyFont="1" applyBorder="1" applyAlignment="1">
      <alignment horizontal="left" vertical="center"/>
    </xf>
    <xf numFmtId="0" fontId="10" fillId="33" borderId="1" xfId="0" applyFont="1" applyFill="1" applyBorder="1" applyAlignment="1">
      <alignment vertical="center"/>
    </xf>
    <xf numFmtId="0" fontId="2" fillId="36" borderId="1" xfId="0" applyFont="1" applyFill="1" applyBorder="1" applyAlignment="1">
      <alignment horizontal="center" vertical="center"/>
    </xf>
    <xf numFmtId="0" fontId="2" fillId="36" borderId="1" xfId="0" applyFont="1" applyFill="1" applyBorder="1" applyAlignment="1">
      <alignment horizontal="center" vertical="center" wrapText="1"/>
    </xf>
    <xf numFmtId="0" fontId="0" fillId="36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2" fillId="27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12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0" fillId="28" borderId="1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36" borderId="1" xfId="0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37" borderId="1" xfId="0" applyFont="1" applyFill="1" applyBorder="1" applyAlignment="1">
      <alignment vertical="center"/>
    </xf>
    <xf numFmtId="0" fontId="8" fillId="37" borderId="1" xfId="0" applyFont="1" applyFill="1" applyBorder="1" applyAlignment="1">
      <alignment vertical="center" wrapText="1"/>
    </xf>
    <xf numFmtId="0" fontId="8" fillId="37" borderId="0" xfId="0" applyFont="1" applyFill="1" applyBorder="1" applyAlignment="1">
      <alignment vertical="center"/>
    </xf>
    <xf numFmtId="0" fontId="8" fillId="37" borderId="0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49" fontId="8" fillId="28" borderId="6" xfId="10" applyNumberFormat="1" applyFont="1" applyFill="1" applyBorder="1" applyAlignment="1">
      <alignment horizontal="left" vertical="center"/>
    </xf>
    <xf numFmtId="0" fontId="10" fillId="10" borderId="6" xfId="10" applyFont="1" applyFill="1" applyBorder="1" applyAlignment="1">
      <alignment horizontal="left" vertical="center" wrapText="1"/>
    </xf>
    <xf numFmtId="0" fontId="10" fillId="28" borderId="1" xfId="10" applyFont="1" applyFill="1" applyBorder="1" applyAlignment="1">
      <alignment horizontal="left" vertical="center"/>
    </xf>
    <xf numFmtId="0" fontId="8" fillId="29" borderId="1" xfId="10" applyFont="1" applyFill="1" applyBorder="1">
      <alignment vertical="center"/>
    </xf>
    <xf numFmtId="0" fontId="0" fillId="28" borderId="0" xfId="0" applyFill="1" applyAlignment="1">
      <alignment vertical="center"/>
    </xf>
    <xf numFmtId="0" fontId="8" fillId="10" borderId="1" xfId="10" applyFont="1" applyFill="1" applyBorder="1" applyAlignment="1">
      <alignment horizontal="left" vertical="center"/>
    </xf>
    <xf numFmtId="0" fontId="10" fillId="28" borderId="6" xfId="10" applyFont="1" applyFill="1" applyBorder="1" applyAlignment="1">
      <alignment horizontal="left" vertical="center"/>
    </xf>
    <xf numFmtId="0" fontId="8" fillId="25" borderId="6" xfId="10" applyFont="1" applyFill="1" applyBorder="1" applyAlignment="1">
      <alignment horizontal="left" vertical="center"/>
    </xf>
    <xf numFmtId="0" fontId="8" fillId="25" borderId="1" xfId="10" applyFont="1" applyFill="1" applyBorder="1">
      <alignment vertical="center"/>
    </xf>
    <xf numFmtId="0" fontId="8" fillId="28" borderId="14" xfId="0" applyFont="1" applyFill="1" applyBorder="1" applyAlignment="1">
      <alignment vertical="center"/>
    </xf>
    <xf numFmtId="0" fontId="8" fillId="27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8" fillId="28" borderId="6" xfId="0" applyFont="1" applyFill="1" applyBorder="1" applyAlignment="1">
      <alignment vertical="center"/>
    </xf>
    <xf numFmtId="49" fontId="8" fillId="10" borderId="6" xfId="10" applyNumberFormat="1" applyFont="1" applyFill="1" applyBorder="1" applyAlignment="1">
      <alignment horizontal="left" vertical="center"/>
    </xf>
    <xf numFmtId="0" fontId="8" fillId="27" borderId="14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10" fillId="29" borderId="0" xfId="0" applyFont="1" applyFill="1" applyBorder="1" applyAlignment="1">
      <alignment vertical="center"/>
    </xf>
    <xf numFmtId="0" fontId="51" fillId="0" borderId="0" xfId="0" applyFont="1" applyBorder="1" applyAlignment="1">
      <alignment horizontal="left" vertical="center"/>
    </xf>
    <xf numFmtId="0" fontId="51" fillId="0" borderId="0" xfId="0" applyFont="1" applyBorder="1" applyAlignment="1">
      <alignment vertical="center"/>
    </xf>
    <xf numFmtId="0" fontId="18" fillId="28" borderId="5" xfId="10" applyFont="1" applyFill="1" applyBorder="1">
      <alignment vertical="center"/>
    </xf>
    <xf numFmtId="0" fontId="8" fillId="28" borderId="5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2" fillId="7" borderId="8" xfId="0" applyFont="1" applyFill="1" applyBorder="1" applyAlignment="1">
      <alignment vertical="center"/>
    </xf>
    <xf numFmtId="0" fontId="0" fillId="28" borderId="1" xfId="0" applyFill="1" applyBorder="1" applyAlignment="1">
      <alignment vertical="center"/>
    </xf>
    <xf numFmtId="0" fontId="8" fillId="26" borderId="4" xfId="0" applyFont="1" applyFill="1" applyBorder="1" applyAlignment="1">
      <alignment horizontal="left" vertical="center"/>
    </xf>
    <xf numFmtId="0" fontId="2" fillId="33" borderId="1" xfId="6" applyFill="1" applyBorder="1" applyAlignment="1">
      <alignment vertical="center"/>
    </xf>
    <xf numFmtId="0" fontId="2" fillId="0" borderId="0" xfId="6" applyAlignment="1">
      <alignment vertical="center"/>
    </xf>
    <xf numFmtId="0" fontId="52" fillId="33" borderId="1" xfId="0" applyFont="1" applyFill="1" applyBorder="1" applyAlignment="1">
      <alignment horizontal="center" vertical="center"/>
    </xf>
    <xf numFmtId="0" fontId="52" fillId="33" borderId="1" xfId="6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8" fillId="37" borderId="0" xfId="0" applyFont="1" applyFill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53" fillId="28" borderId="1" xfId="7" applyFont="1" applyFill="1" applyBorder="1">
      <alignment vertical="center"/>
    </xf>
    <xf numFmtId="0" fontId="10" fillId="10" borderId="1" xfId="10" applyFont="1" applyFill="1" applyBorder="1" applyAlignment="1">
      <alignment horizontal="left" vertical="center"/>
    </xf>
    <xf numFmtId="0" fontId="2" fillId="31" borderId="0" xfId="0" applyFont="1" applyFill="1" applyAlignment="1">
      <alignment vertical="center"/>
    </xf>
    <xf numFmtId="0" fontId="54" fillId="28" borderId="1" xfId="0" applyFont="1" applyFill="1" applyBorder="1" applyAlignment="1">
      <alignment vertical="center"/>
    </xf>
    <xf numFmtId="0" fontId="8" fillId="28" borderId="14" xfId="10" applyFont="1" applyFill="1" applyBorder="1" applyAlignment="1">
      <alignment horizontal="left" vertical="center"/>
    </xf>
    <xf numFmtId="0" fontId="8" fillId="28" borderId="6" xfId="10" applyFont="1" applyFill="1" applyBorder="1" applyAlignment="1">
      <alignment horizontal="left" vertical="center" wrapText="1"/>
    </xf>
    <xf numFmtId="0" fontId="8" fillId="27" borderId="6" xfId="10" applyFont="1" applyFill="1" applyBorder="1" applyAlignment="1">
      <alignment horizontal="left" vertical="center" wrapText="1"/>
    </xf>
    <xf numFmtId="0" fontId="10" fillId="27" borderId="6" xfId="10" applyFont="1" applyFill="1" applyBorder="1" applyAlignment="1">
      <alignment horizontal="left" vertical="center"/>
    </xf>
    <xf numFmtId="0" fontId="8" fillId="27" borderId="1" xfId="10" applyFont="1" applyFill="1" applyBorder="1">
      <alignment vertical="center"/>
    </xf>
    <xf numFmtId="0" fontId="10" fillId="27" borderId="1" xfId="10" applyFont="1" applyFill="1" applyBorder="1" applyAlignment="1">
      <alignment horizontal="left" vertical="center"/>
    </xf>
    <xf numFmtId="0" fontId="8" fillId="28" borderId="3" xfId="0" applyFont="1" applyFill="1" applyBorder="1" applyAlignment="1">
      <alignment vertical="center" wrapText="1"/>
    </xf>
    <xf numFmtId="0" fontId="8" fillId="28" borderId="1" xfId="10" applyFont="1" applyFill="1" applyBorder="1" applyAlignment="1">
      <alignment vertical="center" wrapText="1"/>
    </xf>
    <xf numFmtId="0" fontId="10" fillId="28" borderId="1" xfId="10" applyFont="1" applyFill="1" applyBorder="1">
      <alignment vertical="center"/>
    </xf>
    <xf numFmtId="0" fontId="10" fillId="28" borderId="5" xfId="10" applyFont="1" applyFill="1" applyBorder="1">
      <alignment vertical="center"/>
    </xf>
    <xf numFmtId="0" fontId="8" fillId="28" borderId="0" xfId="10" applyFont="1" applyFill="1" applyBorder="1">
      <alignment vertical="center"/>
    </xf>
    <xf numFmtId="0" fontId="8" fillId="28" borderId="6" xfId="10" applyFont="1" applyFill="1" applyBorder="1">
      <alignment vertical="center"/>
    </xf>
    <xf numFmtId="0" fontId="10" fillId="28" borderId="4" xfId="10" applyFont="1" applyFill="1" applyBorder="1">
      <alignment vertical="center"/>
    </xf>
    <xf numFmtId="0" fontId="10" fillId="28" borderId="6" xfId="10" applyFont="1" applyFill="1" applyBorder="1">
      <alignment vertical="center"/>
    </xf>
    <xf numFmtId="0" fontId="2" fillId="31" borderId="1" xfId="0" applyFont="1" applyFill="1" applyBorder="1" applyAlignment="1">
      <alignment vertical="center"/>
    </xf>
    <xf numFmtId="0" fontId="2" fillId="28" borderId="0" xfId="0" applyFont="1" applyFill="1" applyAlignment="1">
      <alignment vertical="center"/>
    </xf>
    <xf numFmtId="0" fontId="8" fillId="10" borderId="14" xfId="10" applyFont="1" applyFill="1" applyBorder="1" applyAlignment="1">
      <alignment horizontal="left" vertical="center"/>
    </xf>
    <xf numFmtId="0" fontId="2" fillId="0" borderId="0" xfId="0" applyFont="1" applyAlignment="1" applyProtection="1">
      <alignment vertical="center"/>
    </xf>
    <xf numFmtId="0" fontId="52" fillId="33" borderId="1" xfId="16" applyFont="1" applyFill="1" applyBorder="1" applyAlignment="1">
      <alignment horizontal="center" vertical="center" wrapText="1"/>
    </xf>
    <xf numFmtId="0" fontId="10" fillId="37" borderId="1" xfId="1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6" fillId="0" borderId="1" xfId="6" applyFont="1" applyBorder="1" applyAlignment="1">
      <alignment vertical="center"/>
    </xf>
    <xf numFmtId="0" fontId="7" fillId="0" borderId="1" xfId="6" applyFont="1" applyBorder="1" applyAlignment="1">
      <alignment vertical="center"/>
    </xf>
    <xf numFmtId="0" fontId="7" fillId="33" borderId="1" xfId="6" applyFont="1" applyFill="1" applyBorder="1" applyAlignment="1">
      <alignment vertical="center"/>
    </xf>
    <xf numFmtId="0" fontId="7" fillId="33" borderId="1" xfId="0" applyFont="1" applyFill="1" applyBorder="1" applyAlignment="1">
      <alignment vertical="center"/>
    </xf>
    <xf numFmtId="0" fontId="56" fillId="33" borderId="1" xfId="0" applyFont="1" applyFill="1" applyBorder="1" applyAlignment="1">
      <alignment vertical="center"/>
    </xf>
    <xf numFmtId="0" fontId="57" fillId="0" borderId="1" xfId="0" applyFont="1" applyBorder="1" applyAlignment="1">
      <alignment vertical="center"/>
    </xf>
    <xf numFmtId="0" fontId="58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60" fillId="0" borderId="0" xfId="0" applyFont="1" applyAlignment="1">
      <alignment vertical="center"/>
    </xf>
    <xf numFmtId="0" fontId="57" fillId="33" borderId="1" xfId="0" applyFont="1" applyFill="1" applyBorder="1" applyAlignment="1">
      <alignment vertical="center"/>
    </xf>
    <xf numFmtId="0" fontId="61" fillId="0" borderId="0" xfId="0" applyFont="1" applyAlignment="1">
      <alignment vertical="center"/>
    </xf>
    <xf numFmtId="0" fontId="7" fillId="24" borderId="1" xfId="6" applyFont="1" applyFill="1" applyBorder="1" applyAlignment="1">
      <alignment vertical="center"/>
    </xf>
    <xf numFmtId="0" fontId="2" fillId="9" borderId="0" xfId="0" applyFont="1" applyFill="1" applyBorder="1" applyAlignment="1">
      <alignment vertical="center"/>
    </xf>
    <xf numFmtId="0" fontId="2" fillId="5" borderId="9" xfId="0" applyFont="1" applyFill="1" applyBorder="1" applyAlignment="1">
      <alignment vertical="center"/>
    </xf>
    <xf numFmtId="0" fontId="2" fillId="5" borderId="10" xfId="0" applyFont="1" applyFill="1" applyBorder="1" applyAlignment="1">
      <alignment vertical="center"/>
    </xf>
    <xf numFmtId="0" fontId="2" fillId="5" borderId="11" xfId="0" applyFont="1" applyFill="1" applyBorder="1" applyAlignment="1">
      <alignment vertical="center"/>
    </xf>
    <xf numFmtId="0" fontId="37" fillId="9" borderId="4" xfId="0" applyFont="1" applyFill="1" applyBorder="1" applyAlignment="1">
      <alignment vertical="center"/>
    </xf>
    <xf numFmtId="0" fontId="18" fillId="28" borderId="6" xfId="10" applyFont="1" applyFill="1" applyBorder="1" applyAlignment="1">
      <alignment horizontal="left" vertical="center"/>
    </xf>
    <xf numFmtId="0" fontId="62" fillId="27" borderId="6" xfId="10" applyFont="1" applyFill="1" applyBorder="1" applyAlignment="1">
      <alignment horizontal="left" vertical="center"/>
    </xf>
    <xf numFmtId="0" fontId="62" fillId="28" borderId="6" xfId="0" applyFont="1" applyFill="1" applyBorder="1" applyAlignment="1">
      <alignment vertical="center"/>
    </xf>
    <xf numFmtId="0" fontId="62" fillId="26" borderId="6" xfId="0" applyFont="1" applyFill="1" applyBorder="1" applyAlignment="1">
      <alignment horizontal="left" vertical="center"/>
    </xf>
    <xf numFmtId="0" fontId="62" fillId="33" borderId="1" xfId="0" applyFont="1" applyFill="1" applyBorder="1" applyAlignment="1">
      <alignment vertical="center"/>
    </xf>
    <xf numFmtId="0" fontId="62" fillId="25" borderId="1" xfId="0" applyFont="1" applyFill="1" applyBorder="1" applyAlignment="1">
      <alignment vertical="center"/>
    </xf>
    <xf numFmtId="0" fontId="62" fillId="29" borderId="1" xfId="0" applyFont="1" applyFill="1" applyBorder="1" applyAlignment="1">
      <alignment vertical="center"/>
    </xf>
    <xf numFmtId="0" fontId="62" fillId="37" borderId="1" xfId="0" applyFont="1" applyFill="1" applyBorder="1" applyAlignment="1">
      <alignment vertical="center"/>
    </xf>
    <xf numFmtId="0" fontId="2" fillId="0" borderId="0" xfId="7">
      <alignment vertical="center"/>
    </xf>
    <xf numFmtId="0" fontId="0" fillId="0" borderId="0" xfId="21" applyFont="1">
      <alignment vertical="center"/>
    </xf>
    <xf numFmtId="0" fontId="0" fillId="0" borderId="9" xfId="21" applyFont="1" applyBorder="1">
      <alignment vertical="center"/>
    </xf>
    <xf numFmtId="0" fontId="0" fillId="0" borderId="10" xfId="21" applyFont="1" applyBorder="1">
      <alignment vertical="center"/>
    </xf>
    <xf numFmtId="0" fontId="0" fillId="0" borderId="11" xfId="21" applyFont="1" applyBorder="1">
      <alignment vertical="center"/>
    </xf>
    <xf numFmtId="0" fontId="37" fillId="38" borderId="0" xfId="0" applyFont="1" applyFill="1" applyBorder="1" applyAlignment="1">
      <alignment horizontal="left" vertical="center"/>
    </xf>
    <xf numFmtId="0" fontId="2" fillId="38" borderId="15" xfId="0" applyFont="1" applyFill="1" applyBorder="1" applyAlignment="1">
      <alignment horizontal="center" vertical="center"/>
    </xf>
    <xf numFmtId="0" fontId="0" fillId="38" borderId="0" xfId="21" applyFont="1" applyFill="1">
      <alignment vertical="center"/>
    </xf>
    <xf numFmtId="0" fontId="0" fillId="0" borderId="13" xfId="21" applyFont="1" applyBorder="1">
      <alignment vertical="center"/>
    </xf>
    <xf numFmtId="0" fontId="2" fillId="38" borderId="0" xfId="0" applyFont="1" applyFill="1" applyBorder="1" applyAlignment="1">
      <alignment horizontal="left" vertical="center"/>
    </xf>
    <xf numFmtId="0" fontId="0" fillId="38" borderId="0" xfId="0" applyFill="1" applyBorder="1" applyAlignment="1">
      <alignment horizontal="left" vertical="center"/>
    </xf>
    <xf numFmtId="0" fontId="37" fillId="38" borderId="15" xfId="0" applyFont="1" applyFill="1" applyBorder="1" applyAlignment="1">
      <alignment horizontal="left" vertical="center"/>
    </xf>
    <xf numFmtId="0" fontId="0" fillId="38" borderId="12" xfId="21" applyFont="1" applyFill="1" applyBorder="1">
      <alignment vertical="center"/>
    </xf>
    <xf numFmtId="0" fontId="0" fillId="38" borderId="0" xfId="21" applyFont="1" applyFill="1" applyBorder="1">
      <alignment vertical="center"/>
    </xf>
    <xf numFmtId="0" fontId="0" fillId="0" borderId="12" xfId="21" applyFont="1" applyBorder="1">
      <alignment vertical="center"/>
    </xf>
    <xf numFmtId="0" fontId="0" fillId="0" borderId="0" xfId="21" applyFont="1" applyBorder="1">
      <alignment vertical="center"/>
    </xf>
    <xf numFmtId="0" fontId="2" fillId="0" borderId="0" xfId="21" applyFont="1" applyBorder="1">
      <alignment vertical="center"/>
    </xf>
    <xf numFmtId="0" fontId="0" fillId="0" borderId="14" xfId="21" applyFont="1" applyBorder="1">
      <alignment vertical="center"/>
    </xf>
    <xf numFmtId="0" fontId="0" fillId="0" borderId="15" xfId="21" applyFont="1" applyBorder="1">
      <alignment vertical="center"/>
    </xf>
    <xf numFmtId="0" fontId="2" fillId="0" borderId="28" xfId="21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13" fillId="0" borderId="6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2" fillId="0" borderId="16" xfId="0" applyFont="1" applyBorder="1" applyAlignment="1">
      <alignment horizontal="left" vertical="center"/>
    </xf>
    <xf numFmtId="0" fontId="11" fillId="0" borderId="17" xfId="0" applyFont="1" applyBorder="1" applyAlignment="1">
      <alignment horizontal="left" vertical="center"/>
    </xf>
    <xf numFmtId="0" fontId="6" fillId="0" borderId="7" xfId="0" applyFont="1" applyFill="1" applyBorder="1" applyAlignment="1">
      <alignment horizontal="center"/>
    </xf>
    <xf numFmtId="0" fontId="6" fillId="0" borderId="18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16" fillId="0" borderId="1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4" xfId="0" applyFont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5" fillId="7" borderId="7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10" fillId="25" borderId="7" xfId="0" applyFont="1" applyFill="1" applyBorder="1" applyAlignment="1">
      <alignment horizontal="center" vertical="center"/>
    </xf>
    <xf numFmtId="0" fontId="8" fillId="25" borderId="8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0" fillId="37" borderId="7" xfId="0" applyFont="1" applyFill="1" applyBorder="1" applyAlignment="1">
      <alignment horizontal="center" vertical="center"/>
    </xf>
    <xf numFmtId="0" fontId="8" fillId="37" borderId="8" xfId="0" applyFont="1" applyFill="1" applyBorder="1" applyAlignment="1">
      <alignment horizontal="center" vertical="center"/>
    </xf>
    <xf numFmtId="0" fontId="8" fillId="37" borderId="3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/>
    </xf>
    <xf numFmtId="0" fontId="8" fillId="28" borderId="7" xfId="0" applyFont="1" applyFill="1" applyBorder="1" applyAlignment="1">
      <alignment vertical="center" wrapText="1"/>
    </xf>
    <xf numFmtId="0" fontId="8" fillId="28" borderId="8" xfId="0" applyFont="1" applyFill="1" applyBorder="1" applyAlignment="1">
      <alignment vertical="center" wrapText="1"/>
    </xf>
    <xf numFmtId="0" fontId="10" fillId="33" borderId="7" xfId="0" applyFont="1" applyFill="1" applyBorder="1" applyAlignment="1">
      <alignment horizontal="center" vertical="center"/>
    </xf>
    <xf numFmtId="0" fontId="10" fillId="33" borderId="8" xfId="0" applyFont="1" applyFill="1" applyBorder="1" applyAlignment="1">
      <alignment horizontal="center" vertical="center"/>
    </xf>
    <xf numFmtId="0" fontId="10" fillId="33" borderId="3" xfId="0" applyFont="1" applyFill="1" applyBorder="1" applyAlignment="1">
      <alignment horizontal="center" vertical="center"/>
    </xf>
    <xf numFmtId="0" fontId="2" fillId="28" borderId="7" xfId="0" applyFont="1" applyFill="1" applyBorder="1" applyAlignment="1">
      <alignment horizontal="center" vertical="center"/>
    </xf>
    <xf numFmtId="0" fontId="2" fillId="28" borderId="3" xfId="0" applyFont="1" applyFill="1" applyBorder="1" applyAlignment="1">
      <alignment horizontal="center" vertical="center"/>
    </xf>
    <xf numFmtId="0" fontId="10" fillId="10" borderId="7" xfId="10" applyFont="1" applyFill="1" applyBorder="1" applyAlignment="1">
      <alignment horizontal="center" vertical="center"/>
    </xf>
    <xf numFmtId="0" fontId="8" fillId="10" borderId="8" xfId="10" applyFont="1" applyFill="1" applyBorder="1" applyAlignment="1">
      <alignment horizontal="center" vertical="center"/>
    </xf>
    <xf numFmtId="0" fontId="8" fillId="10" borderId="3" xfId="10" applyFont="1" applyFill="1" applyBorder="1" applyAlignment="1">
      <alignment horizontal="center" vertical="center"/>
    </xf>
    <xf numFmtId="0" fontId="10" fillId="26" borderId="1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8" fillId="33" borderId="8" xfId="0" applyFont="1" applyFill="1" applyBorder="1" applyAlignment="1">
      <alignment horizontal="center" vertical="center"/>
    </xf>
    <xf numFmtId="0" fontId="10" fillId="10" borderId="7" xfId="10" applyFont="1" applyFill="1" applyBorder="1" applyAlignment="1">
      <alignment horizontal="center" vertical="center" wrapText="1"/>
    </xf>
    <xf numFmtId="0" fontId="10" fillId="28" borderId="1" xfId="0" applyFont="1" applyFill="1" applyBorder="1" applyAlignment="1">
      <alignment horizontal="center" vertical="center"/>
    </xf>
    <xf numFmtId="0" fontId="10" fillId="28" borderId="7" xfId="0" applyFont="1" applyFill="1" applyBorder="1" applyAlignment="1">
      <alignment horizontal="center" vertical="center"/>
    </xf>
    <xf numFmtId="0" fontId="8" fillId="28" borderId="8" xfId="0" applyFont="1" applyFill="1" applyBorder="1" applyAlignment="1">
      <alignment horizontal="center" vertical="center"/>
    </xf>
    <xf numFmtId="0" fontId="8" fillId="28" borderId="3" xfId="0" applyFont="1" applyFill="1" applyBorder="1" applyAlignment="1">
      <alignment horizontal="center" vertical="center"/>
    </xf>
    <xf numFmtId="0" fontId="10" fillId="27" borderId="7" xfId="10" applyFont="1" applyFill="1" applyBorder="1" applyAlignment="1">
      <alignment horizontal="center" vertical="center"/>
    </xf>
    <xf numFmtId="0" fontId="8" fillId="27" borderId="8" xfId="10" applyFont="1" applyFill="1" applyBorder="1" applyAlignment="1">
      <alignment horizontal="center" vertical="center"/>
    </xf>
    <xf numFmtId="0" fontId="8" fillId="27" borderId="3" xfId="10" applyFont="1" applyFill="1" applyBorder="1" applyAlignment="1">
      <alignment horizontal="center" vertical="center"/>
    </xf>
    <xf numFmtId="0" fontId="10" fillId="28" borderId="7" xfId="10" applyFont="1" applyFill="1" applyBorder="1" applyAlignment="1">
      <alignment horizontal="center" vertical="center" wrapText="1"/>
    </xf>
    <xf numFmtId="0" fontId="8" fillId="28" borderId="8" xfId="10" applyFont="1" applyFill="1" applyBorder="1" applyAlignment="1">
      <alignment horizontal="center" vertical="center"/>
    </xf>
    <xf numFmtId="0" fontId="8" fillId="28" borderId="3" xfId="10" applyFont="1" applyFill="1" applyBorder="1" applyAlignment="1">
      <alignment horizontal="center" vertical="center"/>
    </xf>
    <xf numFmtId="0" fontId="10" fillId="10" borderId="8" xfId="10" applyFont="1" applyFill="1" applyBorder="1" applyAlignment="1">
      <alignment horizontal="center" vertical="center"/>
    </xf>
    <xf numFmtId="0" fontId="10" fillId="10" borderId="3" xfId="10" applyFont="1" applyFill="1" applyBorder="1" applyAlignment="1">
      <alignment horizontal="center" vertical="center"/>
    </xf>
    <xf numFmtId="0" fontId="10" fillId="27" borderId="8" xfId="10" applyFont="1" applyFill="1" applyBorder="1" applyAlignment="1">
      <alignment horizontal="center" vertical="center"/>
    </xf>
    <xf numFmtId="0" fontId="10" fillId="27" borderId="3" xfId="10" applyFont="1" applyFill="1" applyBorder="1" applyAlignment="1">
      <alignment horizontal="center" vertical="center"/>
    </xf>
    <xf numFmtId="0" fontId="10" fillId="28" borderId="7" xfId="1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41" fillId="5" borderId="14" xfId="0" applyFont="1" applyFill="1" applyBorder="1" applyAlignment="1">
      <alignment horizontal="center" vertical="center"/>
    </xf>
    <xf numFmtId="0" fontId="41" fillId="5" borderId="15" xfId="0" applyFont="1" applyFill="1" applyBorder="1" applyAlignment="1">
      <alignment horizontal="center" vertical="center"/>
    </xf>
    <xf numFmtId="0" fontId="41" fillId="5" borderId="28" xfId="0" applyFont="1" applyFill="1" applyBorder="1" applyAlignment="1">
      <alignment horizontal="center" vertical="center"/>
    </xf>
    <xf numFmtId="0" fontId="7" fillId="24" borderId="7" xfId="6" applyFont="1" applyFill="1" applyBorder="1" applyAlignment="1">
      <alignment vertical="center"/>
    </xf>
    <xf numFmtId="0" fontId="7" fillId="24" borderId="3" xfId="6" applyFont="1" applyFill="1" applyBorder="1" applyAlignment="1">
      <alignment vertical="center"/>
    </xf>
    <xf numFmtId="0" fontId="7" fillId="0" borderId="7" xfId="6" applyFont="1" applyBorder="1" applyAlignment="1">
      <alignment vertical="center" wrapText="1"/>
    </xf>
    <xf numFmtId="0" fontId="7" fillId="0" borderId="3" xfId="6" applyFont="1" applyBorder="1" applyAlignment="1">
      <alignment vertical="center" wrapText="1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7" fillId="0" borderId="7" xfId="6" applyFont="1" applyBorder="1" applyAlignment="1">
      <alignment vertical="center"/>
    </xf>
    <xf numFmtId="0" fontId="7" fillId="0" borderId="8" xfId="6" applyFont="1" applyBorder="1" applyAlignment="1">
      <alignment vertical="center"/>
    </xf>
    <xf numFmtId="0" fontId="7" fillId="0" borderId="3" xfId="6" applyFont="1" applyBorder="1" applyAlignment="1">
      <alignment vertical="center"/>
    </xf>
    <xf numFmtId="0" fontId="57" fillId="0" borderId="8" xfId="0" applyFont="1" applyBorder="1" applyAlignment="1">
      <alignment vertical="center"/>
    </xf>
    <xf numFmtId="0" fontId="57" fillId="0" borderId="3" xfId="0" applyFont="1" applyBorder="1" applyAlignment="1">
      <alignment vertical="center"/>
    </xf>
    <xf numFmtId="0" fontId="57" fillId="0" borderId="8" xfId="0" applyFont="1" applyBorder="1" applyAlignment="1">
      <alignment vertical="center" wrapText="1"/>
    </xf>
    <xf numFmtId="0" fontId="57" fillId="0" borderId="3" xfId="0" applyFont="1" applyBorder="1" applyAlignment="1">
      <alignment vertical="center" wrapText="1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18" borderId="7" xfId="0" applyFont="1" applyFill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33" borderId="9" xfId="0" applyFill="1" applyBorder="1" applyAlignment="1">
      <alignment horizontal="center" vertical="center" wrapText="1"/>
    </xf>
    <xf numFmtId="0" fontId="0" fillId="33" borderId="12" xfId="0" applyFill="1" applyBorder="1" applyAlignment="1">
      <alignment vertical="center"/>
    </xf>
    <xf numFmtId="0" fontId="0" fillId="33" borderId="14" xfId="0" applyFill="1" applyBorder="1" applyAlignment="1">
      <alignment vertical="center"/>
    </xf>
    <xf numFmtId="0" fontId="0" fillId="11" borderId="0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2" fillId="25" borderId="6" xfId="0" applyFont="1" applyFill="1" applyBorder="1" applyAlignment="1">
      <alignment horizontal="center" vertical="center" wrapText="1"/>
    </xf>
    <xf numFmtId="0" fontId="2" fillId="25" borderId="4" xfId="0" applyFont="1" applyFill="1" applyBorder="1" applyAlignment="1">
      <alignment horizontal="center" vertical="center" wrapText="1"/>
    </xf>
    <xf numFmtId="0" fontId="2" fillId="25" borderId="9" xfId="0" applyFont="1" applyFill="1" applyBorder="1" applyAlignment="1">
      <alignment horizontal="center" vertical="center"/>
    </xf>
    <xf numFmtId="0" fontId="2" fillId="25" borderId="10" xfId="0" applyFont="1" applyFill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 wrapText="1"/>
    </xf>
    <xf numFmtId="0" fontId="0" fillId="33" borderId="7" xfId="0" applyFill="1" applyBorder="1" applyAlignment="1">
      <alignment horizontal="center" vertical="center" wrapText="1"/>
    </xf>
    <xf numFmtId="0" fontId="0" fillId="33" borderId="8" xfId="0" applyFill="1" applyBorder="1" applyAlignment="1">
      <alignment vertical="center"/>
    </xf>
    <xf numFmtId="0" fontId="0" fillId="33" borderId="3" xfId="0" applyFill="1" applyBorder="1" applyAlignment="1">
      <alignment vertical="center"/>
    </xf>
    <xf numFmtId="0" fontId="18" fillId="10" borderId="6" xfId="10" applyFont="1" applyFill="1" applyBorder="1" applyAlignment="1">
      <alignment horizontal="center" vertical="center"/>
    </xf>
    <xf numFmtId="0" fontId="18" fillId="10" borderId="5" xfId="10" applyFont="1" applyFill="1" applyBorder="1" applyAlignment="1">
      <alignment horizontal="center" vertical="center"/>
    </xf>
    <xf numFmtId="0" fontId="18" fillId="29" borderId="6" xfId="10" applyFont="1" applyFill="1" applyBorder="1" applyAlignment="1">
      <alignment horizontal="center" vertical="center"/>
    </xf>
    <xf numFmtId="0" fontId="18" fillId="29" borderId="4" xfId="1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29" borderId="6" xfId="0" applyFon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0" fontId="18" fillId="29" borderId="5" xfId="10" applyFont="1" applyFill="1" applyBorder="1" applyAlignment="1">
      <alignment horizontal="center" vertical="center"/>
    </xf>
    <xf numFmtId="0" fontId="18" fillId="28" borderId="6" xfId="10" applyFont="1" applyFill="1" applyBorder="1" applyAlignment="1">
      <alignment horizontal="center" vertical="center"/>
    </xf>
    <xf numFmtId="0" fontId="18" fillId="28" borderId="4" xfId="10" applyFont="1" applyFill="1" applyBorder="1" applyAlignment="1">
      <alignment horizontal="center" vertical="center"/>
    </xf>
    <xf numFmtId="0" fontId="18" fillId="28" borderId="5" xfId="10" applyFont="1" applyFill="1" applyBorder="1" applyAlignment="1">
      <alignment horizontal="center" vertical="center"/>
    </xf>
    <xf numFmtId="0" fontId="2" fillId="28" borderId="7" xfId="0" applyFont="1" applyFill="1" applyBorder="1" applyAlignment="1">
      <alignment horizontal="center" vertical="center" wrapText="1"/>
    </xf>
    <xf numFmtId="0" fontId="2" fillId="28" borderId="8" xfId="0" applyFont="1" applyFill="1" applyBorder="1" applyAlignment="1">
      <alignment horizontal="center" vertical="center" wrapText="1"/>
    </xf>
    <xf numFmtId="0" fontId="2" fillId="28" borderId="3" xfId="0" applyFont="1" applyFill="1" applyBorder="1" applyAlignment="1">
      <alignment horizontal="center" vertical="center" wrapText="1"/>
    </xf>
    <xf numFmtId="0" fontId="0" fillId="11" borderId="10" xfId="0" applyFill="1" applyBorder="1" applyAlignment="1">
      <alignment horizontal="center" vertical="center"/>
    </xf>
    <xf numFmtId="0" fontId="18" fillId="28" borderId="1" xfId="10" applyFont="1" applyFill="1" applyBorder="1" applyAlignment="1">
      <alignment horizontal="center" vertical="center" wrapText="1"/>
    </xf>
    <xf numFmtId="0" fontId="2" fillId="17" borderId="1" xfId="17" applyFont="1" applyFill="1" applyBorder="1" applyAlignment="1">
      <alignment vertical="center" wrapText="1"/>
    </xf>
    <xf numFmtId="0" fontId="0" fillId="17" borderId="1" xfId="17" applyFont="1" applyFill="1" applyBorder="1" applyAlignment="1">
      <alignment vertical="center" wrapText="1"/>
    </xf>
    <xf numFmtId="0" fontId="0" fillId="17" borderId="1" xfId="0" applyFill="1" applyBorder="1" applyAlignment="1">
      <alignment vertical="center" wrapText="1"/>
    </xf>
    <xf numFmtId="0" fontId="2" fillId="17" borderId="7" xfId="17" applyFont="1" applyFill="1" applyBorder="1" applyAlignment="1">
      <alignment vertical="center" wrapText="1"/>
    </xf>
    <xf numFmtId="0" fontId="2" fillId="17" borderId="8" xfId="17" applyFont="1" applyFill="1" applyBorder="1" applyAlignment="1">
      <alignment vertical="center" wrapText="1"/>
    </xf>
    <xf numFmtId="0" fontId="2" fillId="17" borderId="3" xfId="17" applyFont="1" applyFill="1" applyBorder="1" applyAlignment="1">
      <alignment vertical="center" wrapText="1"/>
    </xf>
    <xf numFmtId="0" fontId="2" fillId="15" borderId="1" xfId="17" applyFont="1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2" fillId="21" borderId="1" xfId="0" applyFont="1" applyFill="1" applyBorder="1" applyAlignment="1">
      <alignment vertical="center" wrapText="1"/>
    </xf>
    <xf numFmtId="0" fontId="0" fillId="21" borderId="1" xfId="0" applyFill="1" applyBorder="1" applyAlignment="1">
      <alignment vertical="center" wrapText="1"/>
    </xf>
    <xf numFmtId="0" fontId="43" fillId="0" borderId="1" xfId="0" applyFont="1" applyBorder="1" applyAlignment="1">
      <alignment vertical="top" wrapText="1"/>
    </xf>
    <xf numFmtId="0" fontId="0" fillId="0" borderId="1" xfId="0" applyBorder="1" applyAlignment="1">
      <alignment vertical="center" wrapText="1"/>
    </xf>
    <xf numFmtId="0" fontId="43" fillId="0" borderId="24" xfId="0" applyFont="1" applyBorder="1" applyAlignment="1">
      <alignment horizontal="center" vertical="top" wrapText="1"/>
    </xf>
    <xf numFmtId="0" fontId="43" fillId="0" borderId="25" xfId="0" applyFont="1" applyBorder="1" applyAlignment="1">
      <alignment horizontal="center" vertical="top" wrapText="1"/>
    </xf>
    <xf numFmtId="0" fontId="43" fillId="0" borderId="21" xfId="0" applyFont="1" applyBorder="1" applyAlignment="1">
      <alignment horizontal="center" vertical="top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49" fontId="2" fillId="0" borderId="0" xfId="0" applyNumberFormat="1" applyFont="1" applyAlignment="1">
      <alignment vertical="center" wrapText="1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9" fillId="15" borderId="1" xfId="0" applyFont="1" applyFill="1" applyBorder="1" applyAlignment="1">
      <alignment vertical="center" wrapText="1"/>
    </xf>
    <xf numFmtId="0" fontId="2" fillId="19" borderId="6" xfId="0" applyFont="1" applyFill="1" applyBorder="1" applyAlignment="1">
      <alignment vertical="center" wrapText="1"/>
    </xf>
    <xf numFmtId="0" fontId="2" fillId="19" borderId="4" xfId="0" applyFont="1" applyFill="1" applyBorder="1" applyAlignment="1">
      <alignment vertical="center" wrapText="1"/>
    </xf>
    <xf numFmtId="0" fontId="2" fillId="19" borderId="5" xfId="0" applyFont="1" applyFill="1" applyBorder="1" applyAlignment="1">
      <alignment vertical="center" wrapText="1"/>
    </xf>
    <xf numFmtId="0" fontId="41" fillId="19" borderId="6" xfId="0" applyFont="1" applyFill="1" applyBorder="1" applyAlignment="1">
      <alignment vertical="center" wrapText="1"/>
    </xf>
    <xf numFmtId="0" fontId="41" fillId="19" borderId="4" xfId="0" applyFont="1" applyFill="1" applyBorder="1" applyAlignment="1">
      <alignment vertical="center" wrapText="1"/>
    </xf>
    <xf numFmtId="0" fontId="41" fillId="19" borderId="5" xfId="0" applyFont="1" applyFill="1" applyBorder="1" applyAlignment="1">
      <alignment vertical="center" wrapText="1"/>
    </xf>
    <xf numFmtId="0" fontId="7" fillId="0" borderId="24" xfId="0" applyFont="1" applyBorder="1" applyAlignment="1">
      <alignment vertical="top" wrapText="1"/>
    </xf>
    <xf numFmtId="0" fontId="7" fillId="0" borderId="21" xfId="0" applyFont="1" applyBorder="1" applyAlignment="1">
      <alignment vertical="center" wrapText="1"/>
    </xf>
    <xf numFmtId="0" fontId="7" fillId="0" borderId="21" xfId="0" applyFont="1" applyBorder="1" applyAlignment="1">
      <alignment vertical="top" wrapText="1"/>
    </xf>
    <xf numFmtId="0" fontId="9" fillId="23" borderId="24" xfId="0" applyFont="1" applyFill="1" applyBorder="1" applyAlignment="1">
      <alignment vertical="top" wrapText="1"/>
    </xf>
    <xf numFmtId="0" fontId="6" fillId="23" borderId="21" xfId="0" applyFont="1" applyFill="1" applyBorder="1" applyAlignment="1">
      <alignment vertical="center" wrapText="1"/>
    </xf>
    <xf numFmtId="0" fontId="6" fillId="23" borderId="24" xfId="0" applyFont="1" applyFill="1" applyBorder="1" applyAlignment="1">
      <alignment vertical="top" wrapText="1"/>
    </xf>
    <xf numFmtId="0" fontId="9" fillId="15" borderId="6" xfId="0" applyFont="1" applyFill="1" applyBorder="1" applyAlignment="1">
      <alignment vertical="center" wrapText="1"/>
    </xf>
    <xf numFmtId="0" fontId="9" fillId="15" borderId="4" xfId="0" applyFont="1" applyFill="1" applyBorder="1" applyAlignment="1">
      <alignment vertical="center" wrapText="1"/>
    </xf>
    <xf numFmtId="0" fontId="9" fillId="15" borderId="5" xfId="0" applyFont="1" applyFill="1" applyBorder="1" applyAlignment="1">
      <alignment vertical="center" wrapText="1"/>
    </xf>
    <xf numFmtId="0" fontId="0" fillId="17" borderId="7" xfId="17" applyFont="1" applyFill="1" applyBorder="1" applyAlignment="1">
      <alignment vertical="center" wrapText="1"/>
    </xf>
    <xf numFmtId="0" fontId="0" fillId="17" borderId="8" xfId="0" applyFill="1" applyBorder="1" applyAlignment="1">
      <alignment vertical="center" wrapText="1"/>
    </xf>
    <xf numFmtId="0" fontId="0" fillId="17" borderId="3" xfId="0" applyFill="1" applyBorder="1" applyAlignment="1">
      <alignment vertical="center" wrapText="1"/>
    </xf>
    <xf numFmtId="0" fontId="2" fillId="15" borderId="7" xfId="17" applyFont="1" applyFill="1" applyBorder="1" applyAlignment="1">
      <alignment vertical="center"/>
    </xf>
    <xf numFmtId="0" fontId="2" fillId="15" borderId="8" xfId="17" applyFont="1" applyFill="1" applyBorder="1" applyAlignment="1">
      <alignment vertical="center"/>
    </xf>
    <xf numFmtId="0" fontId="2" fillId="15" borderId="3" xfId="17" applyFont="1" applyFill="1" applyBorder="1" applyAlignment="1">
      <alignment vertical="center"/>
    </xf>
    <xf numFmtId="0" fontId="7" fillId="0" borderId="17" xfId="0" applyFont="1" applyBorder="1" applyAlignment="1">
      <alignment vertical="top" wrapText="1"/>
    </xf>
    <xf numFmtId="0" fontId="7" fillId="0" borderId="23" xfId="0" applyFont="1" applyBorder="1" applyAlignment="1">
      <alignment vertical="center" wrapText="1"/>
    </xf>
    <xf numFmtId="0" fontId="6" fillId="0" borderId="24" xfId="0" applyFont="1" applyBorder="1" applyAlignment="1">
      <alignment vertical="top" wrapText="1"/>
    </xf>
    <xf numFmtId="0" fontId="6" fillId="0" borderId="21" xfId="0" applyFont="1" applyBorder="1" applyAlignment="1">
      <alignment vertical="center"/>
    </xf>
    <xf numFmtId="0" fontId="48" fillId="0" borderId="24" xfId="0" applyFont="1" applyBorder="1" applyAlignment="1">
      <alignment vertical="top" wrapText="1"/>
    </xf>
    <xf numFmtId="0" fontId="48" fillId="0" borderId="21" xfId="0" applyFont="1" applyBorder="1" applyAlignment="1">
      <alignment vertical="center"/>
    </xf>
    <xf numFmtId="0" fontId="7" fillId="0" borderId="26" xfId="0" applyFont="1" applyBorder="1" applyAlignment="1">
      <alignment vertical="top" wrapText="1"/>
    </xf>
    <xf numFmtId="0" fontId="7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7" xfId="0" applyBorder="1" applyAlignment="1">
      <alignment vertical="center"/>
    </xf>
    <xf numFmtId="0" fontId="6" fillId="0" borderId="25" xfId="0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1" xfId="0" applyFont="1" applyBorder="1" applyAlignment="1">
      <alignment vertical="center"/>
    </xf>
    <xf numFmtId="0" fontId="7" fillId="0" borderId="25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1" xfId="0" applyBorder="1" applyAlignment="1">
      <alignment vertical="center"/>
    </xf>
  </cellXfs>
  <cellStyles count="23">
    <cellStyle name="0,0_x000d__x000a_NA_x000d__x000a_" xfId="1"/>
    <cellStyle name="差_IO Pad" xfId="2"/>
    <cellStyle name="差_Sheet1" xfId="3"/>
    <cellStyle name="差_Sheet1_1" xfId="4"/>
    <cellStyle name="差_Sheet1_1 2" xfId="5"/>
    <cellStyle name="差_Sheet1_1 2 2" xfId="19"/>
    <cellStyle name="常规" xfId="0" builtinId="0"/>
    <cellStyle name="常规 2" xfId="6"/>
    <cellStyle name="常规 3" xfId="7"/>
    <cellStyle name="常规 4" xfId="8"/>
    <cellStyle name="常规 5" xfId="17"/>
    <cellStyle name="常规 5 2" xfId="21"/>
    <cellStyle name="常规 6" xfId="18"/>
    <cellStyle name="常规 6 2" xfId="22"/>
    <cellStyle name="常规 9" xfId="9"/>
    <cellStyle name="常规_IO Pad" xfId="10"/>
    <cellStyle name="超链接 2" xfId="11"/>
    <cellStyle name="好_IO Pad" xfId="12"/>
    <cellStyle name="好_Sheet1" xfId="13"/>
    <cellStyle name="好_Sheet1_1" xfId="14"/>
    <cellStyle name="好_Sheet1_1 2" xfId="15"/>
    <cellStyle name="好_Sheet1_1 2 2" xfId="20"/>
    <cellStyle name="样式 1" xfId="16"/>
  </cellStyles>
  <dxfs count="0"/>
  <tableStyles count="0" defaultTableStyle="TableStyleMedium9" defaultPivotStyle="PivotStyleLight16"/>
  <colors>
    <mruColors>
      <color rgb="FFCC99FF"/>
      <color rgb="FFCCFFCC"/>
      <color rgb="FF00FF00"/>
      <color rgb="FF00CCFF"/>
      <color rgb="FF800080"/>
      <color rgb="FFFFCC99"/>
      <color rgb="FF99CCFF"/>
      <color rgb="FFCCCCFF"/>
      <color rgb="FFFFFFCC"/>
      <color rgb="FFFFCC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1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12" Type="http://schemas.openxmlformats.org/officeDocument/2006/relationships/image" Target="../media/image20.emf"/><Relationship Id="rId2" Type="http://schemas.openxmlformats.org/officeDocument/2006/relationships/image" Target="../media/image10.emf"/><Relationship Id="rId16" Type="http://schemas.openxmlformats.org/officeDocument/2006/relationships/image" Target="../media/image24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11" Type="http://schemas.openxmlformats.org/officeDocument/2006/relationships/image" Target="../media/image19.emf"/><Relationship Id="rId5" Type="http://schemas.openxmlformats.org/officeDocument/2006/relationships/image" Target="../media/image13.emf"/><Relationship Id="rId15" Type="http://schemas.openxmlformats.org/officeDocument/2006/relationships/image" Target="../media/image23.emf"/><Relationship Id="rId10" Type="http://schemas.openxmlformats.org/officeDocument/2006/relationships/image" Target="../media/image18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Relationship Id="rId14" Type="http://schemas.openxmlformats.org/officeDocument/2006/relationships/image" Target="../media/image2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9525</xdr:colOff>
      <xdr:row>0</xdr:row>
      <xdr:rowOff>9525</xdr:rowOff>
    </xdr:to>
    <xdr:sp macro="" textlink="">
      <xdr:nvSpPr>
        <xdr:cNvPr id="13293" name="DtsShapeName" descr="8951E0GGDCC25B918EBEGC2310C6BG4509;&lt;&gt;H9;&lt;&gt;O[40676!!!!!!BIHO@]{40676!!!!@68@3C41107DB4C628E1107DB4C628E!!!!!!!!!!!!!!!!!!!!!!!!!!!!!!!!!!!!!!!!!!!!!!!!!!!!9;&gt;?d82=AIM11033919!!!BIHO@]m11033919!@4458201107DB60ED4@1107DB60ED4@!!!!!!!!!!!!!!!!!!!!!!!!!!!!!!!!!!!!!!!!!!!!!!!!!!!!82M?_82M@1Y49705!!!!!!BIHO@]y49705!!!!@7D31961107DB89B4G@1107DB89B4G@!!!!!!!!!!!!!!!!!!!!!!!!!!!!!!!!!!!!!!!!!!!!!!!!!!!!85J8\8:::B[11057459!!!BIHO@]{110574591@7G05671102E25G229D拱翱MUD^RH'QJF^SDP^011$/ymr!!!!!!!!!!!!!!!!!!!!!!!!!!!!!!!!!!!!!894@g894BJB56847!!!!!!BIHO@]b56847!!!1@7G05E01102E237@@121102E237@@12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1!J" hidden="1"/>
        <xdr:cNvSpPr>
          <a:spLocks noChangeArrowheads="1"/>
        </xdr:cNvSpPr>
      </xdr:nvSpPr>
      <xdr:spPr bwMode="auto">
        <a:xfrm>
          <a:off x="0" y="0"/>
          <a:ext cx="9525" cy="9525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w 21600"/>
            <a:gd name="T7" fmla="*/ 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17</xdr:row>
      <xdr:rowOff>114300</xdr:rowOff>
    </xdr:from>
    <xdr:to>
      <xdr:col>7</xdr:col>
      <xdr:colOff>571500</xdr:colOff>
      <xdr:row>17</xdr:row>
      <xdr:rowOff>1781175</xdr:rowOff>
    </xdr:to>
    <xdr:grpSp>
      <xdr:nvGrpSpPr>
        <xdr:cNvPr id="38262" name="Group 28"/>
        <xdr:cNvGrpSpPr>
          <a:grpSpLocks/>
        </xdr:cNvGrpSpPr>
      </xdr:nvGrpSpPr>
      <xdr:grpSpPr bwMode="auto">
        <a:xfrm>
          <a:off x="3876675" y="6524625"/>
          <a:ext cx="6515100" cy="1666875"/>
          <a:chOff x="360" y="1265"/>
          <a:chExt cx="846" cy="175"/>
        </a:xfrm>
      </xdr:grpSpPr>
      <xdr:grpSp>
        <xdr:nvGrpSpPr>
          <xdr:cNvPr id="38263" name="Group 2"/>
          <xdr:cNvGrpSpPr>
            <a:grpSpLocks/>
          </xdr:cNvGrpSpPr>
        </xdr:nvGrpSpPr>
        <xdr:grpSpPr bwMode="auto">
          <a:xfrm>
            <a:off x="360" y="1265"/>
            <a:ext cx="841" cy="47"/>
            <a:chOff x="163" y="1136"/>
            <a:chExt cx="576" cy="47"/>
          </a:xfrm>
        </xdr:grpSpPr>
        <xdr:sp macro="" textlink="">
          <xdr:nvSpPr>
            <xdr:cNvPr id="5123" name="Rectangle 3"/>
            <xdr:cNvSpPr>
              <a:spLocks noChangeArrowheads="1"/>
            </xdr:cNvSpPr>
          </xdr:nvSpPr>
          <xdr:spPr bwMode="auto">
            <a:xfrm>
              <a:off x="244" y="1149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24" name="Rectangle 4"/>
            <xdr:cNvSpPr>
              <a:spLocks noChangeArrowheads="1"/>
            </xdr:cNvSpPr>
          </xdr:nvSpPr>
          <xdr:spPr bwMode="auto">
            <a:xfrm>
              <a:off x="412" y="1150"/>
              <a:ext cx="63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25" name="Rectangle 5"/>
            <xdr:cNvSpPr>
              <a:spLocks noChangeArrowheads="1"/>
            </xdr:cNvSpPr>
          </xdr:nvSpPr>
          <xdr:spPr bwMode="auto">
            <a:xfrm>
              <a:off x="311" y="1136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First version</a:t>
              </a:r>
            </a:p>
          </xdr:txBody>
        </xdr:sp>
        <xdr:sp macro="" textlink="">
          <xdr:nvSpPr>
            <xdr:cNvPr id="5126" name="Rectangle 6"/>
            <xdr:cNvSpPr>
              <a:spLocks noChangeArrowheads="1"/>
            </xdr:cNvSpPr>
          </xdr:nvSpPr>
          <xdr:spPr bwMode="auto">
            <a:xfrm>
              <a:off x="644" y="1140"/>
              <a:ext cx="95" cy="43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27" name="Rectangle 7"/>
            <xdr:cNvSpPr>
              <a:spLocks noChangeArrowheads="1"/>
            </xdr:cNvSpPr>
          </xdr:nvSpPr>
          <xdr:spPr bwMode="auto">
            <a:xfrm>
              <a:off x="481" y="1136"/>
              <a:ext cx="155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&amp;Second  vension</a:t>
              </a:r>
            </a:p>
          </xdr:txBody>
        </xdr:sp>
        <xdr:cxnSp macro="">
          <xdr:nvCxnSpPr>
            <xdr:cNvPr id="38282" name="AutoShape 9"/>
            <xdr:cNvCxnSpPr>
              <a:cxnSpLocks noChangeShapeType="1"/>
              <a:stCxn id="5124" idx="3"/>
              <a:endCxn id="5126" idx="1"/>
            </xdr:cNvCxnSpPr>
          </xdr:nvCxnSpPr>
          <xdr:spPr bwMode="auto">
            <a:xfrm>
              <a:off x="475" y="1162"/>
              <a:ext cx="169" cy="0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83" name="AutoShape 10"/>
            <xdr:cNvCxnSpPr>
              <a:cxnSpLocks noChangeShapeType="1"/>
              <a:stCxn id="5123" idx="3"/>
              <a:endCxn id="5124" idx="1"/>
            </xdr:cNvCxnSpPr>
          </xdr:nvCxnSpPr>
          <xdr:spPr bwMode="auto">
            <a:xfrm>
              <a:off x="300" y="1161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4" name="Group 11"/>
          <xdr:cNvGrpSpPr>
            <a:grpSpLocks/>
          </xdr:cNvGrpSpPr>
        </xdr:nvGrpSpPr>
        <xdr:grpSpPr bwMode="auto">
          <a:xfrm>
            <a:off x="365" y="1390"/>
            <a:ext cx="841" cy="50"/>
            <a:chOff x="164" y="1260"/>
            <a:chExt cx="577" cy="50"/>
          </a:xfrm>
        </xdr:grpSpPr>
        <xdr:sp macro="" textlink="">
          <xdr:nvSpPr>
            <xdr:cNvPr id="5132" name="Rectangle 12"/>
            <xdr:cNvSpPr>
              <a:spLocks noChangeArrowheads="1"/>
            </xdr:cNvSpPr>
          </xdr:nvSpPr>
          <xdr:spPr bwMode="auto">
            <a:xfrm>
              <a:off x="413" y="1277"/>
              <a:ext cx="64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Qual lot</a:t>
              </a:r>
            </a:p>
          </xdr:txBody>
        </xdr:sp>
        <xdr:sp macro="" textlink="">
          <xdr:nvSpPr>
            <xdr:cNvPr id="5133" name="Rectangle 13"/>
            <xdr:cNvSpPr>
              <a:spLocks noChangeArrowheads="1"/>
            </xdr:cNvSpPr>
          </xdr:nvSpPr>
          <xdr:spPr bwMode="auto">
            <a:xfrm>
              <a:off x="245" y="1276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34" name="Rectangle 14"/>
            <xdr:cNvSpPr>
              <a:spLocks noChangeArrowheads="1"/>
            </xdr:cNvSpPr>
          </xdr:nvSpPr>
          <xdr:spPr bwMode="auto">
            <a:xfrm>
              <a:off x="646" y="1266"/>
              <a:ext cx="95" cy="4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35" name="Rectangle 15"/>
            <xdr:cNvSpPr>
              <a:spLocks noChangeArrowheads="1"/>
            </xdr:cNvSpPr>
          </xdr:nvSpPr>
          <xdr:spPr bwMode="auto">
            <a:xfrm>
              <a:off x="312" y="1262"/>
              <a:ext cx="89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sp macro="" textlink="">
          <xdr:nvSpPr>
            <xdr:cNvPr id="5136" name="Rectangle 16"/>
            <xdr:cNvSpPr>
              <a:spLocks noChangeArrowheads="1"/>
            </xdr:cNvSpPr>
          </xdr:nvSpPr>
          <xdr:spPr bwMode="auto">
            <a:xfrm>
              <a:off x="482" y="1260"/>
              <a:ext cx="151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 Sencond version</a:t>
              </a:r>
            </a:p>
          </xdr:txBody>
        </xdr:sp>
        <xdr:cxnSp macro="">
          <xdr:nvCxnSpPr>
            <xdr:cNvPr id="38275" name="AutoShape 18"/>
            <xdr:cNvCxnSpPr>
              <a:cxnSpLocks noChangeShapeType="1"/>
              <a:stCxn id="5133" idx="3"/>
              <a:endCxn id="5132" idx="1"/>
            </xdr:cNvCxnSpPr>
          </xdr:nvCxnSpPr>
          <xdr:spPr bwMode="auto">
            <a:xfrm>
              <a:off x="301" y="1288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76" name="AutoShape 19"/>
            <xdr:cNvCxnSpPr>
              <a:cxnSpLocks noChangeShapeType="1"/>
              <a:stCxn id="5132" idx="3"/>
              <a:endCxn id="5134" idx="1"/>
            </xdr:cNvCxnSpPr>
          </xdr:nvCxnSpPr>
          <xdr:spPr bwMode="auto">
            <a:xfrm flipV="1">
              <a:off x="477" y="1288"/>
              <a:ext cx="169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5" name="Group 20"/>
          <xdr:cNvGrpSpPr>
            <a:grpSpLocks/>
          </xdr:cNvGrpSpPr>
        </xdr:nvGrpSpPr>
        <xdr:grpSpPr bwMode="auto">
          <a:xfrm>
            <a:off x="360" y="1329"/>
            <a:ext cx="839" cy="49"/>
            <a:chOff x="163" y="1200"/>
            <a:chExt cx="577" cy="49"/>
          </a:xfrm>
        </xdr:grpSpPr>
        <xdr:sp macro="" textlink="">
          <xdr:nvSpPr>
            <xdr:cNvPr id="5141" name="Rectangle 21"/>
            <xdr:cNvSpPr>
              <a:spLocks noChangeArrowheads="1"/>
            </xdr:cNvSpPr>
          </xdr:nvSpPr>
          <xdr:spPr bwMode="auto">
            <a:xfrm>
              <a:off x="244" y="1218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42" name="Rectangle 22"/>
            <xdr:cNvSpPr>
              <a:spLocks noChangeArrowheads="1"/>
            </xdr:cNvSpPr>
          </xdr:nvSpPr>
          <xdr:spPr bwMode="auto">
            <a:xfrm>
              <a:off x="644" y="1208"/>
              <a:ext cx="95" cy="4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43" name="Rectangle 23"/>
            <xdr:cNvSpPr>
              <a:spLocks noChangeArrowheads="1"/>
            </xdr:cNvSpPr>
          </xdr:nvSpPr>
          <xdr:spPr bwMode="auto">
            <a:xfrm>
              <a:off x="401" y="1200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cxnSp macro="">
          <xdr:nvCxnSpPr>
            <xdr:cNvPr id="38269" name="AutoShape 25"/>
            <xdr:cNvCxnSpPr>
              <a:cxnSpLocks noChangeShapeType="1"/>
              <a:stCxn id="5141" idx="3"/>
              <a:endCxn id="5142" idx="1"/>
            </xdr:cNvCxnSpPr>
          </xdr:nvCxnSpPr>
          <xdr:spPr bwMode="auto">
            <a:xfrm flipV="1">
              <a:off x="300" y="1229"/>
              <a:ext cx="345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00146~1.CHI/LOCALS~1/Temp/notesFCBCEE/Balong%20V700R001%20ePAD_2-22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5">
          <cell r="P5" t="str">
            <v>D_TCXO0_CLK</v>
          </cell>
        </row>
        <row r="6">
          <cell r="P6" t="str">
            <v>D_TCXO1_CLK</v>
          </cell>
        </row>
        <row r="7">
          <cell r="P7" t="str">
            <v>D_TCXO_SEL</v>
          </cell>
        </row>
        <row r="8">
          <cell r="P8" t="str">
            <v>CLKIN_SLEEP</v>
          </cell>
        </row>
        <row r="9">
          <cell r="P9" t="str">
            <v>TCXO0_IN</v>
          </cell>
        </row>
        <row r="10">
          <cell r="P10" t="str">
            <v>TCXO1_IN</v>
          </cell>
        </row>
        <row r="11">
          <cell r="P11" t="str">
            <v>TCXO0_EN</v>
          </cell>
        </row>
        <row r="12">
          <cell r="P12" t="str">
            <v>TCXO1_EN</v>
          </cell>
        </row>
        <row r="13">
          <cell r="P13" t="str">
            <v>PMU_RSTIN_N</v>
          </cell>
        </row>
        <row r="14">
          <cell r="P14" t="str">
            <v>PMU_RSTOUT_N</v>
          </cell>
        </row>
        <row r="15">
          <cell r="P15" t="str">
            <v>PMU_HOLD</v>
          </cell>
        </row>
        <row r="16">
          <cell r="P16" t="str">
            <v>PMU_IRQ_N</v>
          </cell>
        </row>
        <row r="17">
          <cell r="P17" t="str">
            <v>PMU_LP</v>
          </cell>
        </row>
        <row r="18">
          <cell r="P18" t="str">
            <v>BOOT_MODE0</v>
          </cell>
        </row>
        <row r="19">
          <cell r="P19" t="str">
            <v>BOOT_MODE1</v>
          </cell>
        </row>
        <row r="20">
          <cell r="P20" t="str">
            <v>BOOT_MODE2</v>
          </cell>
        </row>
        <row r="21">
          <cell r="P21" t="str">
            <v>JTAG_MODE0</v>
          </cell>
        </row>
        <row r="22">
          <cell r="P22" t="str">
            <v>JTAG_MODE1</v>
          </cell>
        </row>
        <row r="23">
          <cell r="P23" t="str">
            <v>JTAG_MODE2</v>
          </cell>
        </row>
        <row r="24">
          <cell r="P24" t="str">
            <v>JTAG0_TCK</v>
          </cell>
        </row>
        <row r="25">
          <cell r="P25" t="str">
            <v>JTAG0_RTCK</v>
          </cell>
        </row>
        <row r="26">
          <cell r="P26" t="str">
            <v>JTAG0_TRST_N</v>
          </cell>
        </row>
        <row r="27">
          <cell r="P27" t="str">
            <v>JTAG0_TMS</v>
          </cell>
        </row>
        <row r="28">
          <cell r="P28" t="str">
            <v>JTAG0_TDI</v>
          </cell>
        </row>
        <row r="29">
          <cell r="P29" t="str">
            <v>JTAG0_TDO</v>
          </cell>
        </row>
        <row r="30">
          <cell r="P30" t="str">
            <v>JTAG1_TCK</v>
          </cell>
        </row>
        <row r="31">
          <cell r="P31" t="str">
            <v>JTAG1_RTCK</v>
          </cell>
        </row>
        <row r="32">
          <cell r="P32" t="str">
            <v>JTAG1_TRST_N</v>
          </cell>
        </row>
        <row r="33">
          <cell r="P33" t="str">
            <v>JTAG1_TMS</v>
          </cell>
        </row>
        <row r="34">
          <cell r="P34" t="str">
            <v>JTAG1_TDI</v>
          </cell>
        </row>
        <row r="35">
          <cell r="P35" t="str">
            <v>JTAG1_TDO</v>
          </cell>
        </row>
        <row r="36">
          <cell r="P36" t="str">
            <v>EFUSE_CS_N</v>
          </cell>
        </row>
        <row r="37">
          <cell r="P37" t="str">
            <v>EFUSE_SCLK</v>
          </cell>
        </row>
        <row r="38">
          <cell r="P38" t="str">
            <v>EFUSE_PGM</v>
          </cell>
        </row>
        <row r="39">
          <cell r="P39" t="str">
            <v>EFUSE_DIN</v>
          </cell>
        </row>
        <row r="40">
          <cell r="P40" t="str">
            <v>EFUSE_DOUT</v>
          </cell>
        </row>
        <row r="41">
          <cell r="P41" t="str">
            <v>EFUSE_VDDQ</v>
          </cell>
        </row>
        <row r="42">
          <cell r="P42" t="str">
            <v>DDR_CKP</v>
          </cell>
        </row>
        <row r="43">
          <cell r="P43" t="str">
            <v>DDR_CKN</v>
          </cell>
        </row>
        <row r="44">
          <cell r="P44" t="str">
            <v>DDR_CKE</v>
          </cell>
        </row>
        <row r="45">
          <cell r="P45" t="str">
            <v>DDR_CS_N</v>
          </cell>
        </row>
        <row r="46">
          <cell r="P46" t="str">
            <v>DDR_RAS_N</v>
          </cell>
        </row>
        <row r="47">
          <cell r="P47" t="str">
            <v>DDR_CAS_N</v>
          </cell>
        </row>
        <row r="48">
          <cell r="P48" t="str">
            <v>DDR_WE_N</v>
          </cell>
        </row>
        <row r="49">
          <cell r="P49" t="str">
            <v>DDR_BA0</v>
          </cell>
        </row>
        <row r="50">
          <cell r="P50" t="str">
            <v>DDR_BA1</v>
          </cell>
        </row>
        <row r="51">
          <cell r="P51" t="str">
            <v>DDR_ADDR0</v>
          </cell>
        </row>
        <row r="52">
          <cell r="P52" t="str">
            <v>DDR_ADDR1</v>
          </cell>
        </row>
        <row r="53">
          <cell r="P53" t="str">
            <v>DDR_ADDR2</v>
          </cell>
        </row>
        <row r="54">
          <cell r="P54" t="str">
            <v>DDR_ADDR3</v>
          </cell>
        </row>
        <row r="55">
          <cell r="P55" t="str">
            <v>DDR_ADDR4</v>
          </cell>
        </row>
        <row r="56">
          <cell r="P56" t="str">
            <v>DDR_ADDR5</v>
          </cell>
        </row>
        <row r="57">
          <cell r="P57" t="str">
            <v>DDR_ADDR6</v>
          </cell>
        </row>
        <row r="58">
          <cell r="P58" t="str">
            <v>DDR_ADDR7</v>
          </cell>
        </row>
        <row r="59">
          <cell r="P59" t="str">
            <v>DDR_ADDR8</v>
          </cell>
        </row>
        <row r="60">
          <cell r="P60" t="str">
            <v>DDR_ADDR9</v>
          </cell>
        </row>
        <row r="61">
          <cell r="P61" t="str">
            <v>DDR_ADDR10</v>
          </cell>
        </row>
        <row r="62">
          <cell r="P62" t="str">
            <v>DDR_ADDR11</v>
          </cell>
        </row>
        <row r="63">
          <cell r="P63" t="str">
            <v>DDR_ADDR12</v>
          </cell>
        </row>
        <row r="64">
          <cell r="P64" t="str">
            <v>DDR_DQM0</v>
          </cell>
        </row>
        <row r="65">
          <cell r="P65" t="str">
            <v>DDR_DQM1</v>
          </cell>
        </row>
        <row r="66">
          <cell r="P66" t="str">
            <v>DDR_DQM2</v>
          </cell>
        </row>
        <row r="67">
          <cell r="P67" t="str">
            <v>DDR_DQM3</v>
          </cell>
        </row>
        <row r="68">
          <cell r="P68" t="str">
            <v>DDR_DQ00</v>
          </cell>
        </row>
        <row r="69">
          <cell r="P69" t="str">
            <v>DDR_DQ01</v>
          </cell>
        </row>
        <row r="70">
          <cell r="P70" t="str">
            <v>DDR_DQ02</v>
          </cell>
        </row>
        <row r="71">
          <cell r="P71" t="str">
            <v>DDR_DQ03</v>
          </cell>
        </row>
        <row r="72">
          <cell r="P72" t="str">
            <v>DDR_DQ04</v>
          </cell>
        </row>
        <row r="73">
          <cell r="P73" t="str">
            <v>DDR_DQ05</v>
          </cell>
        </row>
        <row r="74">
          <cell r="P74" t="str">
            <v>DDR_DQ06</v>
          </cell>
        </row>
        <row r="75">
          <cell r="P75" t="str">
            <v>DDR_DQ07</v>
          </cell>
        </row>
        <row r="76">
          <cell r="P76" t="str">
            <v>DDR_DQ08</v>
          </cell>
        </row>
        <row r="77">
          <cell r="P77" t="str">
            <v>DDR_DQ09</v>
          </cell>
        </row>
        <row r="78">
          <cell r="P78" t="str">
            <v>DDR_DQ10</v>
          </cell>
        </row>
        <row r="79">
          <cell r="P79" t="str">
            <v>DDR_DQ11</v>
          </cell>
        </row>
        <row r="80">
          <cell r="P80" t="str">
            <v>DDR_DQ12</v>
          </cell>
        </row>
        <row r="81">
          <cell r="P81" t="str">
            <v>DDR_DQ13</v>
          </cell>
        </row>
        <row r="82">
          <cell r="P82" t="str">
            <v>DDR_DQ14</v>
          </cell>
        </row>
        <row r="83">
          <cell r="P83" t="str">
            <v>DDR_DQ15</v>
          </cell>
        </row>
        <row r="84">
          <cell r="P84" t="str">
            <v>DDR_DQ16</v>
          </cell>
        </row>
        <row r="85">
          <cell r="P85" t="str">
            <v>DDR_DQ17</v>
          </cell>
        </row>
        <row r="86">
          <cell r="P86" t="str">
            <v>DDR_DQ18</v>
          </cell>
        </row>
        <row r="87">
          <cell r="P87" t="str">
            <v>DDR_DQ19</v>
          </cell>
        </row>
        <row r="88">
          <cell r="P88" t="str">
            <v>DDR_DQ20</v>
          </cell>
        </row>
        <row r="89">
          <cell r="P89" t="str">
            <v>DDR_DQ21</v>
          </cell>
        </row>
        <row r="90">
          <cell r="P90" t="str">
            <v>DDR_DQ22</v>
          </cell>
        </row>
        <row r="91">
          <cell r="P91" t="str">
            <v>DDR_DQ23</v>
          </cell>
        </row>
        <row r="92">
          <cell r="P92" t="str">
            <v>DDR_DQ24</v>
          </cell>
        </row>
        <row r="93">
          <cell r="P93" t="str">
            <v>DDR_DQ25</v>
          </cell>
        </row>
        <row r="94">
          <cell r="P94" t="str">
            <v>DDR_DQ26</v>
          </cell>
        </row>
        <row r="95">
          <cell r="P95" t="str">
            <v>DDR_DQ27</v>
          </cell>
        </row>
        <row r="96">
          <cell r="P96" t="str">
            <v>DDR_DQ28</v>
          </cell>
        </row>
        <row r="97">
          <cell r="P97" t="str">
            <v>DDR_DQ29</v>
          </cell>
        </row>
        <row r="98">
          <cell r="P98" t="str">
            <v>DDR_DQ30</v>
          </cell>
        </row>
        <row r="99">
          <cell r="P99" t="str">
            <v>DDR_DQ31</v>
          </cell>
        </row>
        <row r="100">
          <cell r="P100" t="str">
            <v>DDR_DQS0_P</v>
          </cell>
        </row>
        <row r="101">
          <cell r="P101" t="str">
            <v>DDR_DQS0_N</v>
          </cell>
        </row>
        <row r="102">
          <cell r="P102" t="str">
            <v>DDR_DQS1_P</v>
          </cell>
        </row>
        <row r="103">
          <cell r="P103" t="str">
            <v>DDR_DQS1_N</v>
          </cell>
        </row>
        <row r="104">
          <cell r="P104" t="str">
            <v>DDR_DQS2_P</v>
          </cell>
        </row>
        <row r="105">
          <cell r="P105" t="str">
            <v>DDR_DQS2_N</v>
          </cell>
        </row>
        <row r="106">
          <cell r="P106" t="str">
            <v>DDR_DQS3_P</v>
          </cell>
        </row>
        <row r="107">
          <cell r="P107" t="str">
            <v>DDR_DQS3_N</v>
          </cell>
        </row>
        <row r="108">
          <cell r="P108" t="str">
            <v>DDR_ZQ</v>
          </cell>
        </row>
        <row r="109">
          <cell r="P109" t="str">
            <v>NF_CE0_N</v>
          </cell>
        </row>
        <row r="110">
          <cell r="P110" t="str">
            <v>NF_ALE</v>
          </cell>
        </row>
        <row r="111">
          <cell r="P111" t="str">
            <v>NF_CLE</v>
          </cell>
        </row>
        <row r="112">
          <cell r="P112" t="str">
            <v>NF_WR_N</v>
          </cell>
        </row>
        <row r="113">
          <cell r="P113" t="str">
            <v>NF_RD_N</v>
          </cell>
        </row>
        <row r="114">
          <cell r="P114" t="str">
            <v>NF_DATA0</v>
          </cell>
        </row>
        <row r="115">
          <cell r="P115" t="str">
            <v>NF_DATA1</v>
          </cell>
        </row>
        <row r="116">
          <cell r="P116" t="str">
            <v>NF_DATA2</v>
          </cell>
        </row>
        <row r="117">
          <cell r="P117" t="str">
            <v>NF_DATA3</v>
          </cell>
        </row>
        <row r="118">
          <cell r="P118" t="str">
            <v>NF_DATA4</v>
          </cell>
        </row>
        <row r="119">
          <cell r="P119" t="str">
            <v>NF_DATA5</v>
          </cell>
        </row>
        <row r="120">
          <cell r="P120" t="str">
            <v>NF_DATA6</v>
          </cell>
        </row>
        <row r="121">
          <cell r="P121" t="str">
            <v>NF_DATA7</v>
          </cell>
        </row>
        <row r="122">
          <cell r="P122" t="str">
            <v>NF_DATA8</v>
          </cell>
        </row>
        <row r="123">
          <cell r="P123" t="str">
            <v>NF_DATA9</v>
          </cell>
        </row>
        <row r="124">
          <cell r="P124" t="str">
            <v>NF_DATA10</v>
          </cell>
        </row>
        <row r="125">
          <cell r="P125" t="str">
            <v>NF_DATA11</v>
          </cell>
        </row>
        <row r="126">
          <cell r="P126" t="str">
            <v>NF_DATA12</v>
          </cell>
        </row>
        <row r="127">
          <cell r="P127" t="str">
            <v>NF_DATA13</v>
          </cell>
        </row>
        <row r="128">
          <cell r="P128" t="str">
            <v>NF_DATA14</v>
          </cell>
        </row>
        <row r="129">
          <cell r="P129" t="str">
            <v>NF_DATA15</v>
          </cell>
        </row>
        <row r="130">
          <cell r="P130" t="str">
            <v>NF_RB0</v>
          </cell>
        </row>
        <row r="131">
          <cell r="P131" t="str">
            <v>NF_ADDR_NUM</v>
          </cell>
        </row>
        <row r="132">
          <cell r="P132" t="str">
            <v>NF_DATA_WIDE</v>
          </cell>
        </row>
        <row r="133">
          <cell r="P133" t="str">
            <v>NF_PAGE_SIZE0</v>
          </cell>
        </row>
        <row r="134">
          <cell r="P134" t="str">
            <v>NF_PAGE_SIZE1</v>
          </cell>
        </row>
        <row r="135">
          <cell r="P135" t="str">
            <v>NF_BLOCK_SIZE</v>
          </cell>
        </row>
        <row r="136">
          <cell r="P136" t="str">
            <v>NF_ECC_TYPE0</v>
          </cell>
        </row>
        <row r="137">
          <cell r="P137" t="str">
            <v>NF_ECC_TYPE1</v>
          </cell>
        </row>
        <row r="138">
          <cell r="P138" t="str">
            <v>NF_ECC_TYPE2</v>
          </cell>
        </row>
        <row r="139">
          <cell r="P139" t="str">
            <v>USB20_VBUS</v>
          </cell>
        </row>
        <row r="140">
          <cell r="P140" t="str">
            <v>USB20_ID</v>
          </cell>
        </row>
        <row r="141">
          <cell r="P141" t="str">
            <v>USB20_DP</v>
          </cell>
        </row>
        <row r="142">
          <cell r="P142" t="str">
            <v>USB20_DM</v>
          </cell>
        </row>
        <row r="143">
          <cell r="P143" t="str">
            <v>USB20_RKELVIN</v>
          </cell>
        </row>
        <row r="144">
          <cell r="P144" t="str">
            <v>USB20_ANALOGTEST</v>
          </cell>
        </row>
        <row r="145">
          <cell r="P145" t="str">
            <v>USB20_XO</v>
          </cell>
        </row>
        <row r="146">
          <cell r="P146" t="str">
            <v>USB20_XI</v>
          </cell>
        </row>
        <row r="147">
          <cell r="P147" t="str">
            <v>HSIC_STROBE</v>
          </cell>
        </row>
        <row r="148">
          <cell r="P148" t="str">
            <v>HSIC_DATA</v>
          </cell>
        </row>
        <row r="149">
          <cell r="P149" t="str">
            <v>PMU_USIM0_CLK</v>
          </cell>
        </row>
        <row r="150">
          <cell r="P150" t="str">
            <v>PMU_USIM0_RST</v>
          </cell>
        </row>
        <row r="151">
          <cell r="P151" t="str">
            <v>PMU_USIM0_DATA</v>
          </cell>
        </row>
        <row r="152">
          <cell r="P152" t="str">
            <v>PMU_USIM0_DETECT</v>
          </cell>
        </row>
        <row r="153">
          <cell r="P153" t="str">
            <v>PMU_USIM1_CLK</v>
          </cell>
        </row>
        <row r="154">
          <cell r="P154" t="str">
            <v>PMU_USIM1_RST</v>
          </cell>
        </row>
        <row r="155">
          <cell r="P155" t="str">
            <v>PMU_USIM1_DATA</v>
          </cell>
        </row>
        <row r="156">
          <cell r="P156" t="str">
            <v>PMU_USIM1_DETECT</v>
          </cell>
        </row>
        <row r="157">
          <cell r="P157" t="str">
            <v>MMC0_CLK</v>
          </cell>
        </row>
        <row r="158">
          <cell r="P158" t="str">
            <v>MMC0_CLK_FB_OUT</v>
          </cell>
        </row>
        <row r="159">
          <cell r="P159" t="str">
            <v>MMC0_CLK_FB_IN</v>
          </cell>
        </row>
        <row r="160">
          <cell r="P160" t="str">
            <v>MMC0_CMD</v>
          </cell>
        </row>
        <row r="161">
          <cell r="P161" t="str">
            <v>MMC0_DATA0</v>
          </cell>
        </row>
        <row r="162">
          <cell r="P162" t="str">
            <v>MMC0_DATA1</v>
          </cell>
        </row>
        <row r="163">
          <cell r="P163" t="str">
            <v>MMC0_DATA2</v>
          </cell>
        </row>
        <row r="164">
          <cell r="P164" t="str">
            <v>MMC0_DATA3</v>
          </cell>
        </row>
        <row r="165">
          <cell r="P165" t="str">
            <v>MMC0_WP</v>
          </cell>
        </row>
        <row r="166">
          <cell r="P166" t="str">
            <v>MMC0_CARDIN_N</v>
          </cell>
        </row>
        <row r="167">
          <cell r="P167" t="str">
            <v>MMC1_CLK</v>
          </cell>
        </row>
        <row r="168">
          <cell r="P168" t="str">
            <v>MMC1_CLK_FB_OUT</v>
          </cell>
        </row>
        <row r="169">
          <cell r="P169" t="str">
            <v>MMC1_CLK_FB_IN</v>
          </cell>
        </row>
        <row r="170">
          <cell r="P170" t="str">
            <v>MMC1_CMD</v>
          </cell>
        </row>
        <row r="171">
          <cell r="P171" t="str">
            <v>MMC1_DATA0</v>
          </cell>
        </row>
        <row r="172">
          <cell r="P172" t="str">
            <v>MMC1_DATA1</v>
          </cell>
        </row>
        <row r="173">
          <cell r="P173" t="str">
            <v>MMC1_DATA2</v>
          </cell>
        </row>
        <row r="174">
          <cell r="P174" t="str">
            <v>MMC1_DATA3</v>
          </cell>
        </row>
        <row r="175">
          <cell r="P175" t="str">
            <v>MMC1_WP</v>
          </cell>
        </row>
        <row r="176">
          <cell r="P176" t="str">
            <v>MMC1_CARDIN_N</v>
          </cell>
        </row>
        <row r="177">
          <cell r="P177" t="str">
            <v>MMC2_CLK</v>
          </cell>
        </row>
        <row r="178">
          <cell r="P178" t="str">
            <v>MMC2_CLK_FB_OUT</v>
          </cell>
        </row>
        <row r="179">
          <cell r="P179" t="str">
            <v>MMC2_CLK_FB_IN</v>
          </cell>
        </row>
        <row r="180">
          <cell r="P180" t="str">
            <v>MMC2_CMD</v>
          </cell>
        </row>
        <row r="181">
          <cell r="P181" t="str">
            <v>MMC2_DATA0</v>
          </cell>
        </row>
        <row r="182">
          <cell r="P182" t="str">
            <v>MMC2_DATA1</v>
          </cell>
        </row>
        <row r="183">
          <cell r="P183" t="str">
            <v>MMC2_DATA2</v>
          </cell>
        </row>
        <row r="184">
          <cell r="P184" t="str">
            <v>MMC2_DATA3</v>
          </cell>
        </row>
        <row r="185">
          <cell r="P185" t="str">
            <v>MMC2_WP</v>
          </cell>
        </row>
        <row r="186">
          <cell r="P186" t="str">
            <v>MMC2_CARDIN_N</v>
          </cell>
        </row>
        <row r="187">
          <cell r="P187" t="str">
            <v>SDIO_CLK</v>
          </cell>
        </row>
        <row r="188">
          <cell r="P188" t="str">
            <v>SDIO_CMD</v>
          </cell>
        </row>
        <row r="189">
          <cell r="P189" t="str">
            <v>SDIO_DATA0</v>
          </cell>
        </row>
        <row r="190">
          <cell r="P190" t="str">
            <v>SDIO_DATA1</v>
          </cell>
        </row>
        <row r="191">
          <cell r="P191" t="str">
            <v>SDIO_DATA2</v>
          </cell>
        </row>
        <row r="192">
          <cell r="P192" t="str">
            <v>SDIO_DATA3</v>
          </cell>
        </row>
        <row r="193">
          <cell r="P193" t="str">
            <v>I2C_SCL</v>
          </cell>
        </row>
        <row r="194">
          <cell r="P194" t="str">
            <v>I2C_SDA</v>
          </cell>
        </row>
        <row r="195">
          <cell r="P195" t="str">
            <v>SSP0_CS0_N</v>
          </cell>
        </row>
        <row r="196">
          <cell r="P196" t="str">
            <v>SSP0_CS1_N</v>
          </cell>
        </row>
        <row r="197">
          <cell r="P197" t="str">
            <v>SSP0_CLK_OUT</v>
          </cell>
        </row>
        <row r="198">
          <cell r="P198" t="str">
            <v>SSP0_SDIO</v>
          </cell>
        </row>
        <row r="199">
          <cell r="P199" t="str">
            <v>SSP0_SDO</v>
          </cell>
        </row>
        <row r="200">
          <cell r="P200" t="str">
            <v>SSP1_CS0_N</v>
          </cell>
        </row>
        <row r="201">
          <cell r="P201" t="str">
            <v>SSP1_CS1_N</v>
          </cell>
        </row>
        <row r="202">
          <cell r="P202" t="str">
            <v>SSP1_CLK_OUT</v>
          </cell>
        </row>
        <row r="203">
          <cell r="P203" t="str">
            <v>SSP1_SDIO</v>
          </cell>
        </row>
        <row r="204">
          <cell r="P204" t="str">
            <v>SSP1_SDO</v>
          </cell>
        </row>
        <row r="205">
          <cell r="P205" t="str">
            <v>SSI0</v>
          </cell>
        </row>
        <row r="206">
          <cell r="P206" t="str">
            <v>SSI1</v>
          </cell>
        </row>
        <row r="207">
          <cell r="P207" t="str">
            <v>UART0_TXD</v>
          </cell>
        </row>
        <row r="208">
          <cell r="P208" t="str">
            <v>UART0_RXD</v>
          </cell>
        </row>
        <row r="209">
          <cell r="P209" t="str">
            <v>UART1_TXD</v>
          </cell>
        </row>
        <row r="210">
          <cell r="P210" t="str">
            <v>UART1_RXD</v>
          </cell>
        </row>
        <row r="211">
          <cell r="P211" t="str">
            <v>UART2_TXD</v>
          </cell>
        </row>
        <row r="212">
          <cell r="P212" t="str">
            <v>UART2_RXD</v>
          </cell>
        </row>
        <row r="213">
          <cell r="P213" t="str">
            <v>UART3_TXD</v>
          </cell>
        </row>
        <row r="214">
          <cell r="P214" t="str">
            <v>UART3_RXD</v>
          </cell>
        </row>
        <row r="215">
          <cell r="P215" t="str">
            <v>HS_UART_TXD</v>
          </cell>
        </row>
        <row r="216">
          <cell r="P216" t="str">
            <v>HS_UART_RXD</v>
          </cell>
        </row>
        <row r="217">
          <cell r="P217" t="str">
            <v>HS_UART_RTS_N</v>
          </cell>
        </row>
        <row r="218">
          <cell r="P218" t="str">
            <v>HS_UART_CTS_N</v>
          </cell>
        </row>
        <row r="219">
          <cell r="P219" t="str">
            <v>LTE_PCM_CLK</v>
          </cell>
        </row>
        <row r="220">
          <cell r="P220" t="str">
            <v>LTE_PCM_SYNC</v>
          </cell>
        </row>
        <row r="221">
          <cell r="P221" t="str">
            <v>LTE_PCM_DI</v>
          </cell>
        </row>
        <row r="222">
          <cell r="P222" t="str">
            <v>LTE_PCM_DO</v>
          </cell>
        </row>
        <row r="223">
          <cell r="P223" t="str">
            <v>LCD_RST_N</v>
          </cell>
        </row>
        <row r="224">
          <cell r="P224" t="str">
            <v>LCD_CS_N</v>
          </cell>
        </row>
        <row r="225">
          <cell r="P225" t="str">
            <v>LCD_WR_N</v>
          </cell>
        </row>
        <row r="226">
          <cell r="P226" t="str">
            <v>LCD_RD_N</v>
          </cell>
        </row>
        <row r="227">
          <cell r="P227" t="str">
            <v>LCD_DC</v>
          </cell>
        </row>
        <row r="228">
          <cell r="P228" t="str">
            <v>LCD_D0</v>
          </cell>
        </row>
        <row r="229">
          <cell r="P229" t="str">
            <v>LCD_D1</v>
          </cell>
        </row>
        <row r="230">
          <cell r="P230" t="str">
            <v>LCD_D2</v>
          </cell>
        </row>
        <row r="231">
          <cell r="P231" t="str">
            <v>LCD_D3</v>
          </cell>
        </row>
        <row r="232">
          <cell r="P232" t="str">
            <v>LCD_D4</v>
          </cell>
        </row>
        <row r="233">
          <cell r="P233" t="str">
            <v>LCD_D5</v>
          </cell>
        </row>
        <row r="234">
          <cell r="P234" t="str">
            <v>LCD_D6</v>
          </cell>
        </row>
        <row r="235">
          <cell r="P235" t="str">
            <v>LCD_D7</v>
          </cell>
        </row>
        <row r="236">
          <cell r="P236" t="str">
            <v>LCD_D8</v>
          </cell>
        </row>
        <row r="237">
          <cell r="P237" t="str">
            <v>LCD_D9</v>
          </cell>
        </row>
        <row r="238">
          <cell r="P238" t="str">
            <v>LCD_D10</v>
          </cell>
        </row>
        <row r="239">
          <cell r="P239" t="str">
            <v>LCD_D11</v>
          </cell>
        </row>
        <row r="240">
          <cell r="P240" t="str">
            <v>LCD_D12</v>
          </cell>
        </row>
        <row r="241">
          <cell r="P241" t="str">
            <v>LCD_D13</v>
          </cell>
        </row>
        <row r="242">
          <cell r="P242" t="str">
            <v>LCD_D14</v>
          </cell>
        </row>
        <row r="243">
          <cell r="P243" t="str">
            <v>LCD_D15</v>
          </cell>
        </row>
        <row r="244">
          <cell r="P244" t="str">
            <v>GMII_RX_CLK</v>
          </cell>
        </row>
        <row r="245">
          <cell r="P245" t="str">
            <v>GMII_TX_CLK</v>
          </cell>
        </row>
        <row r="246">
          <cell r="P246" t="str">
            <v>GMII_CLK_125</v>
          </cell>
        </row>
        <row r="247">
          <cell r="P247" t="str">
            <v>GMII_GTXCLK</v>
          </cell>
        </row>
        <row r="248">
          <cell r="P248" t="str">
            <v>GMII_TXEN</v>
          </cell>
        </row>
        <row r="249">
          <cell r="P249" t="str">
            <v>GMII_TXER</v>
          </cell>
        </row>
        <row r="250">
          <cell r="P250" t="str">
            <v>GMII_TXD0</v>
          </cell>
        </row>
        <row r="251">
          <cell r="P251" t="str">
            <v>GMII_TXD1</v>
          </cell>
        </row>
        <row r="252">
          <cell r="P252" t="str">
            <v>GMII_TXD2</v>
          </cell>
        </row>
        <row r="253">
          <cell r="P253" t="str">
            <v>GMII_TXD3</v>
          </cell>
        </row>
        <row r="254">
          <cell r="P254" t="str">
            <v>GMII_TXD4</v>
          </cell>
        </row>
        <row r="255">
          <cell r="P255" t="str">
            <v>GMII_TXD5</v>
          </cell>
        </row>
        <row r="256">
          <cell r="P256" t="str">
            <v>GMII_TXD6</v>
          </cell>
        </row>
        <row r="257">
          <cell r="P257" t="str">
            <v>GMII_TXD7</v>
          </cell>
        </row>
        <row r="258">
          <cell r="P258" t="str">
            <v>GMII_RXDV</v>
          </cell>
        </row>
        <row r="259">
          <cell r="P259" t="str">
            <v>GMII_RXCRS</v>
          </cell>
        </row>
        <row r="260">
          <cell r="P260" t="str">
            <v>GMII_RXER</v>
          </cell>
        </row>
        <row r="261">
          <cell r="P261" t="str">
            <v>GMII_COL</v>
          </cell>
        </row>
        <row r="262">
          <cell r="P262" t="str">
            <v>GMII_RXD0</v>
          </cell>
        </row>
        <row r="263">
          <cell r="P263" t="str">
            <v>GMII_RXD1</v>
          </cell>
        </row>
        <row r="264">
          <cell r="P264" t="str">
            <v>GMII_RXD2</v>
          </cell>
        </row>
        <row r="265">
          <cell r="P265" t="str">
            <v>GMII_RXD3</v>
          </cell>
        </row>
        <row r="266">
          <cell r="P266" t="str">
            <v>GMII_RXD4</v>
          </cell>
        </row>
        <row r="267">
          <cell r="P267" t="str">
            <v>GMII_RXD5</v>
          </cell>
        </row>
        <row r="268">
          <cell r="P268" t="str">
            <v>GMII_RXD6</v>
          </cell>
        </row>
        <row r="269">
          <cell r="P269" t="str">
            <v>GMII_RXD7</v>
          </cell>
        </row>
        <row r="270">
          <cell r="P270" t="str">
            <v>GMII_MDIO</v>
          </cell>
        </row>
        <row r="271">
          <cell r="P271" t="str">
            <v>GMII_MDC</v>
          </cell>
        </row>
        <row r="272">
          <cell r="P272" t="str">
            <v>TP_DO0</v>
          </cell>
        </row>
        <row r="273">
          <cell r="P273" t="str">
            <v>TP_DO1</v>
          </cell>
        </row>
        <row r="274">
          <cell r="P274" t="str">
            <v>TP_DO2</v>
          </cell>
        </row>
        <row r="275">
          <cell r="P275" t="str">
            <v>TP_DO3</v>
          </cell>
        </row>
        <row r="276">
          <cell r="P276" t="str">
            <v>TP_DO4</v>
          </cell>
        </row>
        <row r="277">
          <cell r="P277" t="str">
            <v>TP_DO5</v>
          </cell>
        </row>
        <row r="278">
          <cell r="P278" t="str">
            <v>TP_DO6</v>
          </cell>
        </row>
        <row r="279">
          <cell r="P279" t="str">
            <v>TP_DO7</v>
          </cell>
        </row>
        <row r="280">
          <cell r="P280" t="str">
            <v>TP_DO8</v>
          </cell>
        </row>
        <row r="281">
          <cell r="P281" t="str">
            <v>TP_DO9</v>
          </cell>
        </row>
        <row r="282">
          <cell r="P282" t="str">
            <v>TP_DO10</v>
          </cell>
        </row>
        <row r="283">
          <cell r="P283" t="str">
            <v>TP_DO11</v>
          </cell>
        </row>
        <row r="284">
          <cell r="P284" t="str">
            <v>TP_DO12</v>
          </cell>
        </row>
        <row r="285">
          <cell r="P285" t="str">
            <v>TP_DO13</v>
          </cell>
        </row>
        <row r="286">
          <cell r="P286" t="str">
            <v>TP_DO14</v>
          </cell>
        </row>
        <row r="287">
          <cell r="P287" t="str">
            <v>TP_DO15</v>
          </cell>
        </row>
        <row r="288">
          <cell r="P288" t="str">
            <v>TP_CLK</v>
          </cell>
        </row>
        <row r="289">
          <cell r="P289" t="str">
            <v>TP_CTL</v>
          </cell>
        </row>
        <row r="290">
          <cell r="P290" t="str">
            <v>LTE_RX_MCLK</v>
          </cell>
        </row>
        <row r="291">
          <cell r="P291" t="str">
            <v>LTE_RX_SYNC</v>
          </cell>
        </row>
        <row r="292">
          <cell r="P292" t="str">
            <v>LTE_RXA_DATA0</v>
          </cell>
        </row>
        <row r="293">
          <cell r="P293" t="str">
            <v>LTE_RXA_DATA1</v>
          </cell>
        </row>
        <row r="294">
          <cell r="P294" t="str">
            <v>LTE_RXA_DATA2</v>
          </cell>
        </row>
        <row r="295">
          <cell r="P295" t="str">
            <v>LTE_RXA_DATA3</v>
          </cell>
        </row>
        <row r="296">
          <cell r="P296" t="str">
            <v>LTE_RXA_DATA4</v>
          </cell>
        </row>
        <row r="297">
          <cell r="P297" t="str">
            <v>LTE_RXA_DATA5</v>
          </cell>
        </row>
        <row r="298">
          <cell r="P298" t="str">
            <v>LTE_RXA_DATA6</v>
          </cell>
        </row>
        <row r="299">
          <cell r="P299" t="str">
            <v>LTE_RXB_DATA0</v>
          </cell>
        </row>
        <row r="300">
          <cell r="P300" t="str">
            <v>LTE_RXB_DATA1</v>
          </cell>
        </row>
        <row r="301">
          <cell r="P301" t="str">
            <v>LTE_RXB_DATA2</v>
          </cell>
        </row>
        <row r="302">
          <cell r="P302" t="str">
            <v>LTE_RXB_DATA3</v>
          </cell>
        </row>
        <row r="303">
          <cell r="P303" t="str">
            <v>LTE_RXB_DATA4</v>
          </cell>
        </row>
        <row r="304">
          <cell r="P304" t="str">
            <v>LTE_RXB_DATA5</v>
          </cell>
        </row>
        <row r="305">
          <cell r="P305" t="str">
            <v>LTE_RXB_DATA6</v>
          </cell>
        </row>
        <row r="306">
          <cell r="P306" t="str">
            <v>LTE_TX_CLK</v>
          </cell>
        </row>
        <row r="307">
          <cell r="P307" t="str">
            <v>LTE_TX_SYNC</v>
          </cell>
        </row>
        <row r="308">
          <cell r="P308" t="str">
            <v>LTE_TXA_DATA0</v>
          </cell>
        </row>
        <row r="309">
          <cell r="P309" t="str">
            <v>LTE_TXA_DATA1</v>
          </cell>
        </row>
        <row r="310">
          <cell r="P310" t="str">
            <v>LTE_TXA_DATA2</v>
          </cell>
        </row>
        <row r="311">
          <cell r="P311" t="str">
            <v>LTE_TXA_DATA3</v>
          </cell>
        </row>
        <row r="312">
          <cell r="P312" t="str">
            <v>LTE_TXA_DATA4</v>
          </cell>
        </row>
        <row r="313">
          <cell r="P313" t="str">
            <v>LTE_TXA_DATA5</v>
          </cell>
        </row>
        <row r="314">
          <cell r="P314" t="str">
            <v>LTE_TXA_DATA6</v>
          </cell>
        </row>
        <row r="315">
          <cell r="P315" t="str">
            <v>LTE_RXA_EN</v>
          </cell>
        </row>
        <row r="316">
          <cell r="P316" t="str">
            <v>LTE_RXB_EN</v>
          </cell>
        </row>
        <row r="317">
          <cell r="P317" t="str">
            <v>LTE_TX_EN</v>
          </cell>
        </row>
        <row r="318">
          <cell r="P318" t="str">
            <v>LTE_RXA_BLK_EN</v>
          </cell>
        </row>
        <row r="319">
          <cell r="P319" t="str">
            <v>LTE_RXB_BLK_EN</v>
          </cell>
        </row>
        <row r="320">
          <cell r="P320" t="str">
            <v>LTE_AUXDAC1_EN</v>
          </cell>
        </row>
        <row r="321">
          <cell r="P321" t="str">
            <v>LTE_AUXDAC2_EN</v>
          </cell>
        </row>
        <row r="322">
          <cell r="P322" t="str">
            <v>LTE_SSI_AUXDAC</v>
          </cell>
        </row>
        <row r="323">
          <cell r="P323" t="str">
            <v>LTE_AUXDAC1</v>
          </cell>
        </row>
        <row r="324">
          <cell r="P324" t="str">
            <v>LTE_AUXDAC2</v>
          </cell>
        </row>
        <row r="325">
          <cell r="P325" t="str">
            <v>WG_RX_MCLK</v>
          </cell>
        </row>
        <row r="326">
          <cell r="P326" t="str">
            <v>WG_RX_SYNC</v>
          </cell>
        </row>
        <row r="327">
          <cell r="P327" t="str">
            <v>WG_RXA_DATA0</v>
          </cell>
        </row>
        <row r="328">
          <cell r="P328" t="str">
            <v>WG_RXA_DATA1</v>
          </cell>
        </row>
        <row r="329">
          <cell r="P329" t="str">
            <v>WG_RXA_DATA2</v>
          </cell>
        </row>
        <row r="330">
          <cell r="P330" t="str">
            <v>WG_RXA_DATA3</v>
          </cell>
        </row>
        <row r="331">
          <cell r="P331" t="str">
            <v>WG_RXA_DATA4</v>
          </cell>
        </row>
        <row r="332">
          <cell r="P332" t="str">
            <v>WG_RXA_DATA5</v>
          </cell>
        </row>
        <row r="333">
          <cell r="P333" t="str">
            <v>WG_RXA_DATA6</v>
          </cell>
        </row>
        <row r="334">
          <cell r="P334" t="str">
            <v>WG_RXB_DATA0</v>
          </cell>
        </row>
        <row r="335">
          <cell r="P335" t="str">
            <v>WG_RXB_DATA1</v>
          </cell>
        </row>
        <row r="336">
          <cell r="P336" t="str">
            <v>WG_RXB_DATA2</v>
          </cell>
        </row>
        <row r="337">
          <cell r="P337" t="str">
            <v>WG_RXB_DATA3</v>
          </cell>
        </row>
        <row r="338">
          <cell r="P338" t="str">
            <v>WG_RXB_DATA4</v>
          </cell>
        </row>
        <row r="339">
          <cell r="P339" t="str">
            <v>WG_RXB_DATA5</v>
          </cell>
        </row>
        <row r="340">
          <cell r="P340" t="str">
            <v>WG_RXB_DATA6</v>
          </cell>
        </row>
        <row r="341">
          <cell r="P341" t="str">
            <v>WG_TX_MCLK</v>
          </cell>
        </row>
        <row r="342">
          <cell r="P342" t="str">
            <v>WG_TX_SYNC</v>
          </cell>
        </row>
        <row r="343">
          <cell r="P343" t="str">
            <v>WG_TXA_DATA0</v>
          </cell>
        </row>
        <row r="344">
          <cell r="P344" t="str">
            <v>WG_TXA_DATA1</v>
          </cell>
        </row>
        <row r="345">
          <cell r="P345" t="str">
            <v>WG_TXA_DATA2</v>
          </cell>
        </row>
        <row r="346">
          <cell r="P346" t="str">
            <v>WG_TXA_DATA3</v>
          </cell>
        </row>
        <row r="347">
          <cell r="P347" t="str">
            <v>WG_TXA_DATA4</v>
          </cell>
        </row>
        <row r="348">
          <cell r="P348" t="str">
            <v>WG_TXA_DATA5</v>
          </cell>
        </row>
        <row r="349">
          <cell r="P349" t="str">
            <v>WG_TXA_DATA6</v>
          </cell>
        </row>
        <row r="350">
          <cell r="P350" t="str">
            <v>W_RXA_EN</v>
          </cell>
        </row>
        <row r="351">
          <cell r="P351" t="str">
            <v>W_RXB_EN</v>
          </cell>
        </row>
        <row r="352">
          <cell r="P352" t="str">
            <v>W_TX_EN</v>
          </cell>
        </row>
        <row r="353">
          <cell r="P353" t="str">
            <v>G_RXA_EN</v>
          </cell>
        </row>
        <row r="354">
          <cell r="P354" t="str">
            <v>G_RXB_EN</v>
          </cell>
        </row>
        <row r="355">
          <cell r="P355" t="str">
            <v>G_TX_EN</v>
          </cell>
        </row>
        <row r="356">
          <cell r="P356" t="str">
            <v>WG_RXA_BLK_EN</v>
          </cell>
        </row>
        <row r="357">
          <cell r="P357" t="str">
            <v>WG_RXB_BLK_EN</v>
          </cell>
        </row>
        <row r="358">
          <cell r="P358" t="str">
            <v>WG_AUXDAC1_EN</v>
          </cell>
        </row>
        <row r="359">
          <cell r="P359" t="str">
            <v>WG_AUXDAC2_EN</v>
          </cell>
        </row>
        <row r="360">
          <cell r="P360" t="str">
            <v>SSI_ABB</v>
          </cell>
        </row>
        <row r="361">
          <cell r="P361" t="str">
            <v>WG_SSI_HKADC</v>
          </cell>
        </row>
        <row r="362">
          <cell r="P362" t="str">
            <v>WG_SSI_AUXDAC</v>
          </cell>
        </row>
        <row r="363">
          <cell r="P363" t="str">
            <v>WG_AUXDAC1</v>
          </cell>
        </row>
        <row r="364">
          <cell r="P364" t="str">
            <v>WG_AUXDAC2</v>
          </cell>
        </row>
        <row r="365">
          <cell r="P365" t="str">
            <v>ABB_RST_N</v>
          </cell>
        </row>
        <row r="366">
          <cell r="P366" t="str">
            <v>ABB_VREF</v>
          </cell>
        </row>
        <row r="367">
          <cell r="P367" t="str">
            <v>LTE_RXA_I_P</v>
          </cell>
        </row>
        <row r="368">
          <cell r="P368" t="str">
            <v>LTE_RXA_I_N</v>
          </cell>
        </row>
        <row r="369">
          <cell r="P369" t="str">
            <v>LTE_RXA_Q_P</v>
          </cell>
        </row>
        <row r="370">
          <cell r="P370" t="str">
            <v>LTE_RXA_Q_N</v>
          </cell>
        </row>
        <row r="371">
          <cell r="P371" t="str">
            <v>LTE_RXB_I_P</v>
          </cell>
        </row>
        <row r="372">
          <cell r="P372" t="str">
            <v>LTE_RXB_I_N</v>
          </cell>
        </row>
        <row r="373">
          <cell r="P373" t="str">
            <v>LTE_RXB_Q_P</v>
          </cell>
        </row>
        <row r="374">
          <cell r="P374" t="str">
            <v>LTE_RXB_Q_N</v>
          </cell>
        </row>
        <row r="375">
          <cell r="P375" t="str">
            <v>LTE_TXA_I_P</v>
          </cell>
        </row>
        <row r="376">
          <cell r="P376" t="str">
            <v>LTE_TXA_I_N</v>
          </cell>
        </row>
        <row r="377">
          <cell r="P377" t="str">
            <v>LTE_TXA_Q_P</v>
          </cell>
        </row>
        <row r="378">
          <cell r="P378" t="str">
            <v>LTE_TXA_Q_N</v>
          </cell>
        </row>
        <row r="379">
          <cell r="P379" t="str">
            <v>WG_RXA_I_P</v>
          </cell>
        </row>
        <row r="380">
          <cell r="P380" t="str">
            <v>WG_RXA_I_N</v>
          </cell>
        </row>
        <row r="381">
          <cell r="P381" t="str">
            <v>WG_RXA_Q_P</v>
          </cell>
        </row>
        <row r="382">
          <cell r="P382" t="str">
            <v>WG_RXA_Q_N</v>
          </cell>
        </row>
        <row r="383">
          <cell r="P383" t="str">
            <v>WG_RXB_I_P</v>
          </cell>
        </row>
        <row r="384">
          <cell r="P384" t="str">
            <v>WG_RXB_I_N</v>
          </cell>
        </row>
        <row r="385">
          <cell r="P385" t="str">
            <v>WG_RXB_Q_P</v>
          </cell>
        </row>
        <row r="386">
          <cell r="P386" t="str">
            <v>WG_RXB_Q_N</v>
          </cell>
        </row>
        <row r="387">
          <cell r="P387" t="str">
            <v>WG_TXA_I_P</v>
          </cell>
        </row>
        <row r="388">
          <cell r="P388" t="str">
            <v>WG_TXA_I_N</v>
          </cell>
        </row>
        <row r="389">
          <cell r="P389" t="str">
            <v>WG_TXA_Q_P</v>
          </cell>
        </row>
        <row r="390">
          <cell r="P390" t="str">
            <v>WG_TXA_Q_N</v>
          </cell>
        </row>
        <row r="391">
          <cell r="P391" t="str">
            <v>WG_HKADC0</v>
          </cell>
        </row>
        <row r="392">
          <cell r="P392" t="str">
            <v>WG_HKADC1</v>
          </cell>
        </row>
        <row r="393">
          <cell r="P393" t="str">
            <v>WG_HKADC2</v>
          </cell>
        </row>
        <row r="394">
          <cell r="P394" t="str">
            <v>WG_HKADC3</v>
          </cell>
        </row>
        <row r="395">
          <cell r="P395" t="str">
            <v>WG_HKADC4</v>
          </cell>
        </row>
        <row r="396">
          <cell r="P396" t="str">
            <v>WG_HKADC5</v>
          </cell>
        </row>
        <row r="397">
          <cell r="P397" t="str">
            <v>WG_HKADC6</v>
          </cell>
        </row>
        <row r="398">
          <cell r="P398" t="str">
            <v>WG_HKADC7</v>
          </cell>
        </row>
        <row r="399">
          <cell r="P399" t="str">
            <v>WG_HKADC8</v>
          </cell>
        </row>
        <row r="400">
          <cell r="P400" t="str">
            <v>WG_HKADC9</v>
          </cell>
        </row>
        <row r="401">
          <cell r="P401" t="str">
            <v>LTE_RF_RST_N</v>
          </cell>
        </row>
        <row r="402">
          <cell r="P402" t="str">
            <v>LTE_RF_SSI_MODE</v>
          </cell>
        </row>
        <row r="403">
          <cell r="P403" t="str">
            <v>LTE_RF_CTRLEN_SSI_1</v>
          </cell>
        </row>
        <row r="404">
          <cell r="P404" t="str">
            <v>LTE_RF_CTRLDATA_SSI_2</v>
          </cell>
        </row>
        <row r="405">
          <cell r="P405" t="str">
            <v>LTE_RF_CTRLCLK</v>
          </cell>
        </row>
        <row r="406">
          <cell r="P406" t="str">
            <v>LTE_RF_TCVR_ON</v>
          </cell>
        </row>
        <row r="407">
          <cell r="P407" t="str">
            <v>LTE_RF_TX_EN</v>
          </cell>
        </row>
        <row r="408">
          <cell r="P408" t="str">
            <v>LTE_RF_XO_MODE</v>
          </cell>
        </row>
        <row r="409">
          <cell r="P409" t="str">
            <v>WG_RF_RST_N</v>
          </cell>
        </row>
        <row r="410">
          <cell r="P410" t="str">
            <v>WG_RF_SSI_MODE</v>
          </cell>
        </row>
        <row r="411">
          <cell r="P411" t="str">
            <v>WG_RF_CTRLEN_SSI_1</v>
          </cell>
        </row>
        <row r="412">
          <cell r="P412" t="str">
            <v>WG_RF_CTRLDATA_SSI_2</v>
          </cell>
        </row>
        <row r="413">
          <cell r="P413" t="str">
            <v>WG_RF_CTRLCLK</v>
          </cell>
        </row>
        <row r="414">
          <cell r="P414" t="str">
            <v>WG_RF_TCVR_ON</v>
          </cell>
        </row>
        <row r="415">
          <cell r="P415" t="str">
            <v>WG_RF_TX_EN</v>
          </cell>
        </row>
        <row r="416">
          <cell r="P416" t="str">
            <v>WG_RF_XO_MODE</v>
          </cell>
        </row>
        <row r="417">
          <cell r="P417" t="str">
            <v>WG_SIGE_HSMODE</v>
          </cell>
        </row>
        <row r="418">
          <cell r="P418" t="str">
            <v>WG_SIGE_SENB_RX</v>
          </cell>
        </row>
        <row r="419">
          <cell r="P419" t="str">
            <v>WG_SIGE_SENB_TX</v>
          </cell>
        </row>
        <row r="420">
          <cell r="P420" t="str">
            <v>WG_SIGE_SDATA</v>
          </cell>
        </row>
        <row r="421">
          <cell r="P421" t="str">
            <v>WG_SIGE_SCLK</v>
          </cell>
        </row>
        <row r="422">
          <cell r="P422" t="str">
            <v>WG_SIGE_RX_ON</v>
          </cell>
        </row>
        <row r="423">
          <cell r="P423" t="str">
            <v>WG_SIGE_TX_ON</v>
          </cell>
        </row>
        <row r="424">
          <cell r="P424" t="str">
            <v>WG_SIGE_TX_IDLE</v>
          </cell>
        </row>
        <row r="425">
          <cell r="P425" t="str">
            <v>LTE_PDM</v>
          </cell>
        </row>
        <row r="426">
          <cell r="P426" t="str">
            <v>WG_PDM</v>
          </cell>
        </row>
        <row r="427">
          <cell r="P427" t="str">
            <v>APT_PDM</v>
          </cell>
        </row>
        <row r="428">
          <cell r="P428" t="str">
            <v>PA_ON0</v>
          </cell>
        </row>
        <row r="429">
          <cell r="P429" t="str">
            <v>PA_ON1</v>
          </cell>
        </row>
        <row r="430">
          <cell r="P430" t="str">
            <v>PA_ON2</v>
          </cell>
        </row>
        <row r="431">
          <cell r="P431" t="str">
            <v>PA_ON3</v>
          </cell>
        </row>
        <row r="432">
          <cell r="P432" t="str">
            <v>PA_ON4</v>
          </cell>
        </row>
        <row r="433">
          <cell r="P433" t="str">
            <v>PA_ON5</v>
          </cell>
        </row>
        <row r="434">
          <cell r="P434" t="str">
            <v>PA_ATT0</v>
          </cell>
        </row>
        <row r="435">
          <cell r="P435" t="str">
            <v>PA_ATT1</v>
          </cell>
        </row>
        <row r="436">
          <cell r="P436" t="str">
            <v>GSM_PA_HB_EN</v>
          </cell>
        </row>
        <row r="437">
          <cell r="P437" t="str">
            <v>GSM_PA_LB_EN</v>
          </cell>
        </row>
        <row r="438">
          <cell r="P438" t="str">
            <v>P_ANT_SEL0</v>
          </cell>
        </row>
        <row r="439">
          <cell r="P439" t="str">
            <v>P_ANT_SEL1</v>
          </cell>
        </row>
        <row r="440">
          <cell r="P440" t="str">
            <v>P_ANT_SEL2</v>
          </cell>
        </row>
        <row r="441">
          <cell r="P441" t="str">
            <v>P_ANT_SEL3</v>
          </cell>
        </row>
        <row r="442">
          <cell r="P442" t="str">
            <v>D_ANT_SEL0</v>
          </cell>
        </row>
        <row r="443">
          <cell r="P443" t="str">
            <v>D_ANT_SEL1</v>
          </cell>
        </row>
        <row r="444">
          <cell r="P444" t="str">
            <v>D_ANT_SEL2</v>
          </cell>
        </row>
        <row r="445">
          <cell r="P445" t="str">
            <v>D_ANT_SEL3</v>
          </cell>
        </row>
        <row r="446">
          <cell r="P446" t="str">
            <v>GRFC0</v>
          </cell>
        </row>
        <row r="447">
          <cell r="P447" t="str">
            <v>GRFC1</v>
          </cell>
        </row>
        <row r="448">
          <cell r="P448" t="str">
            <v>GRFC2</v>
          </cell>
        </row>
        <row r="449">
          <cell r="P449" t="str">
            <v>GRFC3</v>
          </cell>
        </row>
        <row r="450">
          <cell r="P450" t="str">
            <v>GRFC4</v>
          </cell>
        </row>
        <row r="451">
          <cell r="P451" t="str">
            <v>GRFC5</v>
          </cell>
        </row>
        <row r="452">
          <cell r="P452" t="str">
            <v>GRFC6</v>
          </cell>
        </row>
        <row r="453">
          <cell r="P453" t="str">
            <v>GRFC7</v>
          </cell>
        </row>
        <row r="454">
          <cell r="P454" t="str">
            <v>GPIO_0_00</v>
          </cell>
        </row>
        <row r="455">
          <cell r="P455" t="str">
            <v>GPIO_0_01</v>
          </cell>
        </row>
        <row r="456">
          <cell r="P456" t="str">
            <v>GPIO_0_02</v>
          </cell>
        </row>
        <row r="457">
          <cell r="P457" t="str">
            <v>GPIO_0_03</v>
          </cell>
        </row>
        <row r="458">
          <cell r="P458" t="str">
            <v>GPIO_0_04</v>
          </cell>
        </row>
        <row r="459">
          <cell r="P459" t="str">
            <v>GPIO_0_05</v>
          </cell>
        </row>
        <row r="460">
          <cell r="P460" t="str">
            <v>GPIO_0_06</v>
          </cell>
        </row>
        <row r="461">
          <cell r="P461" t="str">
            <v>GPIO_0_07</v>
          </cell>
        </row>
        <row r="462">
          <cell r="P462" t="str">
            <v>GPIO_0_08</v>
          </cell>
        </row>
        <row r="463">
          <cell r="P463" t="str">
            <v>GPIO_0_09</v>
          </cell>
        </row>
        <row r="464">
          <cell r="P464" t="str">
            <v>GPIO_0_10</v>
          </cell>
        </row>
        <row r="465">
          <cell r="P465" t="str">
            <v>GPIO_0_11</v>
          </cell>
        </row>
        <row r="466">
          <cell r="P466" t="str">
            <v>GPIO_0_12</v>
          </cell>
        </row>
        <row r="467">
          <cell r="P467" t="str">
            <v>GPIO_0_13</v>
          </cell>
        </row>
        <row r="468">
          <cell r="P468" t="str">
            <v>GPIO_0_14</v>
          </cell>
        </row>
        <row r="469">
          <cell r="P469" t="str">
            <v>GPIO_0_15</v>
          </cell>
        </row>
        <row r="470">
          <cell r="P470" t="str">
            <v>GPIO_0_16</v>
          </cell>
        </row>
        <row r="471">
          <cell r="P471" t="str">
            <v>GPIO_0_17</v>
          </cell>
        </row>
        <row r="472">
          <cell r="P472" t="str">
            <v>GPIO_0_18</v>
          </cell>
        </row>
        <row r="473">
          <cell r="P473" t="str">
            <v>GPIO_0_19</v>
          </cell>
        </row>
        <row r="474">
          <cell r="P474" t="str">
            <v>GPIO_0_20</v>
          </cell>
        </row>
        <row r="475">
          <cell r="P475" t="str">
            <v>GPIO_0_21</v>
          </cell>
        </row>
        <row r="476">
          <cell r="P476" t="str">
            <v>GPIO_0_22</v>
          </cell>
        </row>
        <row r="477">
          <cell r="P477" t="str">
            <v>GPIO_0_23</v>
          </cell>
        </row>
        <row r="478">
          <cell r="P478" t="str">
            <v>GPIO_0_24</v>
          </cell>
        </row>
        <row r="479">
          <cell r="P479" t="str">
            <v>GPIO_0_25</v>
          </cell>
        </row>
        <row r="480">
          <cell r="P480" t="str">
            <v>GPIO_0_26</v>
          </cell>
        </row>
        <row r="481">
          <cell r="P481" t="str">
            <v>GPIO_0_27</v>
          </cell>
        </row>
        <row r="482">
          <cell r="P482" t="str">
            <v>GPIO_0_28</v>
          </cell>
        </row>
        <row r="483">
          <cell r="P483" t="str">
            <v>GPIO_0_29</v>
          </cell>
        </row>
        <row r="484">
          <cell r="P484" t="str">
            <v>GPIO_0_30</v>
          </cell>
        </row>
        <row r="485">
          <cell r="P485" t="str">
            <v>GPIO_0_31</v>
          </cell>
        </row>
        <row r="486">
          <cell r="P486" t="str">
            <v>GPIO_1_00</v>
          </cell>
        </row>
        <row r="487">
          <cell r="P487" t="str">
            <v>GPIO_1_01</v>
          </cell>
        </row>
        <row r="488">
          <cell r="P488" t="str">
            <v>GPIO_1_02</v>
          </cell>
        </row>
        <row r="489">
          <cell r="P489" t="str">
            <v>GPIO_1_03</v>
          </cell>
        </row>
        <row r="490">
          <cell r="P490" t="str">
            <v>GPIO_1_04</v>
          </cell>
        </row>
        <row r="491">
          <cell r="P491" t="str">
            <v>GPIO_1_05</v>
          </cell>
        </row>
        <row r="492">
          <cell r="P492" t="str">
            <v>GPIO_1_06</v>
          </cell>
        </row>
        <row r="493">
          <cell r="P493" t="str">
            <v>GPIO_1_07</v>
          </cell>
        </row>
        <row r="494">
          <cell r="P494" t="str">
            <v>GPIO_1_08</v>
          </cell>
        </row>
        <row r="495">
          <cell r="P495" t="str">
            <v>GPIO_1_09</v>
          </cell>
        </row>
        <row r="496">
          <cell r="P496" t="str">
            <v>GPIO_1_10</v>
          </cell>
        </row>
        <row r="497">
          <cell r="P497" t="str">
            <v>GPIO_1_11</v>
          </cell>
        </row>
        <row r="498">
          <cell r="P498" t="str">
            <v>GPIO_1_12</v>
          </cell>
        </row>
        <row r="499">
          <cell r="P499" t="str">
            <v>GPIO_1_13</v>
          </cell>
        </row>
        <row r="500">
          <cell r="P500" t="str">
            <v>GPIO_1_14</v>
          </cell>
        </row>
        <row r="501">
          <cell r="P501" t="str">
            <v>GPIO_1_15</v>
          </cell>
        </row>
        <row r="502">
          <cell r="P502" t="str">
            <v>GPIO_1_16</v>
          </cell>
        </row>
        <row r="503">
          <cell r="P503" t="str">
            <v>GPIO_1_17</v>
          </cell>
        </row>
        <row r="504">
          <cell r="P504" t="str">
            <v>GPIO_1_18</v>
          </cell>
        </row>
        <row r="505">
          <cell r="P505" t="str">
            <v>GPIO_1_19</v>
          </cell>
        </row>
        <row r="506">
          <cell r="P506" t="str">
            <v>GPIO_1_20</v>
          </cell>
        </row>
        <row r="507">
          <cell r="P507" t="str">
            <v>GPIO_1_21</v>
          </cell>
        </row>
        <row r="508">
          <cell r="P508" t="str">
            <v>GPIO_1_22</v>
          </cell>
        </row>
        <row r="509">
          <cell r="P509" t="str">
            <v>GPIO_1_23</v>
          </cell>
        </row>
        <row r="510">
          <cell r="P510" t="str">
            <v>GPIO_1_24</v>
          </cell>
        </row>
        <row r="511">
          <cell r="P511" t="str">
            <v>GPIO_1_25</v>
          </cell>
        </row>
        <row r="512">
          <cell r="P512" t="str">
            <v>GPIO_1_26</v>
          </cell>
        </row>
        <row r="513">
          <cell r="P513" t="str">
            <v>GPIO_1_27</v>
          </cell>
        </row>
        <row r="514">
          <cell r="P514" t="str">
            <v>GPIO_1_28</v>
          </cell>
        </row>
        <row r="515">
          <cell r="P515" t="str">
            <v>GPIO_1_29</v>
          </cell>
        </row>
        <row r="516">
          <cell r="P516" t="str">
            <v>GPIO_1_30</v>
          </cell>
        </row>
        <row r="517">
          <cell r="P517" t="str">
            <v>GPIO_1_31</v>
          </cell>
        </row>
        <row r="518">
          <cell r="P518" t="str">
            <v>GPIO_2_00</v>
          </cell>
        </row>
        <row r="519">
          <cell r="P519" t="str">
            <v>GPIO_2_01</v>
          </cell>
        </row>
        <row r="520">
          <cell r="P520" t="str">
            <v>GPIO_2_02</v>
          </cell>
        </row>
        <row r="521">
          <cell r="P521" t="str">
            <v>GPIO_2_03</v>
          </cell>
        </row>
        <row r="522">
          <cell r="P522" t="str">
            <v>GPIO_2_04</v>
          </cell>
        </row>
        <row r="523">
          <cell r="P523" t="str">
            <v>GPIO_2_05</v>
          </cell>
        </row>
        <row r="524">
          <cell r="P524" t="str">
            <v>GPIO_2_06</v>
          </cell>
        </row>
        <row r="525">
          <cell r="P525" t="str">
            <v>GPIO_2_07</v>
          </cell>
        </row>
        <row r="526">
          <cell r="P526" t="str">
            <v>GPIO_2_08</v>
          </cell>
        </row>
        <row r="527">
          <cell r="P527" t="str">
            <v>GPIO_2_09</v>
          </cell>
        </row>
        <row r="528">
          <cell r="P528" t="str">
            <v>GPIO_2_10</v>
          </cell>
        </row>
        <row r="529">
          <cell r="P529" t="str">
            <v>GPIO_2_11</v>
          </cell>
        </row>
        <row r="530">
          <cell r="P530" t="str">
            <v>GPIO_2_12</v>
          </cell>
        </row>
        <row r="531">
          <cell r="P531" t="str">
            <v>GPIO_2_13</v>
          </cell>
        </row>
        <row r="532">
          <cell r="P532" t="str">
            <v>GPIO_2_14</v>
          </cell>
        </row>
        <row r="533">
          <cell r="P533" t="str">
            <v>GPIO_2_15</v>
          </cell>
        </row>
        <row r="534">
          <cell r="P534" t="str">
            <v>GPIO_2_16</v>
          </cell>
        </row>
        <row r="535">
          <cell r="P535" t="str">
            <v>GPIO_2_17</v>
          </cell>
        </row>
        <row r="536">
          <cell r="P536" t="str">
            <v>GPIO_2_18</v>
          </cell>
        </row>
        <row r="537">
          <cell r="P537" t="str">
            <v>GPIO_2_19</v>
          </cell>
        </row>
        <row r="538">
          <cell r="P538" t="str">
            <v>GPIO_2_20</v>
          </cell>
        </row>
        <row r="539">
          <cell r="P539" t="str">
            <v>GPIO_2_21</v>
          </cell>
        </row>
        <row r="540">
          <cell r="P540" t="str">
            <v>GPIO_2_22</v>
          </cell>
        </row>
        <row r="541">
          <cell r="P541" t="str">
            <v>GPIO_2_23</v>
          </cell>
        </row>
        <row r="542">
          <cell r="P542" t="str">
            <v>GPIO_2_24</v>
          </cell>
        </row>
        <row r="543">
          <cell r="P543" t="str">
            <v>GPIO_2_25</v>
          </cell>
        </row>
        <row r="544">
          <cell r="P544" t="str">
            <v>GPIO_2_26</v>
          </cell>
        </row>
        <row r="545">
          <cell r="P545" t="str">
            <v>GPIO_2_27</v>
          </cell>
        </row>
        <row r="546">
          <cell r="P546" t="str">
            <v>GPIO_2_28</v>
          </cell>
        </row>
        <row r="547">
          <cell r="P547" t="str">
            <v>GPIO_2_29</v>
          </cell>
        </row>
        <row r="548">
          <cell r="P548" t="str">
            <v>GPIO_2_30</v>
          </cell>
        </row>
        <row r="549">
          <cell r="P549" t="str">
            <v>GPIO_2_31</v>
          </cell>
        </row>
        <row r="550">
          <cell r="P550" t="str">
            <v>GPIO_3_00</v>
          </cell>
        </row>
        <row r="551">
          <cell r="P551" t="str">
            <v>GPIO_3_01</v>
          </cell>
        </row>
        <row r="552">
          <cell r="P552" t="str">
            <v>GPIO_3_02</v>
          </cell>
        </row>
        <row r="553">
          <cell r="P553" t="str">
            <v>GPIO_3_03</v>
          </cell>
        </row>
        <row r="554">
          <cell r="P554" t="str">
            <v>GPIO_3_04</v>
          </cell>
        </row>
        <row r="555">
          <cell r="P555" t="str">
            <v>GPIO_3_05</v>
          </cell>
        </row>
        <row r="556">
          <cell r="P556" t="str">
            <v>GPIO_3_06</v>
          </cell>
        </row>
        <row r="557">
          <cell r="P557" t="str">
            <v>GPIO_3_07</v>
          </cell>
        </row>
        <row r="558">
          <cell r="P558" t="str">
            <v>GPIO_3_08</v>
          </cell>
        </row>
        <row r="559">
          <cell r="P559" t="str">
            <v>GPIO_3_09</v>
          </cell>
        </row>
        <row r="560">
          <cell r="P560" t="str">
            <v>GPIO_3_10</v>
          </cell>
        </row>
        <row r="561">
          <cell r="P561" t="str">
            <v>GPIO_3_11</v>
          </cell>
        </row>
        <row r="562">
          <cell r="P562" t="str">
            <v>GPIO_3_12</v>
          </cell>
        </row>
        <row r="563">
          <cell r="P563" t="str">
            <v>GPIO_3_13</v>
          </cell>
        </row>
        <row r="564">
          <cell r="P564" t="str">
            <v>GPIO_3_14</v>
          </cell>
        </row>
        <row r="565">
          <cell r="P565" t="str">
            <v>GPIO_3_15</v>
          </cell>
        </row>
        <row r="566">
          <cell r="P566" t="str">
            <v>GPIO_3_16</v>
          </cell>
        </row>
        <row r="567">
          <cell r="P567" t="str">
            <v>GPIO_3_17</v>
          </cell>
        </row>
        <row r="568">
          <cell r="P568" t="str">
            <v>GPIO_3_18</v>
          </cell>
        </row>
        <row r="569">
          <cell r="P569" t="str">
            <v>GPIO_3_19</v>
          </cell>
        </row>
        <row r="570">
          <cell r="P570" t="str">
            <v>GPIO_3_20</v>
          </cell>
        </row>
        <row r="571">
          <cell r="P571" t="str">
            <v>GPIO_3_21</v>
          </cell>
        </row>
        <row r="572">
          <cell r="P572" t="str">
            <v>GPIO_3_22</v>
          </cell>
        </row>
        <row r="573">
          <cell r="P573" t="str">
            <v>GPIO_3_23</v>
          </cell>
        </row>
        <row r="574">
          <cell r="P574" t="str">
            <v>GPIO_3_24</v>
          </cell>
        </row>
        <row r="575">
          <cell r="P575" t="str">
            <v>GPIO_3_25</v>
          </cell>
        </row>
        <row r="576">
          <cell r="P576" t="str">
            <v>GPIO_3_26</v>
          </cell>
        </row>
        <row r="577">
          <cell r="P577" t="str">
            <v>GPIO_3_27</v>
          </cell>
        </row>
        <row r="578">
          <cell r="P578" t="str">
            <v>GPIO_3_28</v>
          </cell>
        </row>
        <row r="579">
          <cell r="P579" t="str">
            <v>GPIO_3_29</v>
          </cell>
        </row>
        <row r="580">
          <cell r="P580" t="str">
            <v>GPIO_3_30</v>
          </cell>
        </row>
        <row r="581">
          <cell r="P581" t="str">
            <v>GPIO_3_31</v>
          </cell>
        </row>
        <row r="582">
          <cell r="P582" t="str">
            <v>utmi_rxdata0</v>
          </cell>
        </row>
        <row r="583">
          <cell r="P583" t="str">
            <v>utmi_rxdata1</v>
          </cell>
        </row>
        <row r="584">
          <cell r="P584" t="str">
            <v>utmi_rxdata2</v>
          </cell>
        </row>
        <row r="585">
          <cell r="P585" t="str">
            <v>utmi_rxdata3</v>
          </cell>
        </row>
        <row r="586">
          <cell r="P586" t="str">
            <v>utmi_rxdata4</v>
          </cell>
        </row>
        <row r="587">
          <cell r="P587" t="str">
            <v>utmi_rxdata5</v>
          </cell>
        </row>
        <row r="588">
          <cell r="P588" t="str">
            <v>utmi_rxdata6</v>
          </cell>
        </row>
        <row r="589">
          <cell r="P589" t="str">
            <v>utmi_rxdata7</v>
          </cell>
        </row>
        <row r="590">
          <cell r="P590" t="str">
            <v>utmi_rxdata8</v>
          </cell>
        </row>
        <row r="591">
          <cell r="P591" t="str">
            <v>utmi_rxdata9</v>
          </cell>
        </row>
        <row r="592">
          <cell r="P592" t="str">
            <v>utmi_rxdata10</v>
          </cell>
        </row>
        <row r="593">
          <cell r="P593" t="str">
            <v>utmi_rxdata11</v>
          </cell>
        </row>
        <row r="594">
          <cell r="P594" t="str">
            <v>utmi_rxdata12</v>
          </cell>
        </row>
        <row r="595">
          <cell r="P595" t="str">
            <v>utmi_rxdata13</v>
          </cell>
        </row>
        <row r="596">
          <cell r="P596" t="str">
            <v>utmi_rxdata14</v>
          </cell>
        </row>
        <row r="597">
          <cell r="P597" t="str">
            <v>utmi_rxdata15</v>
          </cell>
        </row>
        <row r="598">
          <cell r="P598" t="str">
            <v>utmi_clk</v>
          </cell>
        </row>
        <row r="599">
          <cell r="P599" t="str">
            <v>utmi_rxvalidh</v>
          </cell>
        </row>
        <row r="600">
          <cell r="P600" t="str">
            <v>utmi_rxvalid</v>
          </cell>
        </row>
        <row r="601">
          <cell r="P601" t="str">
            <v>utmi_rxactive</v>
          </cell>
        </row>
        <row r="602">
          <cell r="P602" t="str">
            <v>utmi_rxerror</v>
          </cell>
        </row>
        <row r="603">
          <cell r="P603" t="str">
            <v>utmi_linestate0</v>
          </cell>
        </row>
        <row r="604">
          <cell r="P604" t="str">
            <v>utmi_linestate1</v>
          </cell>
        </row>
        <row r="605">
          <cell r="P605" t="str">
            <v>utmi_txdata0</v>
          </cell>
        </row>
        <row r="606">
          <cell r="P606" t="str">
            <v>utmi_txdata1</v>
          </cell>
        </row>
        <row r="607">
          <cell r="P607" t="str">
            <v>utmi_txdata2</v>
          </cell>
        </row>
        <row r="608">
          <cell r="P608" t="str">
            <v>utmi_txdata3</v>
          </cell>
        </row>
        <row r="609">
          <cell r="P609" t="str">
            <v>utmi_txdata4</v>
          </cell>
        </row>
        <row r="610">
          <cell r="P610" t="str">
            <v>utmi_txdata5</v>
          </cell>
        </row>
        <row r="611">
          <cell r="P611" t="str">
            <v>utmi_txdata6</v>
          </cell>
        </row>
        <row r="612">
          <cell r="P612" t="str">
            <v>utmi_txdata7</v>
          </cell>
        </row>
        <row r="613">
          <cell r="P613" t="str">
            <v>utmi_txdata8</v>
          </cell>
        </row>
        <row r="614">
          <cell r="P614" t="str">
            <v>utmi_txdata9</v>
          </cell>
        </row>
        <row r="615">
          <cell r="P615" t="str">
            <v>utmi_txdata10</v>
          </cell>
        </row>
        <row r="616">
          <cell r="P616" t="str">
            <v>utmi_txdata11</v>
          </cell>
        </row>
        <row r="617">
          <cell r="P617" t="str">
            <v>utmi_txdata12</v>
          </cell>
        </row>
        <row r="618">
          <cell r="P618" t="str">
            <v>utmi_txdata13</v>
          </cell>
        </row>
        <row r="619">
          <cell r="P619" t="str">
            <v>utmi_txdata14</v>
          </cell>
        </row>
        <row r="620">
          <cell r="P620" t="str">
            <v>utmi_txdata15</v>
          </cell>
        </row>
        <row r="621">
          <cell r="P621" t="str">
            <v>utmi_txready</v>
          </cell>
        </row>
        <row r="622">
          <cell r="P622" t="str">
            <v>utmi_txvalidh</v>
          </cell>
        </row>
        <row r="623">
          <cell r="P623" t="str">
            <v>utmi_txvalid</v>
          </cell>
        </row>
        <row r="624">
          <cell r="P624" t="str">
            <v>utmi_opmode0</v>
          </cell>
        </row>
        <row r="625">
          <cell r="P625" t="str">
            <v>utmi_opmode1</v>
          </cell>
        </row>
        <row r="626">
          <cell r="P626" t="str">
            <v>utmi_suspend_n</v>
          </cell>
        </row>
        <row r="627">
          <cell r="P627" t="str">
            <v>utmi_sleep_n</v>
          </cell>
        </row>
        <row r="628">
          <cell r="P628" t="str">
            <v>utmi_l1_suspend_n</v>
          </cell>
        </row>
        <row r="629">
          <cell r="P629" t="str">
            <v>utmi_termslect</v>
          </cell>
        </row>
        <row r="630">
          <cell r="P630" t="str">
            <v>utmi_xcvrselect0</v>
          </cell>
        </row>
        <row r="631">
          <cell r="P631" t="str">
            <v>utmi_xcvrselect1</v>
          </cell>
        </row>
        <row r="632">
          <cell r="P632" t="str">
            <v>utmi_word_if</v>
          </cell>
        </row>
        <row r="633">
          <cell r="P633" t="str">
            <v>utmi_fsls_low_power</v>
          </cell>
        </row>
        <row r="634">
          <cell r="P634" t="str">
            <v>utmi_fslsserialmode</v>
          </cell>
        </row>
        <row r="635">
          <cell r="P635" t="str">
            <v>utmi_vcontrolload_n</v>
          </cell>
        </row>
        <row r="636">
          <cell r="P636" t="str">
            <v>test_clk00</v>
          </cell>
        </row>
        <row r="637">
          <cell r="P637" t="str">
            <v>test_clk01</v>
          </cell>
        </row>
        <row r="638">
          <cell r="P638" t="str">
            <v>test_clk02</v>
          </cell>
        </row>
        <row r="639">
          <cell r="P639" t="str">
            <v>test_clk03</v>
          </cell>
        </row>
        <row r="640">
          <cell r="P640" t="str">
            <v>test_clk04</v>
          </cell>
        </row>
        <row r="641">
          <cell r="P641" t="str">
            <v>test_clk05</v>
          </cell>
        </row>
        <row r="642">
          <cell r="P642" t="str">
            <v>test_clk06</v>
          </cell>
        </row>
        <row r="643">
          <cell r="P643" t="str">
            <v>test_clk07</v>
          </cell>
        </row>
        <row r="644">
          <cell r="P644" t="str">
            <v>test_clk08</v>
          </cell>
        </row>
        <row r="645">
          <cell r="P645" t="str">
            <v>test_clk09</v>
          </cell>
        </row>
        <row r="646">
          <cell r="P646" t="str">
            <v>test_clk10</v>
          </cell>
        </row>
        <row r="647">
          <cell r="P647" t="str">
            <v>test_clk11</v>
          </cell>
        </row>
        <row r="648">
          <cell r="P648" t="str">
            <v>test_clk12</v>
          </cell>
        </row>
        <row r="649">
          <cell r="P649" t="str">
            <v>test_clk13</v>
          </cell>
        </row>
        <row r="650">
          <cell r="P650" t="str">
            <v>test_clk14</v>
          </cell>
        </row>
        <row r="651">
          <cell r="P651" t="str">
            <v>test_clk15</v>
          </cell>
        </row>
        <row r="652">
          <cell r="P652" t="str">
            <v>test_clk16</v>
          </cell>
        </row>
        <row r="653">
          <cell r="P653" t="str">
            <v>test_clk17</v>
          </cell>
        </row>
        <row r="654">
          <cell r="P654" t="str">
            <v>test_clk18</v>
          </cell>
        </row>
        <row r="655">
          <cell r="P655" t="str">
            <v>test_clk19</v>
          </cell>
        </row>
        <row r="656">
          <cell r="P656" t="str">
            <v>test_clk20</v>
          </cell>
        </row>
        <row r="657">
          <cell r="P657" t="str">
            <v>test_clk21</v>
          </cell>
        </row>
        <row r="658">
          <cell r="P658" t="str">
            <v>test_clk22</v>
          </cell>
        </row>
        <row r="659">
          <cell r="P659" t="str">
            <v>test_clk23</v>
          </cell>
        </row>
        <row r="660">
          <cell r="P660" t="str">
            <v>test_clk24</v>
          </cell>
        </row>
        <row r="661">
          <cell r="P661" t="str">
            <v>GU_PCM_CLK</v>
          </cell>
        </row>
        <row r="662">
          <cell r="P662" t="str">
            <v>GU_PCM_SYNC</v>
          </cell>
        </row>
        <row r="663">
          <cell r="P663" t="str">
            <v>GU_PCM_DI</v>
          </cell>
        </row>
        <row r="664">
          <cell r="P664" t="str">
            <v>GU_PCM_DO</v>
          </cell>
        </row>
      </sheetData>
      <sheetData sheetId="1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Relationship Id="rId4" Type="http://schemas.openxmlformats.org/officeDocument/2006/relationships/oleObject" Target="../embeddings/oleObject1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13" Type="http://schemas.openxmlformats.org/officeDocument/2006/relationships/oleObject" Target="../embeddings/oleObject12.bin"/><Relationship Id="rId18" Type="http://schemas.openxmlformats.org/officeDocument/2006/relationships/oleObject" Target="../embeddings/oleObject17.bin"/><Relationship Id="rId3" Type="http://schemas.openxmlformats.org/officeDocument/2006/relationships/oleObject" Target="../embeddings/oleObject2.bin"/><Relationship Id="rId7" Type="http://schemas.openxmlformats.org/officeDocument/2006/relationships/oleObject" Target="../embeddings/oleObject6.bin"/><Relationship Id="rId12" Type="http://schemas.openxmlformats.org/officeDocument/2006/relationships/oleObject" Target="../embeddings/oleObject11.bin"/><Relationship Id="rId17" Type="http://schemas.openxmlformats.org/officeDocument/2006/relationships/oleObject" Target="../embeddings/oleObject16.bin"/><Relationship Id="rId2" Type="http://schemas.openxmlformats.org/officeDocument/2006/relationships/vmlDrawing" Target="../drawings/vmlDrawing11.vml"/><Relationship Id="rId16" Type="http://schemas.openxmlformats.org/officeDocument/2006/relationships/oleObject" Target="../embeddings/oleObject15.bin"/><Relationship Id="rId1" Type="http://schemas.openxmlformats.org/officeDocument/2006/relationships/printerSettings" Target="../printerSettings/printerSettings13.bin"/><Relationship Id="rId6" Type="http://schemas.openxmlformats.org/officeDocument/2006/relationships/oleObject" Target="../embeddings/oleObject5.bin"/><Relationship Id="rId11" Type="http://schemas.openxmlformats.org/officeDocument/2006/relationships/oleObject" Target="../embeddings/oleObject10.bin"/><Relationship Id="rId5" Type="http://schemas.openxmlformats.org/officeDocument/2006/relationships/oleObject" Target="../embeddings/oleObject4.bin"/><Relationship Id="rId15" Type="http://schemas.openxmlformats.org/officeDocument/2006/relationships/oleObject" Target="../embeddings/oleObject14.bin"/><Relationship Id="rId10" Type="http://schemas.openxmlformats.org/officeDocument/2006/relationships/oleObject" Target="../embeddings/oleObject9.bin"/><Relationship Id="rId19" Type="http://schemas.openxmlformats.org/officeDocument/2006/relationships/oleObject" Target="../embeddings/oleObject18.bin"/><Relationship Id="rId4" Type="http://schemas.openxmlformats.org/officeDocument/2006/relationships/oleObject" Target="../embeddings/oleObject3.bin"/><Relationship Id="rId9" Type="http://schemas.openxmlformats.org/officeDocument/2006/relationships/oleObject" Target="../embeddings/oleObject8.bin"/><Relationship Id="rId14" Type="http://schemas.openxmlformats.org/officeDocument/2006/relationships/oleObject" Target="../embeddings/oleObject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75"/>
  <sheetViews>
    <sheetView workbookViewId="0">
      <selection activeCell="C4" sqref="C4"/>
    </sheetView>
  </sheetViews>
  <sheetFormatPr defaultRowHeight="14.25"/>
  <cols>
    <col min="1" max="1" width="29.5" style="34" customWidth="1"/>
    <col min="2" max="2" width="53.75" style="34" customWidth="1"/>
    <col min="3" max="3" width="39.625" style="34" customWidth="1"/>
    <col min="4" max="16384" width="9" style="5"/>
  </cols>
  <sheetData>
    <row r="1" spans="1:3" s="42" customFormat="1">
      <c r="A1" s="1" t="s">
        <v>26</v>
      </c>
      <c r="B1" s="1" t="s">
        <v>27</v>
      </c>
      <c r="C1" s="1" t="s">
        <v>28</v>
      </c>
    </row>
    <row r="2" spans="1:3" s="42" customFormat="1" ht="42.75">
      <c r="A2" s="43">
        <v>41240</v>
      </c>
      <c r="B2" s="80" t="s">
        <v>1177</v>
      </c>
      <c r="C2" s="45" t="s">
        <v>1176</v>
      </c>
    </row>
    <row r="3" spans="1:3" s="42" customFormat="1" ht="71.25">
      <c r="A3" s="43">
        <v>41249</v>
      </c>
      <c r="B3" s="80" t="s">
        <v>1232</v>
      </c>
      <c r="C3" s="45" t="s">
        <v>1176</v>
      </c>
    </row>
    <row r="4" spans="1:3" s="42" customFormat="1" ht="299.25">
      <c r="A4" s="43">
        <v>41261</v>
      </c>
      <c r="B4" s="80" t="s">
        <v>3091</v>
      </c>
      <c r="C4" s="45" t="s">
        <v>1176</v>
      </c>
    </row>
    <row r="5" spans="1:3" ht="85.5">
      <c r="A5" s="43">
        <v>41262</v>
      </c>
      <c r="B5" s="80" t="s">
        <v>2063</v>
      </c>
      <c r="C5" s="45" t="s">
        <v>1176</v>
      </c>
    </row>
    <row r="6" spans="1:3" ht="85.5">
      <c r="A6" s="43">
        <v>41271</v>
      </c>
      <c r="B6" s="80" t="s">
        <v>2082</v>
      </c>
      <c r="C6" s="45" t="s">
        <v>1176</v>
      </c>
    </row>
    <row r="7" spans="1:3" ht="114">
      <c r="A7" s="43">
        <v>41283</v>
      </c>
      <c r="B7" s="80" t="s">
        <v>2171</v>
      </c>
      <c r="C7" s="45" t="s">
        <v>1176</v>
      </c>
    </row>
    <row r="8" spans="1:3" ht="114">
      <c r="A8" s="43">
        <v>41286</v>
      </c>
      <c r="B8" s="80" t="s">
        <v>2197</v>
      </c>
      <c r="C8" s="45" t="s">
        <v>1176</v>
      </c>
    </row>
    <row r="9" spans="1:3" ht="114">
      <c r="A9" s="43">
        <v>41290</v>
      </c>
      <c r="B9" s="80" t="s">
        <v>2198</v>
      </c>
      <c r="C9" s="45" t="s">
        <v>1176</v>
      </c>
    </row>
    <row r="10" spans="1:3" ht="156.75">
      <c r="A10" s="43">
        <v>41297</v>
      </c>
      <c r="B10" s="80" t="s">
        <v>2201</v>
      </c>
      <c r="C10" s="45" t="s">
        <v>1176</v>
      </c>
    </row>
    <row r="11" spans="1:3" ht="42.75">
      <c r="A11" s="43">
        <v>41313</v>
      </c>
      <c r="B11" s="80" t="s">
        <v>2203</v>
      </c>
      <c r="C11" s="45" t="s">
        <v>1176</v>
      </c>
    </row>
    <row r="12" spans="1:3" ht="85.5">
      <c r="A12" s="43">
        <v>41337</v>
      </c>
      <c r="B12" s="80" t="s">
        <v>2271</v>
      </c>
      <c r="C12" s="45" t="s">
        <v>1176</v>
      </c>
    </row>
    <row r="13" spans="1:3" ht="85.5">
      <c r="A13" s="43">
        <v>41397</v>
      </c>
      <c r="B13" s="80" t="s">
        <v>3031</v>
      </c>
      <c r="C13" s="45" t="s">
        <v>1176</v>
      </c>
    </row>
    <row r="14" spans="1:3" ht="28.5">
      <c r="A14" s="43">
        <v>41403</v>
      </c>
      <c r="B14" s="80" t="s">
        <v>3035</v>
      </c>
      <c r="C14" s="45" t="s">
        <v>1176</v>
      </c>
    </row>
    <row r="15" spans="1:3" ht="28.5">
      <c r="A15" s="43">
        <v>41418</v>
      </c>
      <c r="B15" s="80" t="s">
        <v>3036</v>
      </c>
      <c r="C15" s="45" t="s">
        <v>1176</v>
      </c>
    </row>
    <row r="16" spans="1:3" ht="42.75">
      <c r="A16" s="43">
        <v>41421</v>
      </c>
      <c r="B16" s="80" t="s">
        <v>3049</v>
      </c>
      <c r="C16" s="45" t="s">
        <v>1176</v>
      </c>
    </row>
    <row r="17" spans="1:3" ht="42.75">
      <c r="A17" s="43">
        <v>41430</v>
      </c>
      <c r="B17" s="80" t="s">
        <v>3092</v>
      </c>
      <c r="C17" s="45" t="s">
        <v>1176</v>
      </c>
    </row>
    <row r="18" spans="1:3" ht="42.75">
      <c r="A18" s="43">
        <v>41477</v>
      </c>
      <c r="B18" s="80" t="s">
        <v>3106</v>
      </c>
      <c r="C18" s="45" t="s">
        <v>3105</v>
      </c>
    </row>
    <row r="19" spans="1:3" ht="42.75">
      <c r="A19" s="43">
        <v>41477</v>
      </c>
      <c r="B19" s="80" t="s">
        <v>3107</v>
      </c>
      <c r="C19" s="45" t="s">
        <v>3108</v>
      </c>
    </row>
    <row r="20" spans="1:3" ht="28.5">
      <c r="A20" s="43">
        <v>41480</v>
      </c>
      <c r="B20" s="80" t="s">
        <v>3143</v>
      </c>
      <c r="C20" s="45" t="s">
        <v>3144</v>
      </c>
    </row>
    <row r="21" spans="1:3">
      <c r="A21" s="43"/>
      <c r="B21" s="80"/>
      <c r="C21" s="1"/>
    </row>
    <row r="22" spans="1:3">
      <c r="A22" s="43"/>
      <c r="B22" s="80"/>
      <c r="C22" s="1"/>
    </row>
    <row r="23" spans="1:3">
      <c r="A23" s="43"/>
      <c r="B23" s="80"/>
      <c r="C23" s="1"/>
    </row>
    <row r="24" spans="1:3">
      <c r="A24" s="43"/>
      <c r="B24" s="80"/>
      <c r="C24" s="1"/>
    </row>
    <row r="25" spans="1:3">
      <c r="A25" s="43"/>
      <c r="B25" s="45"/>
      <c r="C25" s="1"/>
    </row>
    <row r="26" spans="1:3">
      <c r="A26" s="43"/>
      <c r="B26" s="45"/>
      <c r="C26" s="1"/>
    </row>
    <row r="27" spans="1:3">
      <c r="A27" s="43"/>
      <c r="B27" s="1"/>
      <c r="C27" s="1"/>
    </row>
    <row r="28" spans="1:3">
      <c r="A28" s="43"/>
      <c r="B28" s="45"/>
      <c r="C28" s="1"/>
    </row>
    <row r="29" spans="1:3">
      <c r="A29" s="43"/>
      <c r="B29" s="1"/>
      <c r="C29" s="1"/>
    </row>
    <row r="30" spans="1:3">
      <c r="A30" s="43"/>
      <c r="B30" s="45"/>
      <c r="C30" s="1"/>
    </row>
    <row r="31" spans="1:3">
      <c r="A31" s="43"/>
      <c r="B31" s="1"/>
      <c r="C31" s="1"/>
    </row>
    <row r="32" spans="1:3">
      <c r="A32" s="43"/>
      <c r="B32" s="58"/>
      <c r="C32" s="1"/>
    </row>
    <row r="33" spans="1:3">
      <c r="A33" s="43"/>
      <c r="B33" s="59"/>
      <c r="C33" s="1"/>
    </row>
    <row r="34" spans="1:3">
      <c r="A34" s="43"/>
      <c r="B34" s="60"/>
      <c r="C34" s="1"/>
    </row>
    <row r="35" spans="1:3">
      <c r="A35" s="43"/>
      <c r="B35" s="45"/>
      <c r="C35" s="1"/>
    </row>
    <row r="36" spans="1:3" s="26" customFormat="1" ht="15">
      <c r="A36" s="43"/>
      <c r="B36" s="45"/>
      <c r="C36" s="1"/>
    </row>
    <row r="37" spans="1:3" s="26" customFormat="1" ht="15">
      <c r="A37" s="43"/>
      <c r="B37" s="64"/>
      <c r="C37" s="1"/>
    </row>
    <row r="38" spans="1:3" s="26" customFormat="1" ht="15">
      <c r="A38" s="43"/>
      <c r="B38" s="45"/>
      <c r="C38" s="1"/>
    </row>
    <row r="39" spans="1:3" s="26" customFormat="1" ht="15">
      <c r="A39" s="43"/>
      <c r="B39" s="1"/>
      <c r="C39" s="1"/>
    </row>
    <row r="40" spans="1:3" s="26" customFormat="1" ht="15">
      <c r="A40" s="43"/>
      <c r="B40" s="1"/>
      <c r="C40" s="1"/>
    </row>
    <row r="41" spans="1:3" s="26" customFormat="1" ht="15">
      <c r="A41" s="43"/>
      <c r="B41" s="1"/>
      <c r="C41" s="1"/>
    </row>
    <row r="42" spans="1:3" s="26" customFormat="1" ht="15">
      <c r="A42" s="43"/>
      <c r="B42" s="66"/>
      <c r="C42" s="1"/>
    </row>
    <row r="43" spans="1:3" s="26" customFormat="1" ht="15">
      <c r="A43" s="43"/>
      <c r="B43" s="1"/>
      <c r="C43" s="1"/>
    </row>
    <row r="44" spans="1:3" s="26" customFormat="1" ht="15">
      <c r="A44" s="43"/>
      <c r="B44" s="1"/>
      <c r="C44" s="1"/>
    </row>
    <row r="45" spans="1:3" s="26" customFormat="1" ht="15">
      <c r="A45" s="43"/>
      <c r="B45" s="1"/>
      <c r="C45" s="1"/>
    </row>
    <row r="46" spans="1:3" s="26" customFormat="1" ht="15">
      <c r="A46" s="43"/>
      <c r="B46" s="1"/>
      <c r="C46" s="1"/>
    </row>
    <row r="47" spans="1:3" s="26" customFormat="1" ht="15">
      <c r="A47" s="43"/>
      <c r="B47" s="1"/>
      <c r="C47" s="1"/>
    </row>
    <row r="48" spans="1:3" s="26" customFormat="1" ht="15">
      <c r="A48" s="43"/>
      <c r="B48" s="45"/>
      <c r="C48" s="1"/>
    </row>
    <row r="49" spans="1:3" s="26" customFormat="1" ht="15">
      <c r="A49" s="43"/>
      <c r="B49" s="67"/>
      <c r="C49" s="1"/>
    </row>
    <row r="50" spans="1:3" s="26" customFormat="1" ht="15">
      <c r="A50" s="43"/>
      <c r="B50" s="45"/>
      <c r="C50" s="1"/>
    </row>
    <row r="51" spans="1:3" s="26" customFormat="1" ht="15">
      <c r="A51" s="43"/>
      <c r="B51" s="1"/>
      <c r="C51" s="1"/>
    </row>
    <row r="52" spans="1:3" s="26" customFormat="1" ht="15">
      <c r="A52" s="43"/>
      <c r="B52" s="1"/>
      <c r="C52" s="1"/>
    </row>
    <row r="53" spans="1:3" s="26" customFormat="1" ht="15">
      <c r="A53" s="43"/>
      <c r="B53" s="1"/>
      <c r="C53" s="1"/>
    </row>
    <row r="54" spans="1:3" s="26" customFormat="1" ht="15">
      <c r="A54" s="43"/>
      <c r="B54" s="68"/>
      <c r="C54" s="1"/>
    </row>
    <row r="55" spans="1:3" s="26" customFormat="1" ht="15">
      <c r="A55" s="43"/>
      <c r="B55" s="45"/>
      <c r="C55" s="1"/>
    </row>
    <row r="56" spans="1:3" s="26" customFormat="1" ht="15">
      <c r="A56" s="43"/>
      <c r="B56" s="40"/>
      <c r="C56" s="40"/>
    </row>
    <row r="57" spans="1:3" s="26" customFormat="1" ht="15">
      <c r="A57" s="43"/>
      <c r="B57" s="68"/>
      <c r="C57" s="1"/>
    </row>
    <row r="58" spans="1:3" s="26" customFormat="1" ht="15">
      <c r="A58" s="43"/>
      <c r="B58" s="68"/>
      <c r="C58" s="1"/>
    </row>
    <row r="59" spans="1:3" s="26" customFormat="1" ht="15">
      <c r="A59" s="43"/>
      <c r="B59" s="68"/>
      <c r="C59" s="1"/>
    </row>
    <row r="60" spans="1:3" s="26" customFormat="1" ht="15">
      <c r="A60" s="43"/>
      <c r="B60" s="68"/>
      <c r="C60" s="1"/>
    </row>
    <row r="61" spans="1:3" s="26" customFormat="1" ht="15">
      <c r="A61" s="43"/>
      <c r="B61" s="68"/>
      <c r="C61" s="1"/>
    </row>
    <row r="62" spans="1:3" s="26" customFormat="1" ht="15">
      <c r="A62" s="43"/>
      <c r="B62" s="68"/>
      <c r="C62" s="1"/>
    </row>
    <row r="63" spans="1:3" s="26" customFormat="1" ht="15">
      <c r="A63" s="43"/>
      <c r="B63" s="68"/>
      <c r="C63" s="1"/>
    </row>
    <row r="64" spans="1:3" s="26" customFormat="1" ht="15">
      <c r="A64" s="43"/>
      <c r="B64" s="45"/>
      <c r="C64" s="1"/>
    </row>
    <row r="65" spans="1:3" s="26" customFormat="1" ht="15">
      <c r="A65" s="43"/>
      <c r="B65" s="45"/>
      <c r="C65" s="1"/>
    </row>
    <row r="66" spans="1:3" s="26" customFormat="1" ht="15">
      <c r="A66" s="41"/>
      <c r="B66" s="40"/>
      <c r="C66" s="40"/>
    </row>
    <row r="67" spans="1:3" s="26" customFormat="1" ht="15">
      <c r="A67" s="41"/>
      <c r="B67" s="40"/>
      <c r="C67" s="40"/>
    </row>
    <row r="68" spans="1:3" s="26" customFormat="1" ht="15">
      <c r="A68" s="41"/>
      <c r="B68" s="40"/>
      <c r="C68" s="40"/>
    </row>
    <row r="69" spans="1:3" s="26" customFormat="1" ht="15">
      <c r="A69" s="41"/>
      <c r="B69" s="40"/>
      <c r="C69" s="40"/>
    </row>
    <row r="70" spans="1:3" s="26" customFormat="1" ht="15">
      <c r="A70" s="41"/>
      <c r="B70" s="40"/>
      <c r="C70" s="40"/>
    </row>
    <row r="71" spans="1:3" s="26" customFormat="1" ht="15">
      <c r="A71" s="41"/>
      <c r="B71" s="40"/>
      <c r="C71" s="40"/>
    </row>
    <row r="72" spans="1:3" s="26" customFormat="1" ht="15">
      <c r="A72" s="41"/>
      <c r="B72" s="40"/>
      <c r="C72" s="40"/>
    </row>
    <row r="73" spans="1:3" s="26" customFormat="1" ht="15">
      <c r="A73" s="41"/>
      <c r="B73" s="40"/>
      <c r="C73" s="40"/>
    </row>
    <row r="74" spans="1:3" s="26" customFormat="1" ht="15">
      <c r="A74" s="41"/>
      <c r="B74" s="40"/>
      <c r="C74" s="40"/>
    </row>
    <row r="75" spans="1:3" ht="15">
      <c r="A75" s="41"/>
      <c r="B75" s="40"/>
      <c r="C75" s="40"/>
    </row>
  </sheetData>
  <phoneticPr fontId="3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I19"/>
  <sheetViews>
    <sheetView topLeftCell="A13" workbookViewId="0">
      <selection activeCell="C12" sqref="C12:E12"/>
    </sheetView>
  </sheetViews>
  <sheetFormatPr defaultRowHeight="14.25"/>
  <cols>
    <col min="2" max="2" width="41.5" customWidth="1"/>
    <col min="3" max="5" width="17" customWidth="1"/>
    <col min="6" max="6" width="9" style="5"/>
    <col min="7" max="7" width="18.375" style="5" customWidth="1"/>
    <col min="8" max="9" width="9" style="5"/>
  </cols>
  <sheetData>
    <row r="1" spans="1:5" ht="33.75" customHeight="1">
      <c r="A1" s="24" t="s">
        <v>42</v>
      </c>
    </row>
    <row r="2" spans="1:5" ht="26.25" customHeight="1">
      <c r="B2" s="16" t="s">
        <v>24</v>
      </c>
      <c r="C2" s="16" t="s">
        <v>5</v>
      </c>
      <c r="D2" s="16" t="s">
        <v>6</v>
      </c>
      <c r="E2" s="16" t="s">
        <v>7</v>
      </c>
    </row>
    <row r="3" spans="1:5" ht="38.25" customHeight="1">
      <c r="B3" s="3" t="s">
        <v>3</v>
      </c>
      <c r="C3" s="373" t="s">
        <v>524</v>
      </c>
      <c r="D3" s="374"/>
      <c r="E3" s="375"/>
    </row>
    <row r="4" spans="1:5" ht="38.25" customHeight="1">
      <c r="B4" s="3" t="s">
        <v>4</v>
      </c>
      <c r="C4" s="30" t="s">
        <v>525</v>
      </c>
      <c r="D4" s="30" t="s">
        <v>526</v>
      </c>
      <c r="E4" s="30" t="s">
        <v>527</v>
      </c>
    </row>
    <row r="5" spans="1:5" ht="38.25" customHeight="1">
      <c r="B5" s="3" t="s">
        <v>2</v>
      </c>
      <c r="C5" s="30"/>
      <c r="D5" s="30">
        <v>0.65</v>
      </c>
      <c r="E5" s="30"/>
    </row>
    <row r="6" spans="1:5" s="12" customFormat="1" ht="27" customHeight="1">
      <c r="B6" s="21" t="s">
        <v>30</v>
      </c>
      <c r="C6" s="376" t="s">
        <v>29</v>
      </c>
      <c r="D6" s="376"/>
      <c r="E6" s="376"/>
    </row>
    <row r="7" spans="1:5" s="12" customFormat="1" ht="12.75" customHeight="1">
      <c r="B7" s="19"/>
      <c r="C7" s="20"/>
      <c r="D7" s="20"/>
      <c r="E7" s="20"/>
    </row>
    <row r="8" spans="1:5" s="12" customFormat="1" ht="37.5" customHeight="1">
      <c r="B8" s="17" t="s">
        <v>20</v>
      </c>
      <c r="C8" s="18" t="s">
        <v>23</v>
      </c>
      <c r="D8" s="18" t="s">
        <v>21</v>
      </c>
      <c r="E8" s="18" t="s">
        <v>22</v>
      </c>
    </row>
    <row r="9" spans="1:5" ht="29.25" customHeight="1">
      <c r="B9" s="3" t="s">
        <v>13</v>
      </c>
      <c r="C9" s="31"/>
      <c r="D9" s="31"/>
      <c r="E9" s="31"/>
    </row>
    <row r="10" spans="1:5" ht="32.25" customHeight="1">
      <c r="A10" s="5"/>
      <c r="B10" s="5"/>
      <c r="C10" s="5"/>
      <c r="D10" s="5"/>
      <c r="E10" s="5"/>
    </row>
    <row r="11" spans="1:5" s="12" customFormat="1" ht="29.25" customHeight="1">
      <c r="A11" s="29" t="s">
        <v>33</v>
      </c>
      <c r="B11" s="28"/>
    </row>
    <row r="12" spans="1:5" ht="78" customHeight="1">
      <c r="A12" s="5"/>
      <c r="B12" s="17" t="s">
        <v>34</v>
      </c>
      <c r="C12" s="372"/>
      <c r="D12" s="372"/>
      <c r="E12" s="372"/>
    </row>
    <row r="13" spans="1:5">
      <c r="A13" s="5"/>
      <c r="B13" s="5"/>
      <c r="C13" s="5"/>
      <c r="D13" s="5"/>
      <c r="E13" s="5"/>
    </row>
    <row r="14" spans="1:5">
      <c r="A14" s="5"/>
      <c r="B14" s="5"/>
      <c r="C14" s="5"/>
      <c r="D14" s="5"/>
      <c r="E14" s="5"/>
    </row>
    <row r="15" spans="1:5">
      <c r="A15" s="5"/>
      <c r="B15" s="5"/>
      <c r="C15" s="5"/>
      <c r="D15" s="5"/>
      <c r="E15" s="5"/>
    </row>
    <row r="16" spans="1:5">
      <c r="A16" s="5"/>
      <c r="B16" s="5"/>
      <c r="C16" s="5"/>
      <c r="D16" s="5"/>
      <c r="E16" s="5"/>
    </row>
    <row r="17" spans="1:9" s="5" customFormat="1" ht="27" customHeight="1">
      <c r="A17" s="27" t="s">
        <v>36</v>
      </c>
    </row>
    <row r="18" spans="1:9" s="23" customFormat="1" ht="148.5" customHeight="1">
      <c r="B18" s="377" t="s">
        <v>35</v>
      </c>
      <c r="C18" s="379"/>
      <c r="D18" s="379"/>
      <c r="E18" s="379"/>
      <c r="F18" s="379"/>
      <c r="G18" s="380"/>
      <c r="H18" s="26"/>
      <c r="I18" s="26"/>
    </row>
    <row r="19" spans="1:9" s="23" customFormat="1" ht="36.75" customHeight="1" thickBot="1">
      <c r="B19" s="378"/>
      <c r="C19" s="22"/>
      <c r="D19" s="381"/>
      <c r="E19" s="381"/>
      <c r="F19" s="381"/>
      <c r="G19" s="382"/>
      <c r="H19" s="26"/>
      <c r="I19" s="26"/>
    </row>
  </sheetData>
  <mergeCells count="6">
    <mergeCell ref="C12:E12"/>
    <mergeCell ref="C3:E3"/>
    <mergeCell ref="C6:E6"/>
    <mergeCell ref="B18:B19"/>
    <mergeCell ref="C18:G18"/>
    <mergeCell ref="D19:G19"/>
  </mergeCells>
  <phoneticPr fontId="3" type="noConversion"/>
  <dataValidations count="1">
    <dataValidation type="list" allowBlank="1" showInputMessage="1" showErrorMessage="1" sqref="C6:E7">
      <formula1>"Green,RoHS,Halogen-free,Pb-free,Normal"</formula1>
    </dataValidation>
  </dataValidations>
  <pageMargins left="0.75" right="0.75" top="1" bottom="1" header="0.5" footer="0.5"/>
  <pageSetup paperSize="9" orientation="portrait" r:id="rId1"/>
  <headerFooter alignWithMargins="0">
    <oddHeader>&amp;LHi6910 V100R001 SI&amp;PKG_REQ&amp;R机密</oddHeader>
  </headerFooter>
  <drawing r:id="rId2"/>
  <legacyDrawing r:id="rId3"/>
  <controls>
    <control shapeId="5146" r:id="rId4" name="OptionButton4"/>
    <control shapeId="5147" r:id="rId5" name="OptionButton5"/>
    <control shapeId="5144" r:id="rId6" name="OptionButton3"/>
    <control shapeId="5137" r:id="rId7" name="OptionButton2"/>
    <control shapeId="5128" r:id="rId8" name="Option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1:E11"/>
  <sheetViews>
    <sheetView workbookViewId="0">
      <selection activeCell="B30" sqref="B30"/>
    </sheetView>
  </sheetViews>
  <sheetFormatPr defaultRowHeight="14.25"/>
  <cols>
    <col min="2" max="2" width="42.875" customWidth="1"/>
    <col min="3" max="3" width="11.125" customWidth="1"/>
    <col min="4" max="4" width="11.25" customWidth="1"/>
    <col min="5" max="5" width="11.625" customWidth="1"/>
  </cols>
  <sheetData>
    <row r="1" spans="2:5" ht="35.25" customHeight="1">
      <c r="B1" s="2" t="s">
        <v>44</v>
      </c>
    </row>
    <row r="2" spans="2:5" ht="18.75">
      <c r="B2" s="4" t="s">
        <v>11</v>
      </c>
      <c r="C2" s="384" t="s">
        <v>523</v>
      </c>
      <c r="D2" s="385"/>
      <c r="E2" s="386"/>
    </row>
    <row r="3" spans="2:5" ht="18.75">
      <c r="B3" s="4" t="s">
        <v>25</v>
      </c>
      <c r="C3" s="384" t="s">
        <v>522</v>
      </c>
      <c r="D3" s="387"/>
      <c r="E3" s="388"/>
    </row>
    <row r="4" spans="2:5" ht="18.75">
      <c r="B4" s="4" t="s">
        <v>31</v>
      </c>
      <c r="C4" s="383" t="s">
        <v>521</v>
      </c>
      <c r="D4" s="383"/>
      <c r="E4" s="383"/>
    </row>
    <row r="5" spans="2:5" ht="18.75">
      <c r="B5" s="4" t="s">
        <v>32</v>
      </c>
      <c r="C5" s="383" t="s">
        <v>43</v>
      </c>
      <c r="D5" s="383"/>
      <c r="E5" s="383"/>
    </row>
    <row r="6" spans="2:5" ht="24" customHeight="1"/>
    <row r="7" spans="2:5" ht="35.25" customHeight="1">
      <c r="B7" s="2" t="s">
        <v>40</v>
      </c>
    </row>
    <row r="8" spans="2:5" ht="18.75">
      <c r="B8" s="4" t="s">
        <v>11</v>
      </c>
      <c r="C8" s="384"/>
      <c r="D8" s="385"/>
      <c r="E8" s="386"/>
    </row>
    <row r="9" spans="2:5" ht="18.75">
      <c r="B9" s="4" t="s">
        <v>25</v>
      </c>
      <c r="C9" s="384"/>
      <c r="D9" s="387"/>
      <c r="E9" s="388"/>
    </row>
    <row r="10" spans="2:5" ht="18.75">
      <c r="B10" s="4" t="s">
        <v>31</v>
      </c>
      <c r="C10" s="383"/>
      <c r="D10" s="383"/>
      <c r="E10" s="383"/>
    </row>
    <row r="11" spans="2:5" ht="18.75">
      <c r="B11" s="4" t="s">
        <v>32</v>
      </c>
      <c r="C11" s="383"/>
      <c r="D11" s="383"/>
      <c r="E11" s="383"/>
    </row>
  </sheetData>
  <mergeCells count="8">
    <mergeCell ref="C10:E10"/>
    <mergeCell ref="C11:E11"/>
    <mergeCell ref="C2:E2"/>
    <mergeCell ref="C5:E5"/>
    <mergeCell ref="C4:E4"/>
    <mergeCell ref="C3:E3"/>
    <mergeCell ref="C8:E8"/>
    <mergeCell ref="C9:E9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>
    <oddHeader>&amp;LHi6910 V100R001 SI&amp;PKG_REQ&amp;R机密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L14"/>
  <sheetViews>
    <sheetView workbookViewId="0">
      <selection activeCell="E28" sqref="E28"/>
    </sheetView>
  </sheetViews>
  <sheetFormatPr defaultRowHeight="14.25"/>
  <cols>
    <col min="2" max="2" width="34.25" customWidth="1"/>
    <col min="3" max="3" width="17.125" customWidth="1"/>
    <col min="4" max="4" width="17.25" customWidth="1"/>
    <col min="5" max="5" width="20.75" customWidth="1"/>
    <col min="6" max="6" width="7.875" customWidth="1"/>
    <col min="7" max="7" width="5.625" customWidth="1"/>
    <col min="8" max="8" width="31.75" customWidth="1"/>
    <col min="9" max="9" width="13.125" customWidth="1"/>
  </cols>
  <sheetData>
    <row r="1" spans="2:12" ht="27" customHeight="1">
      <c r="B1" s="2" t="s">
        <v>45</v>
      </c>
    </row>
    <row r="3" spans="2:12" ht="29.25" customHeight="1">
      <c r="B3" s="8" t="s">
        <v>8</v>
      </c>
      <c r="C3" s="7"/>
      <c r="D3" s="7"/>
      <c r="E3" s="7"/>
      <c r="F3" s="9"/>
      <c r="G3" s="9"/>
      <c r="H3" s="11"/>
      <c r="I3" s="9"/>
      <c r="J3" s="6"/>
      <c r="K3" s="6"/>
      <c r="L3" s="6"/>
    </row>
    <row r="4" spans="2:12" ht="29.25" customHeight="1">
      <c r="B4" s="389" t="s">
        <v>41</v>
      </c>
      <c r="C4" s="32"/>
      <c r="D4" s="32">
        <v>0.8</v>
      </c>
      <c r="E4" s="32">
        <v>1</v>
      </c>
      <c r="F4" s="9"/>
      <c r="G4" s="9"/>
      <c r="H4" s="11"/>
      <c r="I4" s="9"/>
      <c r="J4" s="6"/>
      <c r="K4" s="6"/>
      <c r="L4" s="6"/>
    </row>
    <row r="5" spans="2:12" ht="24" customHeight="1">
      <c r="B5" s="390"/>
      <c r="C5" s="32"/>
      <c r="D5" s="32"/>
      <c r="E5" s="32"/>
      <c r="F5" s="9"/>
      <c r="G5" s="9"/>
      <c r="H5" s="11"/>
      <c r="I5" s="9"/>
      <c r="J5" s="6"/>
      <c r="K5" s="6"/>
      <c r="L5" s="6"/>
    </row>
    <row r="6" spans="2:12" ht="24" customHeight="1">
      <c r="B6" s="8" t="s">
        <v>37</v>
      </c>
      <c r="C6" s="32">
        <v>0</v>
      </c>
      <c r="D6" s="32"/>
      <c r="E6" s="32">
        <v>70</v>
      </c>
      <c r="F6" s="9"/>
      <c r="G6" s="9"/>
      <c r="H6" s="11"/>
      <c r="I6" s="9"/>
      <c r="J6" s="6"/>
      <c r="K6" s="6"/>
      <c r="L6" s="6"/>
    </row>
    <row r="7" spans="2:12" ht="21" customHeight="1">
      <c r="B7" s="8" t="s">
        <v>38</v>
      </c>
      <c r="C7" s="32"/>
      <c r="D7" s="32">
        <v>125</v>
      </c>
      <c r="E7" s="32"/>
      <c r="F7" s="9"/>
      <c r="G7" s="9"/>
      <c r="H7" s="11"/>
      <c r="I7" s="9"/>
      <c r="J7" s="6"/>
      <c r="K7" s="6"/>
      <c r="L7" s="6"/>
    </row>
    <row r="8" spans="2:12" ht="21" customHeight="1">
      <c r="B8" s="8" t="s">
        <v>9</v>
      </c>
      <c r="C8" s="32">
        <v>-40</v>
      </c>
      <c r="D8" s="32"/>
      <c r="E8" s="32">
        <v>70</v>
      </c>
      <c r="F8" s="9"/>
      <c r="G8" s="9"/>
      <c r="H8" s="11"/>
      <c r="I8" s="9"/>
      <c r="J8" s="6"/>
      <c r="K8" s="6"/>
      <c r="L8" s="6"/>
    </row>
    <row r="9" spans="2:12" ht="25.5" customHeight="1">
      <c r="B9" s="8" t="s">
        <v>10</v>
      </c>
      <c r="C9" s="32"/>
      <c r="D9" s="32"/>
      <c r="E9" s="32"/>
      <c r="F9" s="9"/>
      <c r="G9" s="9"/>
      <c r="H9" s="11"/>
      <c r="I9" s="9"/>
      <c r="J9" s="6"/>
      <c r="K9" s="6"/>
      <c r="L9" s="6"/>
    </row>
    <row r="10" spans="2:12" ht="20.25" customHeight="1">
      <c r="B10" s="8" t="s">
        <v>39</v>
      </c>
      <c r="C10" s="35"/>
      <c r="D10" s="32"/>
      <c r="E10" s="35"/>
      <c r="F10" s="9"/>
      <c r="G10" s="9"/>
      <c r="H10" s="11"/>
      <c r="I10" s="9"/>
      <c r="J10" s="6"/>
      <c r="K10" s="6"/>
      <c r="L10" s="6"/>
    </row>
    <row r="11" spans="2:12">
      <c r="B11" s="6"/>
      <c r="C11" s="6"/>
      <c r="D11" s="6"/>
      <c r="E11" s="9"/>
      <c r="F11" s="9"/>
      <c r="G11" s="9"/>
      <c r="H11" s="11"/>
      <c r="I11" s="9"/>
      <c r="J11" s="6"/>
      <c r="K11" s="6"/>
      <c r="L11" s="6"/>
    </row>
    <row r="12" spans="2:12" ht="17.25" customHeight="1">
      <c r="B12" s="6"/>
      <c r="C12" s="6"/>
      <c r="D12" s="6"/>
      <c r="E12" s="9"/>
      <c r="F12" s="9"/>
      <c r="G12" s="9"/>
      <c r="H12" s="11"/>
      <c r="I12" s="9"/>
      <c r="J12" s="6"/>
      <c r="K12" s="6"/>
      <c r="L12" s="6"/>
    </row>
    <row r="13" spans="2:12" ht="18.75" customHeight="1">
      <c r="B13" s="10" t="s">
        <v>1</v>
      </c>
      <c r="C13" s="7"/>
      <c r="D13" s="7"/>
      <c r="E13" s="7"/>
      <c r="F13" s="6"/>
      <c r="G13" s="6"/>
      <c r="H13" s="6"/>
      <c r="I13" s="6"/>
      <c r="J13" s="6"/>
      <c r="K13" s="6"/>
      <c r="L13" s="6"/>
    </row>
    <row r="14" spans="2:12" ht="25.5" customHeight="1">
      <c r="B14" s="10" t="s">
        <v>0</v>
      </c>
      <c r="C14" s="1"/>
      <c r="D14" s="1"/>
      <c r="E14" s="32"/>
    </row>
  </sheetData>
  <mergeCells count="1">
    <mergeCell ref="B4:B5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>
    <oddHeader>&amp;LHi6910 V100R001 SI&amp;PKG_REQ&amp;R机密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>
    <outlinePr summaryBelow="0"/>
  </sheetPr>
  <dimension ref="A1:EF245"/>
  <sheetViews>
    <sheetView tabSelected="1" zoomScaleNormal="100" zoomScaleSheetLayoutView="100" workbookViewId="0">
      <pane xSplit="6" ySplit="2" topLeftCell="G3" activePane="bottomRight" state="frozen"/>
      <selection pane="topRight" activeCell="E1" sqref="E1"/>
      <selection pane="bottomLeft" activeCell="A7" sqref="A7"/>
      <selection pane="bottomRight" activeCell="I27" sqref="I27"/>
    </sheetView>
  </sheetViews>
  <sheetFormatPr defaultColWidth="9" defaultRowHeight="14.25"/>
  <cols>
    <col min="1" max="1" width="12.75" customWidth="1"/>
    <col min="2" max="2" width="6" customWidth="1"/>
    <col min="3" max="3" width="6" style="282" customWidth="1"/>
    <col min="4" max="4" width="5" style="258" customWidth="1"/>
    <col min="5" max="5" width="10.625" customWidth="1"/>
    <col min="6" max="6" width="17.625" customWidth="1"/>
    <col min="7" max="7" width="18.25" style="326" customWidth="1"/>
    <col min="8" max="11" width="14.875" style="326" customWidth="1"/>
    <col min="12" max="12" width="6.875" customWidth="1"/>
    <col min="13" max="13" width="11.5" customWidth="1"/>
    <col min="14" max="14" width="15.25" customWidth="1"/>
    <col min="15" max="15" width="9.375" customWidth="1"/>
    <col min="16" max="16" width="6.25" customWidth="1"/>
    <col min="17" max="17" width="7.625" customWidth="1"/>
    <col min="18" max="18" width="14" customWidth="1"/>
    <col min="19" max="19" width="15.875" customWidth="1"/>
    <col min="20" max="20" width="22.875" customWidth="1"/>
    <col min="21" max="21" width="16.5" customWidth="1"/>
    <col min="22" max="22" width="4.75" customWidth="1"/>
    <col min="23" max="23" width="30.375" bestFit="1" customWidth="1"/>
    <col min="24" max="24" width="8" customWidth="1"/>
    <col min="25" max="25" width="70.5" style="146" customWidth="1"/>
    <col min="26" max="26" width="17.5" customWidth="1"/>
    <col min="27" max="27" width="5.625" customWidth="1"/>
    <col min="28" max="28" width="30.75" customWidth="1"/>
    <col min="29" max="29" width="9" customWidth="1"/>
    <col min="30" max="30" width="29" customWidth="1"/>
    <col min="31" max="31" width="18.5" customWidth="1"/>
    <col min="32" max="32" width="5.5" customWidth="1"/>
    <col min="33" max="33" width="36.25" customWidth="1"/>
    <col min="34" max="34" width="8" customWidth="1"/>
    <col min="35" max="35" width="30.375" customWidth="1"/>
    <col min="36" max="36" width="18.5" customWidth="1"/>
    <col min="37" max="37" width="5.75" customWidth="1"/>
    <col min="38" max="38" width="35.25" customWidth="1"/>
    <col min="39" max="39" width="8.5" customWidth="1"/>
    <col min="40" max="40" width="26.375" customWidth="1"/>
    <col min="41" max="41" width="17.625" customWidth="1"/>
    <col min="42" max="42" width="7.125" customWidth="1"/>
    <col min="43" max="43" width="33.5" customWidth="1"/>
    <col min="44" max="44" width="7.125" customWidth="1"/>
    <col min="45" max="45" width="34.25" customWidth="1"/>
    <col min="46" max="46" width="17.25" customWidth="1"/>
    <col min="47" max="47" width="9" customWidth="1"/>
    <col min="48" max="48" width="34.25" customWidth="1"/>
    <col min="49" max="49" width="7.25" customWidth="1"/>
    <col min="50" max="50" width="41.125" customWidth="1"/>
    <col min="51" max="51" width="17.5" customWidth="1"/>
    <col min="52" max="52" width="9.5" customWidth="1"/>
    <col min="53" max="53" width="33.25" customWidth="1"/>
    <col min="54" max="54" width="9.75" bestFit="1" customWidth="1"/>
    <col min="55" max="55" width="18.75" customWidth="1"/>
    <col min="56" max="56" width="15.625" customWidth="1"/>
    <col min="57" max="57" width="9.5" customWidth="1"/>
    <col min="58" max="58" width="30.125" customWidth="1"/>
    <col min="59" max="59" width="7.25" customWidth="1"/>
    <col min="60" max="60" width="17" customWidth="1"/>
    <col min="61" max="61" width="15.625" customWidth="1"/>
    <col min="62" max="62" width="9.5" customWidth="1"/>
    <col min="63" max="63" width="30.75" customWidth="1"/>
    <col min="64" max="64" width="7.25" customWidth="1"/>
    <col min="65" max="65" width="25" customWidth="1"/>
    <col min="66" max="66" width="16.5" customWidth="1"/>
    <col min="67" max="67" width="9.5" customWidth="1"/>
    <col min="68" max="68" width="32.25" customWidth="1"/>
    <col min="69" max="69" width="7.25" customWidth="1"/>
    <col min="70" max="70" width="17" customWidth="1"/>
    <col min="71" max="71" width="16.5" customWidth="1"/>
    <col min="72" max="72" width="12.75" customWidth="1"/>
    <col min="73" max="73" width="31.5" customWidth="1"/>
    <col min="74" max="74" width="7.25" customWidth="1"/>
    <col min="75" max="75" width="13.875" customWidth="1"/>
    <col min="76" max="76" width="16.5" customWidth="1"/>
    <col min="77" max="77" width="12.75" customWidth="1"/>
    <col min="78" max="78" width="31.5" customWidth="1"/>
    <col min="79" max="79" width="7.25" customWidth="1"/>
    <col min="80" max="80" width="15" customWidth="1"/>
    <col min="81" max="81" width="16.5" customWidth="1"/>
    <col min="82" max="82" width="12.75" customWidth="1"/>
    <col min="83" max="83" width="31.5" customWidth="1"/>
    <col min="84" max="84" width="7.25" customWidth="1"/>
    <col min="85" max="85" width="15" customWidth="1"/>
    <col min="86" max="86" width="21.25" style="180" customWidth="1"/>
    <col min="87" max="87" width="7.25" style="180" customWidth="1"/>
    <col min="88" max="88" width="34.25" style="180" customWidth="1"/>
    <col min="89" max="89" width="10.875" style="180" customWidth="1"/>
    <col min="90" max="90" width="29" style="180" customWidth="1"/>
    <col min="91" max="91" width="19.625" style="180" customWidth="1"/>
    <col min="92" max="92" width="5.5" style="180" customWidth="1"/>
    <col min="93" max="93" width="36.25" style="180" customWidth="1"/>
    <col min="94" max="94" width="8" style="180" customWidth="1"/>
    <col min="95" max="95" width="30.375" style="180" customWidth="1"/>
    <col min="96" max="96" width="17.5" style="180" customWidth="1"/>
    <col min="97" max="97" width="3.5" style="180" customWidth="1"/>
    <col min="98" max="98" width="35.25" style="180" customWidth="1"/>
    <col min="99" max="99" width="8" style="180" customWidth="1"/>
    <col min="100" max="100" width="24.875" style="180" customWidth="1"/>
    <col min="101" max="101" width="17.625" style="180" customWidth="1"/>
    <col min="102" max="102" width="7.125" style="180" customWidth="1"/>
    <col min="103" max="103" width="33.5" style="180" customWidth="1"/>
    <col min="104" max="104" width="7.125" style="180" customWidth="1"/>
    <col min="105" max="105" width="58.125" style="180" customWidth="1"/>
    <col min="106" max="106" width="15.625" style="180" customWidth="1"/>
    <col min="107" max="107" width="9" style="180" customWidth="1"/>
    <col min="108" max="108" width="30.5" style="180" customWidth="1"/>
    <col min="109" max="109" width="7.25" style="180" customWidth="1"/>
    <col min="110" max="110" width="23.5" style="180" customWidth="1"/>
    <col min="111" max="111" width="15.625" style="180" customWidth="1"/>
    <col min="112" max="112" width="9.5" style="180" customWidth="1"/>
    <col min="113" max="113" width="30.375" style="180" customWidth="1"/>
    <col min="114" max="114" width="7.25" style="180" customWidth="1"/>
    <col min="115" max="115" width="18.75" style="180" customWidth="1"/>
    <col min="116" max="116" width="15.625" style="180" customWidth="1"/>
    <col min="117" max="117" width="9.5" style="180" customWidth="1"/>
    <col min="118" max="118" width="30.125" style="180" customWidth="1"/>
    <col min="119" max="119" width="7.25" style="180" customWidth="1"/>
    <col min="120" max="120" width="17" style="180" customWidth="1"/>
    <col min="121" max="121" width="15.625" style="297" customWidth="1"/>
    <col min="122" max="122" width="9.5" style="297" customWidth="1"/>
    <col min="123" max="123" width="30.125" style="297" customWidth="1"/>
    <col min="124" max="124" width="7.25" style="297" customWidth="1"/>
    <col min="125" max="125" width="17" style="297" customWidth="1"/>
  </cols>
  <sheetData>
    <row r="1" spans="1:130" s="13" customFormat="1" ht="15" customHeight="1">
      <c r="A1" s="430" t="s">
        <v>379</v>
      </c>
      <c r="B1" s="397" t="s">
        <v>2175</v>
      </c>
      <c r="C1" s="397" t="s">
        <v>2090</v>
      </c>
      <c r="D1" s="430" t="s">
        <v>1199</v>
      </c>
      <c r="E1" s="430" t="s">
        <v>106</v>
      </c>
      <c r="F1" s="430" t="s">
        <v>383</v>
      </c>
      <c r="G1" s="340" t="s">
        <v>3094</v>
      </c>
      <c r="H1" s="341" t="s">
        <v>3095</v>
      </c>
      <c r="I1" s="341" t="s">
        <v>3096</v>
      </c>
      <c r="J1" s="341" t="s">
        <v>3097</v>
      </c>
      <c r="K1" s="342" t="s">
        <v>3098</v>
      </c>
      <c r="L1" s="430" t="s">
        <v>385</v>
      </c>
      <c r="M1" s="430" t="s">
        <v>387</v>
      </c>
      <c r="N1" s="430" t="s">
        <v>226</v>
      </c>
      <c r="O1" s="430" t="s">
        <v>390</v>
      </c>
      <c r="P1" s="430" t="s">
        <v>392</v>
      </c>
      <c r="Q1" s="431" t="s" ph="1">
        <v>2204</v>
      </c>
      <c r="R1" s="431" t="s" ph="1">
        <v>113</v>
      </c>
      <c r="S1" s="431" t="s" ph="1">
        <v>114</v>
      </c>
      <c r="T1" s="430" t="s">
        <v>397</v>
      </c>
      <c r="U1" s="164" t="s">
        <v>398</v>
      </c>
      <c r="V1" s="165"/>
      <c r="W1" s="165"/>
      <c r="X1" s="165"/>
      <c r="Y1" s="166"/>
      <c r="Z1" s="167" t="s">
        <v>884</v>
      </c>
      <c r="AA1" s="165"/>
      <c r="AB1" s="165"/>
      <c r="AC1" s="165"/>
      <c r="AD1" s="168"/>
      <c r="AE1" s="167" t="s">
        <v>885</v>
      </c>
      <c r="AF1" s="165"/>
      <c r="AG1" s="165"/>
      <c r="AH1" s="165"/>
      <c r="AI1" s="168"/>
      <c r="AJ1" s="167" t="s">
        <v>886</v>
      </c>
      <c r="AK1" s="169"/>
      <c r="AL1" s="169"/>
      <c r="AM1" s="169"/>
      <c r="AN1" s="170"/>
      <c r="AO1" s="167" t="s">
        <v>887</v>
      </c>
      <c r="AP1" s="169"/>
      <c r="AQ1" s="169"/>
      <c r="AR1" s="169"/>
      <c r="AS1" s="170" t="s">
        <v>2015</v>
      </c>
      <c r="AT1" s="167" t="s">
        <v>189</v>
      </c>
      <c r="AU1" s="169"/>
      <c r="AV1" s="169"/>
      <c r="AW1" s="169"/>
      <c r="AX1" s="170"/>
      <c r="AY1" s="167" t="s">
        <v>741</v>
      </c>
      <c r="AZ1" s="169"/>
      <c r="BA1" s="169"/>
      <c r="BB1" s="169"/>
      <c r="BC1" s="170"/>
      <c r="BD1" s="167" t="s">
        <v>742</v>
      </c>
      <c r="BE1" s="169"/>
      <c r="BF1" s="169"/>
      <c r="BG1" s="169"/>
      <c r="BH1" s="170"/>
      <c r="BI1" s="167" t="s">
        <v>743</v>
      </c>
      <c r="BJ1" s="169"/>
      <c r="BK1" s="169"/>
      <c r="BL1" s="169"/>
      <c r="BM1" s="170"/>
      <c r="BN1" s="167" t="s">
        <v>744</v>
      </c>
      <c r="BO1" s="169"/>
      <c r="BP1" s="169"/>
      <c r="BQ1" s="169"/>
      <c r="BR1" s="170"/>
      <c r="BS1" s="167" t="s">
        <v>745</v>
      </c>
      <c r="BT1" s="169"/>
      <c r="BU1" s="169"/>
      <c r="BV1" s="169"/>
      <c r="BW1" s="170"/>
      <c r="BX1" s="167" t="s">
        <v>746</v>
      </c>
      <c r="BY1" s="169"/>
      <c r="BZ1" s="169"/>
      <c r="CA1" s="169"/>
      <c r="CB1" s="170"/>
      <c r="CC1" s="167" t="s">
        <v>747</v>
      </c>
      <c r="CD1" s="169"/>
      <c r="CE1" s="169"/>
      <c r="CF1" s="169"/>
      <c r="CG1" s="170"/>
      <c r="CH1" s="167" t="s">
        <v>882</v>
      </c>
      <c r="CI1" s="165"/>
      <c r="CJ1" s="165"/>
      <c r="CK1" s="165"/>
      <c r="CL1" s="168"/>
      <c r="CM1" s="167" t="s">
        <v>883</v>
      </c>
      <c r="CN1" s="165"/>
      <c r="CO1" s="165"/>
      <c r="CP1" s="165"/>
      <c r="CQ1" s="168"/>
      <c r="CR1" s="167" t="s">
        <v>888</v>
      </c>
      <c r="CS1" s="169"/>
      <c r="CT1" s="169"/>
      <c r="CU1" s="169"/>
      <c r="CV1" s="170"/>
      <c r="CW1" s="167" t="s">
        <v>889</v>
      </c>
      <c r="CX1" s="169"/>
      <c r="CY1" s="169"/>
      <c r="CZ1" s="169"/>
      <c r="DA1" s="170"/>
      <c r="DB1" s="167" t="s">
        <v>890</v>
      </c>
      <c r="DC1" s="169"/>
      <c r="DD1" s="169"/>
      <c r="DE1" s="169"/>
      <c r="DF1" s="170"/>
      <c r="DG1" s="167" t="s">
        <v>891</v>
      </c>
      <c r="DH1" s="169"/>
      <c r="DI1" s="169"/>
      <c r="DJ1" s="169"/>
      <c r="DK1" s="170"/>
      <c r="DL1" s="167" t="s">
        <v>892</v>
      </c>
      <c r="DM1" s="169"/>
      <c r="DN1" s="169"/>
      <c r="DO1" s="169"/>
      <c r="DP1" s="170"/>
      <c r="DQ1" s="167" t="s">
        <v>892</v>
      </c>
      <c r="DR1" s="169"/>
      <c r="DS1" s="169"/>
      <c r="DT1" s="169"/>
      <c r="DU1" s="170"/>
      <c r="DV1" s="428" t="s">
        <v>748</v>
      </c>
      <c r="DW1" s="285" t="s">
        <v>2083</v>
      </c>
      <c r="DX1" s="285" t="s">
        <v>2084</v>
      </c>
      <c r="DY1" s="286" t="s">
        <v>2085</v>
      </c>
      <c r="DZ1" s="285" t="s">
        <v>2084</v>
      </c>
    </row>
    <row r="2" spans="1:130" s="13" customFormat="1" ht="15" customHeight="1">
      <c r="A2" s="398"/>
      <c r="B2" s="433"/>
      <c r="C2" s="398"/>
      <c r="D2" s="398"/>
      <c r="E2" s="398"/>
      <c r="F2" s="398"/>
      <c r="G2" s="434" t="s">
        <v>3099</v>
      </c>
      <c r="H2" s="435"/>
      <c r="I2" s="435"/>
      <c r="J2" s="435"/>
      <c r="K2" s="436"/>
      <c r="L2" s="398"/>
      <c r="M2" s="398"/>
      <c r="N2" s="398"/>
      <c r="O2" s="398"/>
      <c r="P2" s="398"/>
      <c r="Q2" s="432"/>
      <c r="R2" s="432"/>
      <c r="S2" s="432"/>
      <c r="T2" s="398"/>
      <c r="U2" s="171" t="s">
        <v>749</v>
      </c>
      <c r="V2" s="171" t="s">
        <v>750</v>
      </c>
      <c r="W2" s="171" t="s">
        <v>751</v>
      </c>
      <c r="X2" s="171" t="s">
        <v>752</v>
      </c>
      <c r="Y2" s="172" t="s">
        <v>753</v>
      </c>
      <c r="Z2" s="173" t="s">
        <v>749</v>
      </c>
      <c r="AA2" s="173" t="s">
        <v>750</v>
      </c>
      <c r="AB2" s="171" t="s">
        <v>751</v>
      </c>
      <c r="AC2" s="171" t="s">
        <v>752</v>
      </c>
      <c r="AD2" s="173" t="s">
        <v>754</v>
      </c>
      <c r="AE2" s="173" t="s">
        <v>749</v>
      </c>
      <c r="AF2" s="173" t="s">
        <v>750</v>
      </c>
      <c r="AG2" s="173" t="s">
        <v>751</v>
      </c>
      <c r="AH2" s="171" t="s">
        <v>752</v>
      </c>
      <c r="AI2" s="173" t="s">
        <v>754</v>
      </c>
      <c r="AJ2" s="173" t="s">
        <v>749</v>
      </c>
      <c r="AK2" s="173" t="s">
        <v>750</v>
      </c>
      <c r="AL2" s="173" t="s">
        <v>751</v>
      </c>
      <c r="AM2" s="171" t="s">
        <v>752</v>
      </c>
      <c r="AN2" s="173" t="s">
        <v>754</v>
      </c>
      <c r="AO2" s="173" t="s">
        <v>749</v>
      </c>
      <c r="AP2" s="173" t="s">
        <v>750</v>
      </c>
      <c r="AQ2" s="173" t="s">
        <v>751</v>
      </c>
      <c r="AR2" s="171" t="s">
        <v>752</v>
      </c>
      <c r="AS2" s="173" t="s">
        <v>754</v>
      </c>
      <c r="AT2" s="173" t="s">
        <v>749</v>
      </c>
      <c r="AU2" s="173" t="s">
        <v>750</v>
      </c>
      <c r="AV2" s="173" t="s">
        <v>751</v>
      </c>
      <c r="AW2" s="171" t="s">
        <v>752</v>
      </c>
      <c r="AX2" s="173" t="s">
        <v>754</v>
      </c>
      <c r="AY2" s="173" t="s">
        <v>749</v>
      </c>
      <c r="AZ2" s="173" t="s">
        <v>750</v>
      </c>
      <c r="BA2" s="173" t="s">
        <v>751</v>
      </c>
      <c r="BB2" s="171" t="s">
        <v>752</v>
      </c>
      <c r="BC2" s="173" t="s">
        <v>754</v>
      </c>
      <c r="BD2" s="173" t="s">
        <v>749</v>
      </c>
      <c r="BE2" s="173" t="s">
        <v>750</v>
      </c>
      <c r="BF2" s="173" t="s">
        <v>751</v>
      </c>
      <c r="BG2" s="171" t="s">
        <v>752</v>
      </c>
      <c r="BH2" s="173" t="s">
        <v>754</v>
      </c>
      <c r="BI2" s="173" t="s">
        <v>749</v>
      </c>
      <c r="BJ2" s="173" t="s">
        <v>750</v>
      </c>
      <c r="BK2" s="173" t="s">
        <v>751</v>
      </c>
      <c r="BL2" s="171" t="s">
        <v>752</v>
      </c>
      <c r="BM2" s="173" t="s">
        <v>754</v>
      </c>
      <c r="BN2" s="173" t="s">
        <v>749</v>
      </c>
      <c r="BO2" s="173" t="s">
        <v>750</v>
      </c>
      <c r="BP2" s="173" t="s">
        <v>751</v>
      </c>
      <c r="BQ2" s="171" t="s">
        <v>752</v>
      </c>
      <c r="BR2" s="173" t="s">
        <v>754</v>
      </c>
      <c r="BS2" s="173" t="s">
        <v>749</v>
      </c>
      <c r="BT2" s="173" t="s">
        <v>750</v>
      </c>
      <c r="BU2" s="173" t="s">
        <v>751</v>
      </c>
      <c r="BV2" s="171" t="s">
        <v>752</v>
      </c>
      <c r="BW2" s="173" t="s">
        <v>754</v>
      </c>
      <c r="BX2" s="173" t="s">
        <v>749</v>
      </c>
      <c r="BY2" s="173" t="s">
        <v>750</v>
      </c>
      <c r="BZ2" s="173" t="s">
        <v>751</v>
      </c>
      <c r="CA2" s="171" t="s">
        <v>752</v>
      </c>
      <c r="CB2" s="173" t="s">
        <v>754</v>
      </c>
      <c r="CC2" s="173" t="s">
        <v>749</v>
      </c>
      <c r="CD2" s="173" t="s">
        <v>750</v>
      </c>
      <c r="CE2" s="173" t="s">
        <v>751</v>
      </c>
      <c r="CF2" s="171" t="s">
        <v>752</v>
      </c>
      <c r="CG2" s="173" t="s">
        <v>754</v>
      </c>
      <c r="CH2" s="173" t="s">
        <v>749</v>
      </c>
      <c r="CI2" s="173" t="s">
        <v>750</v>
      </c>
      <c r="CJ2" s="171" t="s">
        <v>751</v>
      </c>
      <c r="CK2" s="171" t="s">
        <v>752</v>
      </c>
      <c r="CL2" s="173" t="s">
        <v>754</v>
      </c>
      <c r="CM2" s="173" t="s">
        <v>749</v>
      </c>
      <c r="CN2" s="173" t="s">
        <v>750</v>
      </c>
      <c r="CO2" s="173" t="s">
        <v>751</v>
      </c>
      <c r="CP2" s="171" t="s">
        <v>752</v>
      </c>
      <c r="CQ2" s="173" t="s">
        <v>754</v>
      </c>
      <c r="CR2" s="173" t="s">
        <v>749</v>
      </c>
      <c r="CS2" s="173" t="s">
        <v>750</v>
      </c>
      <c r="CT2" s="173" t="s">
        <v>751</v>
      </c>
      <c r="CU2" s="171" t="s">
        <v>752</v>
      </c>
      <c r="CV2" s="173" t="s">
        <v>754</v>
      </c>
      <c r="CW2" s="173" t="s">
        <v>749</v>
      </c>
      <c r="CX2" s="173" t="s">
        <v>750</v>
      </c>
      <c r="CY2" s="173" t="s">
        <v>751</v>
      </c>
      <c r="CZ2" s="171" t="s">
        <v>752</v>
      </c>
      <c r="DA2" s="173" t="s">
        <v>754</v>
      </c>
      <c r="DB2" s="173" t="s">
        <v>749</v>
      </c>
      <c r="DC2" s="173" t="s">
        <v>750</v>
      </c>
      <c r="DD2" s="173" t="s">
        <v>751</v>
      </c>
      <c r="DE2" s="171" t="s">
        <v>752</v>
      </c>
      <c r="DF2" s="173" t="s">
        <v>754</v>
      </c>
      <c r="DG2" s="173" t="s">
        <v>749</v>
      </c>
      <c r="DH2" s="173" t="s">
        <v>750</v>
      </c>
      <c r="DI2" s="173" t="s">
        <v>751</v>
      </c>
      <c r="DJ2" s="171" t="s">
        <v>752</v>
      </c>
      <c r="DK2" s="173" t="s">
        <v>754</v>
      </c>
      <c r="DL2" s="173" t="s">
        <v>749</v>
      </c>
      <c r="DM2" s="173" t="s">
        <v>750</v>
      </c>
      <c r="DN2" s="173" t="s">
        <v>751</v>
      </c>
      <c r="DO2" s="171" t="s">
        <v>752</v>
      </c>
      <c r="DP2" s="173" t="s">
        <v>754</v>
      </c>
      <c r="DQ2" s="173" t="s">
        <v>749</v>
      </c>
      <c r="DR2" s="173" t="s">
        <v>750</v>
      </c>
      <c r="DS2" s="173" t="s">
        <v>751</v>
      </c>
      <c r="DT2" s="171" t="s">
        <v>752</v>
      </c>
      <c r="DU2" s="173" t="s">
        <v>754</v>
      </c>
      <c r="DV2" s="429"/>
      <c r="DW2" s="301"/>
      <c r="DX2" s="301"/>
      <c r="DY2" s="301"/>
      <c r="DZ2" s="301"/>
    </row>
    <row r="3" spans="1:130">
      <c r="A3" s="218" t="s">
        <v>2272</v>
      </c>
      <c r="B3" s="150"/>
      <c r="C3" s="150"/>
      <c r="D3" s="150"/>
      <c r="E3" s="150"/>
      <c r="F3" s="150"/>
      <c r="G3" s="343"/>
      <c r="H3" s="343"/>
      <c r="I3" s="343"/>
      <c r="J3" s="343"/>
      <c r="K3" s="343"/>
      <c r="L3" s="38"/>
      <c r="M3" s="38"/>
      <c r="N3" s="38"/>
      <c r="O3" s="38"/>
      <c r="P3" s="38"/>
      <c r="Q3" s="38"/>
      <c r="R3" s="38"/>
      <c r="S3" s="38"/>
      <c r="T3" s="37"/>
      <c r="U3" s="37"/>
      <c r="V3" s="36"/>
      <c r="W3" s="36"/>
      <c r="X3" s="36"/>
      <c r="Y3" s="148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6"/>
      <c r="DE3" s="36"/>
      <c r="DF3" s="36"/>
      <c r="DG3" s="36"/>
      <c r="DH3" s="36"/>
      <c r="DI3" s="36"/>
      <c r="DJ3" s="36"/>
      <c r="DK3" s="36"/>
      <c r="DL3" s="36"/>
      <c r="DM3" s="36"/>
      <c r="DN3" s="36"/>
      <c r="DO3" s="36"/>
      <c r="DP3" s="36"/>
      <c r="DQ3" s="36"/>
      <c r="DR3" s="36"/>
      <c r="DS3" s="36"/>
      <c r="DT3" s="36"/>
      <c r="DU3" s="36"/>
      <c r="DV3" s="36"/>
      <c r="DW3" s="300"/>
      <c r="DX3" s="300"/>
      <c r="DY3" s="300"/>
      <c r="DZ3" s="300"/>
    </row>
    <row r="4" spans="1:130" s="44" customFormat="1">
      <c r="A4" s="160" t="s">
        <v>755</v>
      </c>
      <c r="B4" s="65" t="s">
        <v>58</v>
      </c>
      <c r="C4" s="65" t="s">
        <v>58</v>
      </c>
      <c r="D4" s="65" t="s">
        <v>58</v>
      </c>
      <c r="E4" s="160" t="s">
        <v>48</v>
      </c>
      <c r="F4" s="65" t="s">
        <v>756</v>
      </c>
      <c r="G4" s="44" t="s">
        <v>3100</v>
      </c>
      <c r="H4" s="44" t="s">
        <v>3100</v>
      </c>
      <c r="I4" s="65" t="s">
        <v>3100</v>
      </c>
      <c r="J4" s="344" t="s">
        <v>3101</v>
      </c>
      <c r="K4" s="344" t="s">
        <v>3101</v>
      </c>
      <c r="L4" s="65" t="s">
        <v>53</v>
      </c>
      <c r="M4" s="65" t="s">
        <v>2179</v>
      </c>
      <c r="N4" s="65" t="s">
        <v>1113</v>
      </c>
      <c r="O4" s="65" t="s">
        <v>182</v>
      </c>
      <c r="P4" s="65" t="s">
        <v>2200</v>
      </c>
      <c r="Q4" s="273" t="s">
        <v>270</v>
      </c>
      <c r="R4" s="65" t="s">
        <v>2273</v>
      </c>
      <c r="S4" s="65" t="s">
        <v>46</v>
      </c>
      <c r="T4" s="65" t="s">
        <v>2274</v>
      </c>
      <c r="U4" s="65" t="s">
        <v>2275</v>
      </c>
      <c r="V4" s="65" t="s">
        <v>53</v>
      </c>
      <c r="W4" s="65" t="s">
        <v>1361</v>
      </c>
      <c r="X4" s="65" t="s">
        <v>2181</v>
      </c>
      <c r="Y4" s="183" t="s">
        <v>2276</v>
      </c>
      <c r="Z4" s="160"/>
      <c r="AA4" s="65"/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160" t="s">
        <v>1352</v>
      </c>
      <c r="AZ4" s="160" t="s">
        <v>53</v>
      </c>
      <c r="BA4" s="65" t="s">
        <v>2053</v>
      </c>
      <c r="BB4" s="65" t="s">
        <v>2277</v>
      </c>
      <c r="BC4" s="65"/>
      <c r="BD4" s="65"/>
      <c r="BE4" s="65"/>
      <c r="BF4" s="65"/>
      <c r="BG4" s="65"/>
      <c r="BH4" s="65"/>
      <c r="BI4" s="65"/>
      <c r="BJ4" s="65"/>
      <c r="BK4" s="65"/>
      <c r="BL4" s="65"/>
      <c r="BM4" s="65"/>
      <c r="BN4" s="65"/>
      <c r="BO4" s="65"/>
      <c r="BP4" s="65"/>
      <c r="BQ4" s="65"/>
      <c r="BR4" s="65"/>
      <c r="BS4" s="65"/>
      <c r="BT4" s="65"/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  <c r="CF4" s="65"/>
      <c r="CG4" s="65"/>
      <c r="CH4" s="65"/>
      <c r="CI4" s="65"/>
      <c r="CJ4" s="65"/>
      <c r="CK4" s="65"/>
      <c r="CL4" s="65"/>
      <c r="CM4" s="302"/>
      <c r="CN4" s="65"/>
      <c r="CO4" s="65"/>
      <c r="CP4" s="65"/>
      <c r="CQ4" s="65"/>
      <c r="CR4" s="65"/>
      <c r="CS4" s="65"/>
      <c r="CT4" s="65"/>
      <c r="CU4" s="65"/>
      <c r="CV4" s="65"/>
      <c r="CW4" s="65"/>
      <c r="CX4" s="65"/>
      <c r="CY4" s="65"/>
      <c r="CZ4" s="65"/>
      <c r="DA4" s="65"/>
      <c r="DB4" s="65"/>
      <c r="DC4" s="65"/>
      <c r="DD4" s="65"/>
      <c r="DE4" s="65"/>
      <c r="DF4" s="65"/>
      <c r="DG4" s="65"/>
      <c r="DH4" s="65"/>
      <c r="DI4" s="65"/>
      <c r="DJ4" s="65"/>
      <c r="DK4" s="65"/>
      <c r="DL4" s="65"/>
      <c r="DM4" s="65"/>
      <c r="DN4" s="65"/>
      <c r="DO4" s="65"/>
      <c r="DP4" s="65"/>
      <c r="DQ4" s="65"/>
      <c r="DR4" s="65"/>
      <c r="DS4" s="65"/>
      <c r="DT4" s="65"/>
      <c r="DU4" s="65"/>
      <c r="DV4" s="65"/>
      <c r="DW4" s="406" t="s">
        <v>2278</v>
      </c>
      <c r="DX4" s="303" t="s">
        <v>2279</v>
      </c>
      <c r="DY4" s="406" t="s">
        <v>2280</v>
      </c>
      <c r="DZ4" s="303" t="s">
        <v>2279</v>
      </c>
    </row>
    <row r="5" spans="1:130" s="44" customFormat="1">
      <c r="A5" s="160" t="s">
        <v>2281</v>
      </c>
      <c r="B5" s="65" t="s">
        <v>58</v>
      </c>
      <c r="C5" s="65" t="s">
        <v>58</v>
      </c>
      <c r="D5" s="65" t="s">
        <v>58</v>
      </c>
      <c r="E5" s="160" t="s">
        <v>48</v>
      </c>
      <c r="F5" s="65" t="s">
        <v>2282</v>
      </c>
      <c r="G5" s="44" t="s">
        <v>3100</v>
      </c>
      <c r="H5" s="44" t="s">
        <v>3100</v>
      </c>
      <c r="I5" s="65" t="s">
        <v>3100</v>
      </c>
      <c r="J5" s="344" t="s">
        <v>3101</v>
      </c>
      <c r="K5" s="344" t="s">
        <v>3101</v>
      </c>
      <c r="L5" s="65" t="s">
        <v>53</v>
      </c>
      <c r="M5" s="65" t="s">
        <v>2277</v>
      </c>
      <c r="N5" s="65" t="s">
        <v>1113</v>
      </c>
      <c r="O5" s="65" t="s">
        <v>182</v>
      </c>
      <c r="P5" s="65" t="s">
        <v>2200</v>
      </c>
      <c r="Q5" s="273" t="s">
        <v>272</v>
      </c>
      <c r="R5" s="65" t="s">
        <v>1336</v>
      </c>
      <c r="S5" s="65" t="s">
        <v>46</v>
      </c>
      <c r="T5" s="65" t="s">
        <v>2274</v>
      </c>
      <c r="U5" s="65" t="s">
        <v>2283</v>
      </c>
      <c r="V5" s="65" t="s">
        <v>53</v>
      </c>
      <c r="W5" s="65" t="s">
        <v>1361</v>
      </c>
      <c r="X5" s="65" t="s">
        <v>2181</v>
      </c>
      <c r="Y5" s="183" t="s">
        <v>2284</v>
      </c>
      <c r="Z5" s="160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60" t="s">
        <v>1351</v>
      </c>
      <c r="AZ5" s="160" t="s">
        <v>53</v>
      </c>
      <c r="BA5" s="65" t="s">
        <v>2053</v>
      </c>
      <c r="BB5" s="65" t="s">
        <v>2277</v>
      </c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/>
      <c r="CC5" s="65"/>
      <c r="CD5" s="65"/>
      <c r="CE5" s="65"/>
      <c r="CF5" s="65"/>
      <c r="CG5" s="65"/>
      <c r="CH5" s="65"/>
      <c r="CI5" s="65"/>
      <c r="CJ5" s="65"/>
      <c r="CK5" s="65"/>
      <c r="CL5" s="65"/>
      <c r="CM5" s="302"/>
      <c r="CN5" s="65"/>
      <c r="CO5" s="65"/>
      <c r="CP5" s="65"/>
      <c r="CQ5" s="65"/>
      <c r="CR5" s="65"/>
      <c r="CS5" s="65"/>
      <c r="CT5" s="65"/>
      <c r="CU5" s="65"/>
      <c r="CV5" s="65"/>
      <c r="CW5" s="65"/>
      <c r="CX5" s="65"/>
      <c r="CY5" s="65"/>
      <c r="CZ5" s="65"/>
      <c r="DA5" s="65"/>
      <c r="DB5" s="65"/>
      <c r="DC5" s="65"/>
      <c r="DD5" s="65"/>
      <c r="DE5" s="65"/>
      <c r="DF5" s="65"/>
      <c r="DG5" s="65"/>
      <c r="DH5" s="65"/>
      <c r="DI5" s="65"/>
      <c r="DJ5" s="65"/>
      <c r="DK5" s="65"/>
      <c r="DL5" s="65"/>
      <c r="DM5" s="65"/>
      <c r="DN5" s="65"/>
      <c r="DO5" s="65"/>
      <c r="DP5" s="65"/>
      <c r="DQ5" s="65"/>
      <c r="DR5" s="65"/>
      <c r="DS5" s="65"/>
      <c r="DT5" s="65"/>
      <c r="DU5" s="65"/>
      <c r="DV5" s="65"/>
      <c r="DW5" s="423"/>
      <c r="DX5" s="303" t="s">
        <v>2279</v>
      </c>
      <c r="DY5" s="407"/>
      <c r="DZ5" s="303" t="s">
        <v>2279</v>
      </c>
    </row>
    <row r="6" spans="1:130" s="44" customFormat="1">
      <c r="A6" s="160" t="s">
        <v>2281</v>
      </c>
      <c r="B6" s="65" t="s">
        <v>58</v>
      </c>
      <c r="C6" s="65" t="s">
        <v>58</v>
      </c>
      <c r="D6" s="65" t="s">
        <v>58</v>
      </c>
      <c r="E6" s="160" t="s">
        <v>48</v>
      </c>
      <c r="F6" s="65" t="s">
        <v>2285</v>
      </c>
      <c r="G6" s="44" t="s">
        <v>3100</v>
      </c>
      <c r="H6" s="44" t="s">
        <v>3100</v>
      </c>
      <c r="I6" s="65" t="s">
        <v>3100</v>
      </c>
      <c r="J6" s="344" t="s">
        <v>3101</v>
      </c>
      <c r="K6" s="344" t="s">
        <v>3101</v>
      </c>
      <c r="L6" s="65" t="s">
        <v>53</v>
      </c>
      <c r="M6" s="65" t="s">
        <v>2277</v>
      </c>
      <c r="N6" s="65" t="s">
        <v>1113</v>
      </c>
      <c r="O6" s="65" t="s">
        <v>182</v>
      </c>
      <c r="P6" s="65" t="s">
        <v>2200</v>
      </c>
      <c r="Q6" s="273" t="s">
        <v>272</v>
      </c>
      <c r="R6" s="65" t="s">
        <v>1337</v>
      </c>
      <c r="S6" s="65" t="s">
        <v>46</v>
      </c>
      <c r="T6" s="65" t="s">
        <v>2274</v>
      </c>
      <c r="U6" s="65" t="s">
        <v>2286</v>
      </c>
      <c r="V6" s="65" t="s">
        <v>53</v>
      </c>
      <c r="W6" s="65" t="s">
        <v>1362</v>
      </c>
      <c r="X6" s="65" t="s">
        <v>2181</v>
      </c>
      <c r="Y6" s="183" t="s">
        <v>2287</v>
      </c>
      <c r="Z6" s="160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60" t="s">
        <v>1350</v>
      </c>
      <c r="AZ6" s="160" t="s">
        <v>53</v>
      </c>
      <c r="BA6" s="65" t="s">
        <v>2053</v>
      </c>
      <c r="BB6" s="65" t="s">
        <v>2277</v>
      </c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65"/>
      <c r="CI6" s="65"/>
      <c r="CJ6" s="65"/>
      <c r="CK6" s="65"/>
      <c r="CL6" s="65"/>
      <c r="CM6" s="302"/>
      <c r="CN6" s="65"/>
      <c r="CO6" s="65"/>
      <c r="CP6" s="65"/>
      <c r="CQ6" s="65"/>
      <c r="CR6" s="65"/>
      <c r="CS6" s="65"/>
      <c r="CT6" s="65"/>
      <c r="CU6" s="65"/>
      <c r="CV6" s="65"/>
      <c r="CW6" s="65"/>
      <c r="CX6" s="65"/>
      <c r="CY6" s="65"/>
      <c r="CZ6" s="65"/>
      <c r="DA6" s="65"/>
      <c r="DB6" s="65"/>
      <c r="DC6" s="65"/>
      <c r="DD6" s="65"/>
      <c r="DE6" s="65"/>
      <c r="DF6" s="65"/>
      <c r="DG6" s="65"/>
      <c r="DH6" s="65"/>
      <c r="DI6" s="65"/>
      <c r="DJ6" s="65"/>
      <c r="DK6" s="65"/>
      <c r="DL6" s="65"/>
      <c r="DM6" s="65"/>
      <c r="DN6" s="65"/>
      <c r="DO6" s="65"/>
      <c r="DP6" s="65"/>
      <c r="DQ6" s="65"/>
      <c r="DR6" s="65"/>
      <c r="DS6" s="65"/>
      <c r="DT6" s="65"/>
      <c r="DU6" s="65"/>
      <c r="DV6" s="65"/>
      <c r="DW6" s="423"/>
      <c r="DX6" s="303" t="s">
        <v>2279</v>
      </c>
      <c r="DY6" s="407"/>
      <c r="DZ6" s="303" t="s">
        <v>2279</v>
      </c>
    </row>
    <row r="7" spans="1:130" s="44" customFormat="1">
      <c r="A7" s="160" t="s">
        <v>2281</v>
      </c>
      <c r="B7" s="65" t="s">
        <v>58</v>
      </c>
      <c r="C7" s="65" t="s">
        <v>58</v>
      </c>
      <c r="D7" s="65" t="s">
        <v>58</v>
      </c>
      <c r="E7" s="160" t="s">
        <v>48</v>
      </c>
      <c r="F7" s="65" t="s">
        <v>2288</v>
      </c>
      <c r="G7" s="44" t="s">
        <v>3100</v>
      </c>
      <c r="H7" s="44" t="s">
        <v>3100</v>
      </c>
      <c r="I7" s="65" t="s">
        <v>3100</v>
      </c>
      <c r="J7" s="344" t="s">
        <v>3101</v>
      </c>
      <c r="K7" s="344" t="s">
        <v>3101</v>
      </c>
      <c r="L7" s="65" t="s">
        <v>53</v>
      </c>
      <c r="M7" s="65" t="s">
        <v>2277</v>
      </c>
      <c r="N7" s="65" t="s">
        <v>1113</v>
      </c>
      <c r="O7" s="65" t="s">
        <v>182</v>
      </c>
      <c r="P7" s="65" t="s">
        <v>2200</v>
      </c>
      <c r="Q7" s="273" t="s">
        <v>270</v>
      </c>
      <c r="R7" s="65" t="s">
        <v>1338</v>
      </c>
      <c r="S7" s="65" t="s">
        <v>46</v>
      </c>
      <c r="T7" s="65" t="s">
        <v>2274</v>
      </c>
      <c r="U7" s="65" t="s">
        <v>2289</v>
      </c>
      <c r="V7" s="65" t="s">
        <v>53</v>
      </c>
      <c r="W7" s="65" t="s">
        <v>1362</v>
      </c>
      <c r="X7" s="65" t="s">
        <v>2181</v>
      </c>
      <c r="Y7" s="183" t="s">
        <v>2290</v>
      </c>
      <c r="Z7" s="160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60" t="s">
        <v>1349</v>
      </c>
      <c r="AZ7" s="160" t="s">
        <v>53</v>
      </c>
      <c r="BA7" s="65" t="s">
        <v>2053</v>
      </c>
      <c r="BB7" s="65" t="s">
        <v>2277</v>
      </c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65"/>
      <c r="BV7" s="65"/>
      <c r="BW7" s="65"/>
      <c r="BX7" s="65"/>
      <c r="BY7" s="65"/>
      <c r="BZ7" s="65"/>
      <c r="CA7" s="65"/>
      <c r="CB7" s="65"/>
      <c r="CC7" s="65"/>
      <c r="CD7" s="65"/>
      <c r="CE7" s="65"/>
      <c r="CF7" s="65"/>
      <c r="CG7" s="65"/>
      <c r="CH7" s="65"/>
      <c r="CI7" s="65"/>
      <c r="CJ7" s="65"/>
      <c r="CK7" s="65"/>
      <c r="CL7" s="65"/>
      <c r="CM7" s="302"/>
      <c r="CN7" s="65"/>
      <c r="CO7" s="65"/>
      <c r="CP7" s="65"/>
      <c r="CQ7" s="65"/>
      <c r="CR7" s="65"/>
      <c r="CS7" s="65"/>
      <c r="CT7" s="65"/>
      <c r="CU7" s="65"/>
      <c r="CV7" s="65"/>
      <c r="CW7" s="65"/>
      <c r="CX7" s="65"/>
      <c r="CY7" s="65"/>
      <c r="CZ7" s="65"/>
      <c r="DA7" s="65"/>
      <c r="DB7" s="65"/>
      <c r="DC7" s="65"/>
      <c r="DD7" s="65"/>
      <c r="DE7" s="65"/>
      <c r="DF7" s="65"/>
      <c r="DG7" s="65"/>
      <c r="DH7" s="65"/>
      <c r="DI7" s="65"/>
      <c r="DJ7" s="65"/>
      <c r="DK7" s="65"/>
      <c r="DL7" s="65"/>
      <c r="DM7" s="65"/>
      <c r="DN7" s="65"/>
      <c r="DO7" s="65"/>
      <c r="DP7" s="65"/>
      <c r="DQ7" s="65"/>
      <c r="DR7" s="65"/>
      <c r="DS7" s="65"/>
      <c r="DT7" s="65"/>
      <c r="DU7" s="65"/>
      <c r="DV7" s="65"/>
      <c r="DW7" s="423"/>
      <c r="DX7" s="303" t="s">
        <v>2279</v>
      </c>
      <c r="DY7" s="407"/>
      <c r="DZ7" s="303" t="s">
        <v>2279</v>
      </c>
    </row>
    <row r="8" spans="1:130" s="44" customFormat="1">
      <c r="A8" s="160" t="s">
        <v>2281</v>
      </c>
      <c r="B8" s="65" t="s">
        <v>58</v>
      </c>
      <c r="C8" s="65" t="s">
        <v>58</v>
      </c>
      <c r="D8" s="65" t="s">
        <v>58</v>
      </c>
      <c r="E8" s="160" t="s">
        <v>48</v>
      </c>
      <c r="F8" s="65" t="s">
        <v>2291</v>
      </c>
      <c r="G8" s="44" t="s">
        <v>3100</v>
      </c>
      <c r="H8" s="44" t="s">
        <v>3100</v>
      </c>
      <c r="I8" s="65" t="s">
        <v>3100</v>
      </c>
      <c r="J8" s="344" t="s">
        <v>3101</v>
      </c>
      <c r="K8" s="344" t="s">
        <v>3101</v>
      </c>
      <c r="L8" s="65" t="s">
        <v>53</v>
      </c>
      <c r="M8" s="65" t="s">
        <v>2277</v>
      </c>
      <c r="N8" s="65" t="s">
        <v>1113</v>
      </c>
      <c r="O8" s="65" t="s">
        <v>182</v>
      </c>
      <c r="P8" s="65" t="s">
        <v>2200</v>
      </c>
      <c r="Q8" s="273" t="s">
        <v>270</v>
      </c>
      <c r="R8" s="65" t="s">
        <v>1339</v>
      </c>
      <c r="S8" s="65" t="s">
        <v>46</v>
      </c>
      <c r="T8" s="65" t="s">
        <v>2274</v>
      </c>
      <c r="U8" s="65" t="s">
        <v>2292</v>
      </c>
      <c r="V8" s="65" t="s">
        <v>53</v>
      </c>
      <c r="W8" s="65" t="s">
        <v>1362</v>
      </c>
      <c r="X8" s="65" t="s">
        <v>2181</v>
      </c>
      <c r="Y8" s="183" t="s">
        <v>2293</v>
      </c>
      <c r="Z8" s="160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60" t="s">
        <v>1348</v>
      </c>
      <c r="AZ8" s="160" t="s">
        <v>53</v>
      </c>
      <c r="BA8" s="65" t="s">
        <v>2053</v>
      </c>
      <c r="BB8" s="65" t="s">
        <v>2277</v>
      </c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65"/>
      <c r="BV8" s="65"/>
      <c r="BW8" s="65"/>
      <c r="BX8" s="65"/>
      <c r="BY8" s="65"/>
      <c r="BZ8" s="65"/>
      <c r="CA8" s="65"/>
      <c r="CB8" s="65"/>
      <c r="CC8" s="65"/>
      <c r="CD8" s="65"/>
      <c r="CE8" s="65"/>
      <c r="CF8" s="65"/>
      <c r="CG8" s="65"/>
      <c r="CH8" s="65"/>
      <c r="CI8" s="65"/>
      <c r="CJ8" s="65"/>
      <c r="CK8" s="65"/>
      <c r="CL8" s="65"/>
      <c r="CM8" s="302"/>
      <c r="CN8" s="65"/>
      <c r="CO8" s="65"/>
      <c r="CP8" s="65"/>
      <c r="CQ8" s="65"/>
      <c r="CR8" s="65"/>
      <c r="CS8" s="65"/>
      <c r="CT8" s="65"/>
      <c r="CU8" s="65"/>
      <c r="CV8" s="65"/>
      <c r="CW8" s="65"/>
      <c r="CX8" s="65"/>
      <c r="CY8" s="65"/>
      <c r="CZ8" s="65"/>
      <c r="DA8" s="65"/>
      <c r="DB8" s="65"/>
      <c r="DC8" s="65"/>
      <c r="DD8" s="65"/>
      <c r="DE8" s="65"/>
      <c r="DF8" s="65"/>
      <c r="DG8" s="65"/>
      <c r="DH8" s="65"/>
      <c r="DI8" s="65"/>
      <c r="DJ8" s="65"/>
      <c r="DK8" s="65"/>
      <c r="DL8" s="65"/>
      <c r="DM8" s="65"/>
      <c r="DN8" s="65"/>
      <c r="DO8" s="65"/>
      <c r="DP8" s="65"/>
      <c r="DQ8" s="65"/>
      <c r="DR8" s="65"/>
      <c r="DS8" s="65"/>
      <c r="DT8" s="65"/>
      <c r="DU8" s="65"/>
      <c r="DV8" s="65"/>
      <c r="DW8" s="423"/>
      <c r="DX8" s="303" t="s">
        <v>2279</v>
      </c>
      <c r="DY8" s="407"/>
      <c r="DZ8" s="303" t="s">
        <v>2279</v>
      </c>
    </row>
    <row r="9" spans="1:130" s="44" customFormat="1">
      <c r="A9" s="160" t="s">
        <v>2281</v>
      </c>
      <c r="B9" s="65" t="s">
        <v>58</v>
      </c>
      <c r="C9" s="65" t="s">
        <v>58</v>
      </c>
      <c r="D9" s="65" t="s">
        <v>58</v>
      </c>
      <c r="E9" s="160" t="s">
        <v>48</v>
      </c>
      <c r="F9" s="65" t="s">
        <v>2294</v>
      </c>
      <c r="G9" s="44" t="s">
        <v>3100</v>
      </c>
      <c r="H9" s="44" t="s">
        <v>3100</v>
      </c>
      <c r="I9" s="65" t="s">
        <v>3100</v>
      </c>
      <c r="J9" s="344" t="s">
        <v>3101</v>
      </c>
      <c r="K9" s="344" t="s">
        <v>3101</v>
      </c>
      <c r="L9" s="65" t="s">
        <v>52</v>
      </c>
      <c r="M9" s="65" t="s">
        <v>2277</v>
      </c>
      <c r="N9" s="65" t="s">
        <v>1113</v>
      </c>
      <c r="O9" s="65" t="s">
        <v>182</v>
      </c>
      <c r="P9" s="65" t="s">
        <v>183</v>
      </c>
      <c r="Q9" s="65" t="s">
        <v>88</v>
      </c>
      <c r="R9" s="65" t="s">
        <v>1340</v>
      </c>
      <c r="S9" s="65" t="s">
        <v>46</v>
      </c>
      <c r="T9" s="65" t="s">
        <v>2274</v>
      </c>
      <c r="U9" s="65" t="s">
        <v>2295</v>
      </c>
      <c r="V9" s="65" t="s">
        <v>54</v>
      </c>
      <c r="W9" s="65" t="s">
        <v>2296</v>
      </c>
      <c r="X9" s="65" t="s">
        <v>2181</v>
      </c>
      <c r="Y9" s="183" t="s">
        <v>2297</v>
      </c>
      <c r="Z9" s="160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60" t="s">
        <v>1347</v>
      </c>
      <c r="AZ9" s="160" t="s">
        <v>53</v>
      </c>
      <c r="BA9" s="65" t="s">
        <v>2053</v>
      </c>
      <c r="BB9" s="65" t="s">
        <v>2277</v>
      </c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65"/>
      <c r="BV9" s="65"/>
      <c r="BW9" s="65"/>
      <c r="BX9" s="65"/>
      <c r="BY9" s="65"/>
      <c r="BZ9" s="65"/>
      <c r="CA9" s="65"/>
      <c r="CB9" s="65"/>
      <c r="CC9" s="65"/>
      <c r="CD9" s="65"/>
      <c r="CE9" s="65"/>
      <c r="CF9" s="65"/>
      <c r="CG9" s="65"/>
      <c r="CH9" s="65"/>
      <c r="CI9" s="65"/>
      <c r="CJ9" s="65"/>
      <c r="CK9" s="65"/>
      <c r="CL9" s="65"/>
      <c r="CM9" s="302"/>
      <c r="CN9" s="65"/>
      <c r="CO9" s="65"/>
      <c r="CP9" s="65"/>
      <c r="CQ9" s="65"/>
      <c r="CR9" s="65"/>
      <c r="CS9" s="65"/>
      <c r="CT9" s="65"/>
      <c r="CU9" s="65"/>
      <c r="CV9" s="65"/>
      <c r="CW9" s="65"/>
      <c r="CX9" s="65"/>
      <c r="CY9" s="65"/>
      <c r="CZ9" s="65"/>
      <c r="DA9" s="65"/>
      <c r="DB9" s="65"/>
      <c r="DC9" s="65"/>
      <c r="DD9" s="65"/>
      <c r="DE9" s="65"/>
      <c r="DF9" s="65"/>
      <c r="DG9" s="65"/>
      <c r="DH9" s="65"/>
      <c r="DI9" s="65"/>
      <c r="DJ9" s="65"/>
      <c r="DK9" s="65"/>
      <c r="DL9" s="65"/>
      <c r="DM9" s="65"/>
      <c r="DN9" s="65"/>
      <c r="DO9" s="65"/>
      <c r="DP9" s="65"/>
      <c r="DQ9" s="65"/>
      <c r="DR9" s="65"/>
      <c r="DS9" s="65"/>
      <c r="DT9" s="65"/>
      <c r="DU9" s="65"/>
      <c r="DV9" s="65"/>
      <c r="DW9" s="423"/>
      <c r="DX9" s="303" t="s">
        <v>2279</v>
      </c>
      <c r="DY9" s="407"/>
      <c r="DZ9" s="303" t="s">
        <v>2279</v>
      </c>
    </row>
    <row r="10" spans="1:130" s="44" customFormat="1">
      <c r="A10" s="160" t="s">
        <v>2281</v>
      </c>
      <c r="B10" s="65" t="s">
        <v>58</v>
      </c>
      <c r="C10" s="65" t="s">
        <v>2298</v>
      </c>
      <c r="D10" s="65" t="s">
        <v>58</v>
      </c>
      <c r="E10" s="160" t="s">
        <v>48</v>
      </c>
      <c r="F10" s="65" t="s">
        <v>2299</v>
      </c>
      <c r="G10" s="44" t="s">
        <v>3100</v>
      </c>
      <c r="H10" s="44" t="s">
        <v>3100</v>
      </c>
      <c r="I10" s="65" t="s">
        <v>3100</v>
      </c>
      <c r="J10" s="344" t="s">
        <v>3101</v>
      </c>
      <c r="K10" s="344" t="s">
        <v>3101</v>
      </c>
      <c r="L10" s="65" t="s">
        <v>52</v>
      </c>
      <c r="M10" s="65" t="s">
        <v>2277</v>
      </c>
      <c r="N10" s="65" t="s">
        <v>1113</v>
      </c>
      <c r="O10" s="65" t="s">
        <v>182</v>
      </c>
      <c r="P10" s="65" t="s">
        <v>183</v>
      </c>
      <c r="Q10" s="65" t="s">
        <v>86</v>
      </c>
      <c r="R10" s="65" t="s">
        <v>1341</v>
      </c>
      <c r="S10" s="65" t="s">
        <v>46</v>
      </c>
      <c r="T10" s="65" t="s">
        <v>2274</v>
      </c>
      <c r="U10" s="65" t="s">
        <v>2300</v>
      </c>
      <c r="V10" s="65" t="s">
        <v>52</v>
      </c>
      <c r="W10" s="65" t="s">
        <v>1363</v>
      </c>
      <c r="X10" s="65" t="s">
        <v>2181</v>
      </c>
      <c r="Y10" s="183" t="s">
        <v>2301</v>
      </c>
      <c r="Z10" s="160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 t="s">
        <v>2064</v>
      </c>
      <c r="AZ10" s="65" t="s">
        <v>53</v>
      </c>
      <c r="BA10" s="65" t="s">
        <v>2053</v>
      </c>
      <c r="BB10" s="65" t="s">
        <v>2277</v>
      </c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302"/>
      <c r="CN10" s="65"/>
      <c r="CO10" s="65"/>
      <c r="CP10" s="65"/>
      <c r="CQ10" s="65"/>
      <c r="CR10" s="65"/>
      <c r="CS10" s="65"/>
      <c r="CT10" s="65"/>
      <c r="CU10" s="65"/>
      <c r="CV10" s="65"/>
      <c r="CW10" s="65"/>
      <c r="CX10" s="65"/>
      <c r="CY10" s="65"/>
      <c r="CZ10" s="65"/>
      <c r="DA10" s="65"/>
      <c r="DB10" s="65"/>
      <c r="DC10" s="65"/>
      <c r="DD10" s="65"/>
      <c r="DE10" s="65"/>
      <c r="DF10" s="65"/>
      <c r="DG10" s="65"/>
      <c r="DH10" s="65"/>
      <c r="DI10" s="65"/>
      <c r="DJ10" s="65"/>
      <c r="DK10" s="65"/>
      <c r="DL10" s="65"/>
      <c r="DM10" s="65"/>
      <c r="DN10" s="65"/>
      <c r="DO10" s="65"/>
      <c r="DP10" s="65"/>
      <c r="DQ10" s="65"/>
      <c r="DR10" s="65"/>
      <c r="DS10" s="65"/>
      <c r="DT10" s="65"/>
      <c r="DU10" s="65"/>
      <c r="DV10" s="65"/>
      <c r="DW10" s="423"/>
      <c r="DX10" s="303" t="s">
        <v>2279</v>
      </c>
      <c r="DY10" s="407"/>
      <c r="DZ10" s="303" t="s">
        <v>2279</v>
      </c>
    </row>
    <row r="11" spans="1:130" s="44" customFormat="1">
      <c r="A11" s="160" t="s">
        <v>2281</v>
      </c>
      <c r="B11" s="65" t="s">
        <v>58</v>
      </c>
      <c r="C11" s="65" t="s">
        <v>58</v>
      </c>
      <c r="D11" s="65" t="s">
        <v>58</v>
      </c>
      <c r="E11" s="160" t="s">
        <v>48</v>
      </c>
      <c r="F11" s="65" t="s">
        <v>115</v>
      </c>
      <c r="G11" s="44" t="s">
        <v>3100</v>
      </c>
      <c r="H11" s="44" t="s">
        <v>3100</v>
      </c>
      <c r="I11" s="65" t="s">
        <v>3100</v>
      </c>
      <c r="J11" s="344" t="s">
        <v>3101</v>
      </c>
      <c r="K11" s="344" t="s">
        <v>3101</v>
      </c>
      <c r="L11" s="65" t="s">
        <v>52</v>
      </c>
      <c r="M11" s="65" t="s">
        <v>2277</v>
      </c>
      <c r="N11" s="65" t="s">
        <v>1113</v>
      </c>
      <c r="O11" s="65" t="s">
        <v>182</v>
      </c>
      <c r="P11" s="65" t="s">
        <v>183</v>
      </c>
      <c r="Q11" s="65" t="s">
        <v>86</v>
      </c>
      <c r="R11" s="65" t="s">
        <v>59</v>
      </c>
      <c r="S11" s="65" t="s">
        <v>46</v>
      </c>
      <c r="T11" s="65" t="s">
        <v>2274</v>
      </c>
      <c r="U11" s="65" t="s">
        <v>126</v>
      </c>
      <c r="V11" s="65" t="s">
        <v>52</v>
      </c>
      <c r="W11" s="65" t="s">
        <v>1363</v>
      </c>
      <c r="X11" s="65" t="s">
        <v>2181</v>
      </c>
      <c r="Y11" s="183" t="s">
        <v>2302</v>
      </c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  <c r="AY11" s="65" t="s">
        <v>1244</v>
      </c>
      <c r="AZ11" s="65" t="s">
        <v>54</v>
      </c>
      <c r="BA11" s="65" t="s">
        <v>2053</v>
      </c>
      <c r="BB11" s="65" t="s">
        <v>2277</v>
      </c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65"/>
      <c r="BO11" s="65"/>
      <c r="BP11" s="65"/>
      <c r="BQ11" s="65"/>
      <c r="BR11" s="65"/>
      <c r="BS11" s="65"/>
      <c r="BT11" s="65"/>
      <c r="BU11" s="65"/>
      <c r="BV11" s="65"/>
      <c r="BW11" s="65"/>
      <c r="BX11" s="65"/>
      <c r="BY11" s="65"/>
      <c r="BZ11" s="65"/>
      <c r="CA11" s="65"/>
      <c r="CB11" s="65"/>
      <c r="CC11" s="65"/>
      <c r="CD11" s="65"/>
      <c r="CE11" s="65"/>
      <c r="CF11" s="65"/>
      <c r="CG11" s="65"/>
      <c r="CH11" s="65"/>
      <c r="CI11" s="65"/>
      <c r="CJ11" s="65"/>
      <c r="CK11" s="65"/>
      <c r="CL11" s="65"/>
      <c r="CM11" s="302"/>
      <c r="CN11" s="65"/>
      <c r="CO11" s="65"/>
      <c r="CP11" s="65"/>
      <c r="CQ11" s="65"/>
      <c r="CR11" s="65"/>
      <c r="CS11" s="65"/>
      <c r="CT11" s="65"/>
      <c r="CU11" s="65"/>
      <c r="CV11" s="65"/>
      <c r="CW11" s="65"/>
      <c r="CX11" s="65"/>
      <c r="CY11" s="65"/>
      <c r="CZ11" s="65"/>
      <c r="DA11" s="65"/>
      <c r="DB11" s="65"/>
      <c r="DC11" s="65"/>
      <c r="DD11" s="65"/>
      <c r="DE11" s="65"/>
      <c r="DF11" s="65"/>
      <c r="DG11" s="65"/>
      <c r="DH11" s="65"/>
      <c r="DI11" s="65"/>
      <c r="DJ11" s="65"/>
      <c r="DK11" s="65"/>
      <c r="DL11" s="65"/>
      <c r="DM11" s="65"/>
      <c r="DN11" s="65"/>
      <c r="DO11" s="65"/>
      <c r="DP11" s="65"/>
      <c r="DQ11" s="65"/>
      <c r="DR11" s="65"/>
      <c r="DS11" s="65"/>
      <c r="DT11" s="65"/>
      <c r="DU11" s="65"/>
      <c r="DV11" s="65"/>
      <c r="DW11" s="423"/>
      <c r="DX11" s="303" t="s">
        <v>2279</v>
      </c>
      <c r="DY11" s="407"/>
      <c r="DZ11" s="303" t="s">
        <v>2279</v>
      </c>
    </row>
    <row r="12" spans="1:130" s="44" customFormat="1">
      <c r="A12" s="160" t="s">
        <v>2281</v>
      </c>
      <c r="B12" s="65" t="s">
        <v>58</v>
      </c>
      <c r="C12" s="65" t="s">
        <v>58</v>
      </c>
      <c r="D12" s="65" t="s">
        <v>58</v>
      </c>
      <c r="E12" s="160" t="s">
        <v>48</v>
      </c>
      <c r="F12" s="65" t="s">
        <v>116</v>
      </c>
      <c r="G12" s="44" t="s">
        <v>3100</v>
      </c>
      <c r="H12" s="44" t="s">
        <v>3100</v>
      </c>
      <c r="I12" s="65" t="s">
        <v>3100</v>
      </c>
      <c r="J12" s="344" t="s">
        <v>3101</v>
      </c>
      <c r="K12" s="344" t="s">
        <v>3101</v>
      </c>
      <c r="L12" s="65" t="s">
        <v>52</v>
      </c>
      <c r="M12" s="65" t="s">
        <v>2277</v>
      </c>
      <c r="N12" s="65" t="s">
        <v>1113</v>
      </c>
      <c r="O12" s="65" t="s">
        <v>182</v>
      </c>
      <c r="P12" s="65" t="s">
        <v>183</v>
      </c>
      <c r="Q12" s="65" t="s">
        <v>86</v>
      </c>
      <c r="R12" s="65" t="s">
        <v>181</v>
      </c>
      <c r="S12" s="65" t="s">
        <v>46</v>
      </c>
      <c r="T12" s="65" t="s">
        <v>2274</v>
      </c>
      <c r="U12" s="65" t="s">
        <v>127</v>
      </c>
      <c r="V12" s="65" t="s">
        <v>52</v>
      </c>
      <c r="W12" s="65" t="s">
        <v>1363</v>
      </c>
      <c r="X12" s="65" t="s">
        <v>2181</v>
      </c>
      <c r="Y12" s="183" t="s">
        <v>1342</v>
      </c>
      <c r="Z12" s="271" t="s">
        <v>2303</v>
      </c>
      <c r="AA12" s="65" t="s">
        <v>53</v>
      </c>
      <c r="AB12" s="279" t="s">
        <v>1985</v>
      </c>
      <c r="AC12" s="65" t="s">
        <v>2183</v>
      </c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 t="s">
        <v>1254</v>
      </c>
      <c r="AZ12" s="65" t="s">
        <v>54</v>
      </c>
      <c r="BA12" s="65" t="s">
        <v>2053</v>
      </c>
      <c r="BB12" s="65" t="s">
        <v>2277</v>
      </c>
      <c r="BC12" s="65"/>
      <c r="BD12" s="65"/>
      <c r="BE12" s="65"/>
      <c r="BF12" s="65"/>
      <c r="BG12" s="65"/>
      <c r="BH12" s="65"/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65"/>
      <c r="BV12" s="65"/>
      <c r="BW12" s="65"/>
      <c r="BX12" s="65"/>
      <c r="BY12" s="65"/>
      <c r="BZ12" s="65"/>
      <c r="CA12" s="65"/>
      <c r="CB12" s="65"/>
      <c r="CC12" s="65"/>
      <c r="CD12" s="65"/>
      <c r="CE12" s="65"/>
      <c r="CF12" s="65"/>
      <c r="CG12" s="65"/>
      <c r="CH12" s="65"/>
      <c r="CI12" s="65"/>
      <c r="CJ12" s="65"/>
      <c r="CK12" s="65"/>
      <c r="CL12" s="65"/>
      <c r="CM12" s="302"/>
      <c r="CN12" s="65"/>
      <c r="CO12" s="65"/>
      <c r="CP12" s="65"/>
      <c r="CQ12" s="65"/>
      <c r="CR12" s="65"/>
      <c r="CS12" s="65"/>
      <c r="CT12" s="65"/>
      <c r="CU12" s="65"/>
      <c r="CV12" s="65"/>
      <c r="CW12" s="65"/>
      <c r="CX12" s="65"/>
      <c r="CY12" s="65"/>
      <c r="CZ12" s="65"/>
      <c r="DA12" s="65"/>
      <c r="DB12" s="65"/>
      <c r="DC12" s="65"/>
      <c r="DD12" s="65"/>
      <c r="DE12" s="65"/>
      <c r="DF12" s="65"/>
      <c r="DG12" s="65"/>
      <c r="DH12" s="65"/>
      <c r="DI12" s="65"/>
      <c r="DJ12" s="65"/>
      <c r="DK12" s="65"/>
      <c r="DL12" s="65"/>
      <c r="DM12" s="65"/>
      <c r="DN12" s="65"/>
      <c r="DO12" s="65"/>
      <c r="DP12" s="65"/>
      <c r="DQ12" s="65"/>
      <c r="DR12" s="65"/>
      <c r="DS12" s="65"/>
      <c r="DT12" s="65"/>
      <c r="DU12" s="65"/>
      <c r="DV12" s="65"/>
      <c r="DW12" s="423"/>
      <c r="DX12" s="303" t="s">
        <v>2279</v>
      </c>
      <c r="DY12" s="407"/>
      <c r="DZ12" s="303" t="s">
        <v>2279</v>
      </c>
    </row>
    <row r="13" spans="1:130" s="44" customFormat="1">
      <c r="A13" s="160" t="s">
        <v>2281</v>
      </c>
      <c r="B13" s="65" t="s">
        <v>58</v>
      </c>
      <c r="C13" s="65" t="s">
        <v>58</v>
      </c>
      <c r="D13" s="65" t="s">
        <v>58</v>
      </c>
      <c r="E13" s="160" t="s">
        <v>48</v>
      </c>
      <c r="F13" s="65" t="s">
        <v>117</v>
      </c>
      <c r="G13" s="44" t="s">
        <v>3100</v>
      </c>
      <c r="H13" s="44" t="s">
        <v>3100</v>
      </c>
      <c r="I13" s="65" t="s">
        <v>3100</v>
      </c>
      <c r="J13" s="344" t="s">
        <v>3101</v>
      </c>
      <c r="K13" s="344" t="s">
        <v>3101</v>
      </c>
      <c r="L13" s="65" t="s">
        <v>52</v>
      </c>
      <c r="M13" s="65" t="s">
        <v>2277</v>
      </c>
      <c r="N13" s="65" t="s">
        <v>1113</v>
      </c>
      <c r="O13" s="65" t="s">
        <v>182</v>
      </c>
      <c r="P13" s="65" t="s">
        <v>183</v>
      </c>
      <c r="Q13" s="65" t="s">
        <v>86</v>
      </c>
      <c r="R13" s="65" t="s">
        <v>107</v>
      </c>
      <c r="S13" s="65" t="s">
        <v>46</v>
      </c>
      <c r="T13" s="65" t="s">
        <v>2274</v>
      </c>
      <c r="U13" s="65" t="s">
        <v>128</v>
      </c>
      <c r="V13" s="65" t="s">
        <v>52</v>
      </c>
      <c r="W13" s="65" t="s">
        <v>1363</v>
      </c>
      <c r="X13" s="65" t="s">
        <v>2181</v>
      </c>
      <c r="Y13" s="183" t="s">
        <v>1343</v>
      </c>
      <c r="Z13" s="271" t="s">
        <v>2304</v>
      </c>
      <c r="AA13" s="65" t="s">
        <v>53</v>
      </c>
      <c r="AB13" s="279" t="s">
        <v>1986</v>
      </c>
      <c r="AC13" s="65" t="s">
        <v>2183</v>
      </c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/>
      <c r="AS13" s="65"/>
      <c r="AT13" s="65"/>
      <c r="AU13" s="65"/>
      <c r="AV13" s="65"/>
      <c r="AW13" s="65"/>
      <c r="AX13" s="65"/>
      <c r="AY13" s="65" t="s">
        <v>1253</v>
      </c>
      <c r="AZ13" s="65" t="s">
        <v>54</v>
      </c>
      <c r="BA13" s="65" t="s">
        <v>2053</v>
      </c>
      <c r="BB13" s="65" t="s">
        <v>2277</v>
      </c>
      <c r="BC13" s="65"/>
      <c r="BD13" s="65"/>
      <c r="BE13" s="65"/>
      <c r="BF13" s="65"/>
      <c r="BG13" s="65"/>
      <c r="BH13" s="65"/>
      <c r="BI13" s="65"/>
      <c r="BJ13" s="65"/>
      <c r="BK13" s="65"/>
      <c r="BL13" s="65"/>
      <c r="BM13" s="65"/>
      <c r="BN13" s="65"/>
      <c r="BO13" s="65"/>
      <c r="BP13" s="65"/>
      <c r="BQ13" s="65"/>
      <c r="BR13" s="65"/>
      <c r="BS13" s="65"/>
      <c r="BT13" s="65"/>
      <c r="BU13" s="65"/>
      <c r="BV13" s="65"/>
      <c r="BW13" s="65"/>
      <c r="BX13" s="65"/>
      <c r="BY13" s="65"/>
      <c r="BZ13" s="65"/>
      <c r="CA13" s="65"/>
      <c r="CB13" s="65"/>
      <c r="CC13" s="65"/>
      <c r="CD13" s="65"/>
      <c r="CE13" s="65"/>
      <c r="CF13" s="65"/>
      <c r="CG13" s="65"/>
      <c r="CH13" s="65"/>
      <c r="CI13" s="65"/>
      <c r="CJ13" s="65"/>
      <c r="CK13" s="65"/>
      <c r="CL13" s="65"/>
      <c r="CM13" s="302"/>
      <c r="CN13" s="65"/>
      <c r="CO13" s="65"/>
      <c r="CP13" s="65"/>
      <c r="CQ13" s="65"/>
      <c r="CR13" s="65"/>
      <c r="CS13" s="65"/>
      <c r="CT13" s="65"/>
      <c r="CU13" s="65"/>
      <c r="CV13" s="65"/>
      <c r="CW13" s="65"/>
      <c r="CX13" s="65"/>
      <c r="CY13" s="65"/>
      <c r="CZ13" s="65"/>
      <c r="DA13" s="65"/>
      <c r="DB13" s="65"/>
      <c r="DC13" s="65"/>
      <c r="DD13" s="65"/>
      <c r="DE13" s="65"/>
      <c r="DF13" s="65"/>
      <c r="DG13" s="65"/>
      <c r="DH13" s="65"/>
      <c r="DI13" s="65"/>
      <c r="DJ13" s="65"/>
      <c r="DK13" s="65"/>
      <c r="DL13" s="65"/>
      <c r="DM13" s="65"/>
      <c r="DN13" s="65"/>
      <c r="DO13" s="65"/>
      <c r="DP13" s="65"/>
      <c r="DQ13" s="65"/>
      <c r="DR13" s="65"/>
      <c r="DS13" s="65"/>
      <c r="DT13" s="65"/>
      <c r="DU13" s="65"/>
      <c r="DV13" s="65"/>
      <c r="DW13" s="423"/>
      <c r="DX13" s="303" t="s">
        <v>2279</v>
      </c>
      <c r="DY13" s="407"/>
      <c r="DZ13" s="303" t="s">
        <v>2279</v>
      </c>
    </row>
    <row r="14" spans="1:130" s="44" customFormat="1">
      <c r="A14" s="160" t="s">
        <v>2281</v>
      </c>
      <c r="B14" s="65" t="s">
        <v>58</v>
      </c>
      <c r="C14" s="65" t="s">
        <v>58</v>
      </c>
      <c r="D14" s="65" t="s">
        <v>58</v>
      </c>
      <c r="E14" s="160" t="s">
        <v>48</v>
      </c>
      <c r="F14" s="65" t="s">
        <v>118</v>
      </c>
      <c r="G14" s="44" t="s">
        <v>3100</v>
      </c>
      <c r="H14" s="44" t="s">
        <v>3100</v>
      </c>
      <c r="I14" s="65" t="s">
        <v>3100</v>
      </c>
      <c r="J14" s="344" t="s">
        <v>3101</v>
      </c>
      <c r="K14" s="344" t="s">
        <v>3101</v>
      </c>
      <c r="L14" s="65" t="s">
        <v>52</v>
      </c>
      <c r="M14" s="65" t="s">
        <v>2277</v>
      </c>
      <c r="N14" s="65" t="s">
        <v>1113</v>
      </c>
      <c r="O14" s="65" t="s">
        <v>182</v>
      </c>
      <c r="P14" s="65" t="s">
        <v>183</v>
      </c>
      <c r="Q14" s="65" t="s">
        <v>86</v>
      </c>
      <c r="R14" s="65" t="s">
        <v>765</v>
      </c>
      <c r="S14" s="65" t="s">
        <v>46</v>
      </c>
      <c r="T14" s="65" t="s">
        <v>2274</v>
      </c>
      <c r="U14" s="65" t="s">
        <v>129</v>
      </c>
      <c r="V14" s="65" t="s">
        <v>52</v>
      </c>
      <c r="W14" s="65" t="s">
        <v>1363</v>
      </c>
      <c r="X14" s="65" t="s">
        <v>2181</v>
      </c>
      <c r="Y14" s="183" t="s">
        <v>2305</v>
      </c>
      <c r="Z14" s="271" t="s">
        <v>2306</v>
      </c>
      <c r="AA14" s="65" t="s">
        <v>53</v>
      </c>
      <c r="AB14" s="279" t="s">
        <v>1987</v>
      </c>
      <c r="AC14" s="65" t="s">
        <v>2183</v>
      </c>
      <c r="AD14" s="65"/>
      <c r="AE14" s="65"/>
      <c r="AF14" s="65"/>
      <c r="AG14" s="65"/>
      <c r="AH14" s="65"/>
      <c r="AI14" s="65"/>
      <c r="AJ14" s="65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5"/>
      <c r="AV14" s="65"/>
      <c r="AW14" s="65"/>
      <c r="AX14" s="65"/>
      <c r="AY14" s="65" t="s">
        <v>1252</v>
      </c>
      <c r="AZ14" s="65" t="s">
        <v>54</v>
      </c>
      <c r="BA14" s="65" t="s">
        <v>2053</v>
      </c>
      <c r="BB14" s="65" t="s">
        <v>2277</v>
      </c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N14" s="65"/>
      <c r="BO14" s="65"/>
      <c r="BP14" s="65"/>
      <c r="BQ14" s="65"/>
      <c r="BR14" s="65"/>
      <c r="BS14" s="65"/>
      <c r="BT14" s="65"/>
      <c r="BU14" s="65"/>
      <c r="BV14" s="65"/>
      <c r="BW14" s="65"/>
      <c r="BX14" s="65"/>
      <c r="BY14" s="65"/>
      <c r="BZ14" s="65"/>
      <c r="CA14" s="65"/>
      <c r="CB14" s="65"/>
      <c r="CC14" s="65"/>
      <c r="CD14" s="65"/>
      <c r="CE14" s="65"/>
      <c r="CF14" s="65"/>
      <c r="CG14" s="65"/>
      <c r="CH14" s="65"/>
      <c r="CI14" s="65"/>
      <c r="CJ14" s="65"/>
      <c r="CK14" s="65"/>
      <c r="CL14" s="65"/>
      <c r="CM14" s="302"/>
      <c r="CN14" s="65"/>
      <c r="CO14" s="65"/>
      <c r="CP14" s="65"/>
      <c r="CQ14" s="65"/>
      <c r="CR14" s="65"/>
      <c r="CS14" s="65"/>
      <c r="CT14" s="65"/>
      <c r="CU14" s="65"/>
      <c r="CV14" s="65"/>
      <c r="CW14" s="65"/>
      <c r="CX14" s="65"/>
      <c r="CY14" s="65"/>
      <c r="CZ14" s="65"/>
      <c r="DA14" s="65"/>
      <c r="DB14" s="65"/>
      <c r="DC14" s="65"/>
      <c r="DD14" s="65"/>
      <c r="DE14" s="65"/>
      <c r="DF14" s="65"/>
      <c r="DG14" s="65"/>
      <c r="DH14" s="65"/>
      <c r="DI14" s="65"/>
      <c r="DJ14" s="65"/>
      <c r="DK14" s="65"/>
      <c r="DL14" s="65"/>
      <c r="DM14" s="65"/>
      <c r="DN14" s="65"/>
      <c r="DO14" s="65"/>
      <c r="DP14" s="65"/>
      <c r="DQ14" s="65"/>
      <c r="DR14" s="65"/>
      <c r="DS14" s="65"/>
      <c r="DT14" s="65"/>
      <c r="DU14" s="65"/>
      <c r="DV14" s="65"/>
      <c r="DW14" s="423"/>
      <c r="DX14" s="303" t="s">
        <v>2279</v>
      </c>
      <c r="DY14" s="407"/>
      <c r="DZ14" s="303" t="s">
        <v>2279</v>
      </c>
    </row>
    <row r="15" spans="1:130" s="44" customFormat="1">
      <c r="A15" s="160" t="s">
        <v>2281</v>
      </c>
      <c r="B15" s="65" t="s">
        <v>58</v>
      </c>
      <c r="C15" s="65" t="s">
        <v>58</v>
      </c>
      <c r="D15" s="65" t="s">
        <v>58</v>
      </c>
      <c r="E15" s="160" t="s">
        <v>48</v>
      </c>
      <c r="F15" s="65" t="s">
        <v>119</v>
      </c>
      <c r="G15" s="44" t="s">
        <v>3100</v>
      </c>
      <c r="H15" s="44" t="s">
        <v>3100</v>
      </c>
      <c r="I15" s="65" t="s">
        <v>3100</v>
      </c>
      <c r="J15" s="344" t="s">
        <v>3101</v>
      </c>
      <c r="K15" s="344" t="s">
        <v>3101</v>
      </c>
      <c r="L15" s="65" t="s">
        <v>52</v>
      </c>
      <c r="M15" s="65" t="s">
        <v>2277</v>
      </c>
      <c r="N15" s="65" t="s">
        <v>1113</v>
      </c>
      <c r="O15" s="65" t="s">
        <v>182</v>
      </c>
      <c r="P15" s="65" t="s">
        <v>183</v>
      </c>
      <c r="Q15" s="65" t="s">
        <v>86</v>
      </c>
      <c r="R15" s="65" t="s">
        <v>1061</v>
      </c>
      <c r="S15" s="65" t="s">
        <v>46</v>
      </c>
      <c r="T15" s="65" t="s">
        <v>2274</v>
      </c>
      <c r="U15" s="65" t="s">
        <v>130</v>
      </c>
      <c r="V15" s="65" t="s">
        <v>52</v>
      </c>
      <c r="W15" s="65" t="s">
        <v>1363</v>
      </c>
      <c r="X15" s="65" t="s">
        <v>2181</v>
      </c>
      <c r="Y15" s="183" t="s">
        <v>1344</v>
      </c>
      <c r="Z15" s="271" t="s">
        <v>2307</v>
      </c>
      <c r="AA15" s="65" t="s">
        <v>53</v>
      </c>
      <c r="AB15" s="279" t="s">
        <v>1988</v>
      </c>
      <c r="AC15" s="65" t="s">
        <v>2183</v>
      </c>
      <c r="AD15" s="65"/>
      <c r="AE15" s="65"/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/>
      <c r="AS15" s="65"/>
      <c r="AT15" s="65"/>
      <c r="AU15" s="65"/>
      <c r="AV15" s="65"/>
      <c r="AW15" s="65"/>
      <c r="AX15" s="65"/>
      <c r="AY15" s="65" t="s">
        <v>1251</v>
      </c>
      <c r="AZ15" s="65" t="s">
        <v>54</v>
      </c>
      <c r="BA15" s="65" t="s">
        <v>2053</v>
      </c>
      <c r="BB15" s="65" t="s">
        <v>2277</v>
      </c>
      <c r="BC15" s="65"/>
      <c r="BD15" s="65"/>
      <c r="BE15" s="65"/>
      <c r="BF15" s="65"/>
      <c r="BG15" s="65"/>
      <c r="BH15" s="65"/>
      <c r="BI15" s="65"/>
      <c r="BJ15" s="65"/>
      <c r="BK15" s="65"/>
      <c r="BL15" s="65"/>
      <c r="BM15" s="65"/>
      <c r="BN15" s="65"/>
      <c r="BO15" s="65"/>
      <c r="BP15" s="65"/>
      <c r="BQ15" s="65"/>
      <c r="BR15" s="65"/>
      <c r="BS15" s="65"/>
      <c r="BT15" s="65"/>
      <c r="BU15" s="65"/>
      <c r="BV15" s="65"/>
      <c r="BW15" s="65"/>
      <c r="BX15" s="65"/>
      <c r="BY15" s="65"/>
      <c r="BZ15" s="65"/>
      <c r="CA15" s="65"/>
      <c r="CB15" s="65"/>
      <c r="CC15" s="65"/>
      <c r="CD15" s="65"/>
      <c r="CE15" s="65"/>
      <c r="CF15" s="65"/>
      <c r="CG15" s="65"/>
      <c r="CH15" s="65"/>
      <c r="CI15" s="65"/>
      <c r="CJ15" s="65"/>
      <c r="CK15" s="65"/>
      <c r="CL15" s="65"/>
      <c r="CM15" s="302"/>
      <c r="CN15" s="65"/>
      <c r="CO15" s="65"/>
      <c r="CP15" s="65"/>
      <c r="CQ15" s="65"/>
      <c r="CR15" s="65"/>
      <c r="CS15" s="65"/>
      <c r="CT15" s="65"/>
      <c r="CU15" s="65"/>
      <c r="CV15" s="65"/>
      <c r="CW15" s="65"/>
      <c r="CX15" s="65"/>
      <c r="CY15" s="65"/>
      <c r="CZ15" s="65"/>
      <c r="DA15" s="65"/>
      <c r="DB15" s="65"/>
      <c r="DC15" s="65"/>
      <c r="DD15" s="65"/>
      <c r="DE15" s="65"/>
      <c r="DF15" s="65"/>
      <c r="DG15" s="65"/>
      <c r="DH15" s="65"/>
      <c r="DI15" s="65"/>
      <c r="DJ15" s="65"/>
      <c r="DK15" s="65"/>
      <c r="DL15" s="65"/>
      <c r="DM15" s="65"/>
      <c r="DN15" s="65"/>
      <c r="DO15" s="65"/>
      <c r="DP15" s="65"/>
      <c r="DQ15" s="65"/>
      <c r="DR15" s="65"/>
      <c r="DS15" s="65"/>
      <c r="DT15" s="65"/>
      <c r="DU15" s="65"/>
      <c r="DV15" s="65"/>
      <c r="DW15" s="423"/>
      <c r="DX15" s="303" t="s">
        <v>2279</v>
      </c>
      <c r="DY15" s="407"/>
      <c r="DZ15" s="303" t="s">
        <v>2279</v>
      </c>
    </row>
    <row r="16" spans="1:130" s="44" customFormat="1">
      <c r="A16" s="160" t="s">
        <v>2281</v>
      </c>
      <c r="B16" s="65" t="s">
        <v>58</v>
      </c>
      <c r="C16" s="65" t="s">
        <v>58</v>
      </c>
      <c r="D16" s="65" t="s">
        <v>58</v>
      </c>
      <c r="E16" s="160" t="s">
        <v>48</v>
      </c>
      <c r="F16" s="65" t="s">
        <v>120</v>
      </c>
      <c r="G16" s="44" t="s">
        <v>3100</v>
      </c>
      <c r="H16" s="44" t="s">
        <v>3100</v>
      </c>
      <c r="I16" s="65" t="s">
        <v>3100</v>
      </c>
      <c r="J16" s="344" t="s">
        <v>3101</v>
      </c>
      <c r="K16" s="344" t="s">
        <v>3101</v>
      </c>
      <c r="L16" s="65" t="s">
        <v>52</v>
      </c>
      <c r="M16" s="65" t="s">
        <v>2277</v>
      </c>
      <c r="N16" s="65" t="s">
        <v>1113</v>
      </c>
      <c r="O16" s="65" t="s">
        <v>182</v>
      </c>
      <c r="P16" s="65" t="s">
        <v>183</v>
      </c>
      <c r="Q16" s="65" t="s">
        <v>86</v>
      </c>
      <c r="R16" s="65" t="s">
        <v>703</v>
      </c>
      <c r="S16" s="65" t="s">
        <v>46</v>
      </c>
      <c r="T16" s="65" t="s">
        <v>2274</v>
      </c>
      <c r="U16" s="65" t="s">
        <v>131</v>
      </c>
      <c r="V16" s="65" t="s">
        <v>52</v>
      </c>
      <c r="W16" s="65" t="s">
        <v>1363</v>
      </c>
      <c r="X16" s="65" t="s">
        <v>2181</v>
      </c>
      <c r="Y16" s="183" t="s">
        <v>1345</v>
      </c>
      <c r="Z16" s="271" t="s">
        <v>2308</v>
      </c>
      <c r="AA16" s="65" t="s">
        <v>54</v>
      </c>
      <c r="AB16" s="279" t="s">
        <v>1372</v>
      </c>
      <c r="AC16" s="65" t="s">
        <v>2183</v>
      </c>
      <c r="AD16" s="65"/>
      <c r="AE16" s="65"/>
      <c r="AF16" s="65"/>
      <c r="AG16" s="65"/>
      <c r="AH16" s="65"/>
      <c r="AI16" s="65"/>
      <c r="AJ16" s="156"/>
      <c r="AK16" s="202"/>
      <c r="AL16" s="202"/>
      <c r="AM16" s="204"/>
      <c r="AN16" s="268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 t="s">
        <v>1250</v>
      </c>
      <c r="AZ16" s="65" t="s">
        <v>54</v>
      </c>
      <c r="BA16" s="65" t="s">
        <v>2053</v>
      </c>
      <c r="BB16" s="65" t="s">
        <v>2277</v>
      </c>
      <c r="BC16" s="65"/>
      <c r="BD16" s="65"/>
      <c r="BE16" s="65"/>
      <c r="BF16" s="65"/>
      <c r="BG16" s="65"/>
      <c r="BH16" s="65"/>
      <c r="BI16" s="65"/>
      <c r="BJ16" s="65"/>
      <c r="BK16" s="65"/>
      <c r="BL16" s="65"/>
      <c r="BM16" s="65"/>
      <c r="BN16" s="65"/>
      <c r="BO16" s="65"/>
      <c r="BP16" s="65"/>
      <c r="BQ16" s="65"/>
      <c r="BR16" s="65"/>
      <c r="BS16" s="65"/>
      <c r="BT16" s="65"/>
      <c r="BU16" s="65"/>
      <c r="BV16" s="65"/>
      <c r="BW16" s="65"/>
      <c r="BX16" s="65"/>
      <c r="BY16" s="65"/>
      <c r="BZ16" s="65"/>
      <c r="CA16" s="65"/>
      <c r="CB16" s="65"/>
      <c r="CC16" s="65"/>
      <c r="CD16" s="65"/>
      <c r="CE16" s="65"/>
      <c r="CF16" s="65"/>
      <c r="CG16" s="65"/>
      <c r="CH16" s="65"/>
      <c r="CI16" s="65"/>
      <c r="CJ16" s="65"/>
      <c r="CK16" s="65"/>
      <c r="CL16" s="65"/>
      <c r="CM16" s="302"/>
      <c r="CN16" s="65"/>
      <c r="CO16" s="65"/>
      <c r="CP16" s="65"/>
      <c r="CQ16" s="65"/>
      <c r="CR16" s="65"/>
      <c r="CS16" s="65"/>
      <c r="CT16" s="65"/>
      <c r="CU16" s="65"/>
      <c r="CV16" s="65"/>
      <c r="CW16" s="65"/>
      <c r="CX16" s="65"/>
      <c r="CY16" s="65"/>
      <c r="CZ16" s="65"/>
      <c r="DA16" s="65"/>
      <c r="DB16" s="65"/>
      <c r="DC16" s="65"/>
      <c r="DD16" s="65"/>
      <c r="DE16" s="65"/>
      <c r="DF16" s="65"/>
      <c r="DG16" s="65"/>
      <c r="DH16" s="65"/>
      <c r="DI16" s="65"/>
      <c r="DJ16" s="65"/>
      <c r="DK16" s="65"/>
      <c r="DL16" s="65"/>
      <c r="DM16" s="65"/>
      <c r="DN16" s="65"/>
      <c r="DO16" s="65"/>
      <c r="DP16" s="65"/>
      <c r="DQ16" s="65"/>
      <c r="DR16" s="65"/>
      <c r="DS16" s="65"/>
      <c r="DT16" s="65"/>
      <c r="DU16" s="65"/>
      <c r="DV16" s="65"/>
      <c r="DW16" s="423"/>
      <c r="DX16" s="303" t="s">
        <v>2279</v>
      </c>
      <c r="DY16" s="407"/>
      <c r="DZ16" s="303" t="s">
        <v>2279</v>
      </c>
    </row>
    <row r="17" spans="1:130" s="44" customFormat="1">
      <c r="A17" s="160" t="s">
        <v>2281</v>
      </c>
      <c r="B17" s="65" t="s">
        <v>58</v>
      </c>
      <c r="C17" s="65" t="s">
        <v>58</v>
      </c>
      <c r="D17" s="65" t="s">
        <v>58</v>
      </c>
      <c r="E17" s="160" t="s">
        <v>48</v>
      </c>
      <c r="F17" s="65" t="s">
        <v>121</v>
      </c>
      <c r="G17" s="44" t="s">
        <v>3100</v>
      </c>
      <c r="H17" s="44" t="s">
        <v>3100</v>
      </c>
      <c r="I17" s="65" t="s">
        <v>3100</v>
      </c>
      <c r="J17" s="344" t="s">
        <v>3101</v>
      </c>
      <c r="K17" s="344" t="s">
        <v>3101</v>
      </c>
      <c r="L17" s="65" t="s">
        <v>52</v>
      </c>
      <c r="M17" s="65" t="s">
        <v>2277</v>
      </c>
      <c r="N17" s="65" t="s">
        <v>1113</v>
      </c>
      <c r="O17" s="65" t="s">
        <v>182</v>
      </c>
      <c r="P17" s="65" t="s">
        <v>183</v>
      </c>
      <c r="Q17" s="65" t="s">
        <v>86</v>
      </c>
      <c r="R17" s="65" t="s">
        <v>60</v>
      </c>
      <c r="S17" s="65" t="s">
        <v>46</v>
      </c>
      <c r="T17" s="65" t="s">
        <v>2274</v>
      </c>
      <c r="U17" s="65" t="s">
        <v>132</v>
      </c>
      <c r="V17" s="65" t="s">
        <v>52</v>
      </c>
      <c r="W17" s="65" t="s">
        <v>1363</v>
      </c>
      <c r="X17" s="65" t="s">
        <v>2181</v>
      </c>
      <c r="Y17" s="183" t="s">
        <v>1346</v>
      </c>
      <c r="Z17" s="271" t="s">
        <v>2309</v>
      </c>
      <c r="AA17" s="65" t="s">
        <v>54</v>
      </c>
      <c r="AB17" s="279" t="s">
        <v>2310</v>
      </c>
      <c r="AC17" s="65" t="s">
        <v>2183</v>
      </c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  <c r="AW17" s="65"/>
      <c r="AX17" s="65"/>
      <c r="AY17" s="65" t="s">
        <v>1241</v>
      </c>
      <c r="AZ17" s="65" t="s">
        <v>54</v>
      </c>
      <c r="BA17" s="65" t="s">
        <v>2053</v>
      </c>
      <c r="BB17" s="65" t="s">
        <v>2277</v>
      </c>
      <c r="BC17" s="65"/>
      <c r="BD17" s="65"/>
      <c r="BE17" s="65"/>
      <c r="BF17" s="65"/>
      <c r="BG17" s="65"/>
      <c r="BH17" s="65"/>
      <c r="BI17" s="65"/>
      <c r="BJ17" s="65"/>
      <c r="BK17" s="65"/>
      <c r="BL17" s="65"/>
      <c r="BM17" s="65"/>
      <c r="BN17" s="65"/>
      <c r="BO17" s="65"/>
      <c r="BP17" s="65"/>
      <c r="BQ17" s="65"/>
      <c r="BR17" s="65"/>
      <c r="BS17" s="65"/>
      <c r="BT17" s="65"/>
      <c r="BU17" s="65"/>
      <c r="BV17" s="65"/>
      <c r="BW17" s="65"/>
      <c r="BX17" s="65"/>
      <c r="BY17" s="65"/>
      <c r="BZ17" s="65"/>
      <c r="CA17" s="65"/>
      <c r="CB17" s="65"/>
      <c r="CC17" s="65"/>
      <c r="CD17" s="65"/>
      <c r="CE17" s="65"/>
      <c r="CF17" s="65"/>
      <c r="CG17" s="65"/>
      <c r="CH17" s="65"/>
      <c r="CI17" s="65"/>
      <c r="CJ17" s="65"/>
      <c r="CK17" s="65"/>
      <c r="CL17" s="65"/>
      <c r="CM17" s="302"/>
      <c r="CN17" s="65"/>
      <c r="CO17" s="65"/>
      <c r="CP17" s="65"/>
      <c r="CQ17" s="65"/>
      <c r="CR17" s="65"/>
      <c r="CS17" s="65"/>
      <c r="CT17" s="65"/>
      <c r="CU17" s="65"/>
      <c r="CV17" s="65"/>
      <c r="CW17" s="65"/>
      <c r="CX17" s="65"/>
      <c r="CY17" s="65"/>
      <c r="CZ17" s="65"/>
      <c r="DA17" s="65"/>
      <c r="DB17" s="65"/>
      <c r="DC17" s="65"/>
      <c r="DD17" s="65"/>
      <c r="DE17" s="65"/>
      <c r="DF17" s="65"/>
      <c r="DG17" s="65"/>
      <c r="DH17" s="65"/>
      <c r="DI17" s="65"/>
      <c r="DJ17" s="65"/>
      <c r="DK17" s="65"/>
      <c r="DL17" s="65"/>
      <c r="DM17" s="65"/>
      <c r="DN17" s="65"/>
      <c r="DO17" s="65"/>
      <c r="DP17" s="65"/>
      <c r="DQ17" s="65"/>
      <c r="DR17" s="65"/>
      <c r="DS17" s="65"/>
      <c r="DT17" s="65"/>
      <c r="DU17" s="65"/>
      <c r="DV17" s="65"/>
      <c r="DW17" s="423"/>
      <c r="DX17" s="303" t="s">
        <v>2279</v>
      </c>
      <c r="DY17" s="407"/>
      <c r="DZ17" s="303" t="s">
        <v>2279</v>
      </c>
    </row>
    <row r="18" spans="1:130" s="44" customFormat="1">
      <c r="A18" s="160" t="s">
        <v>2281</v>
      </c>
      <c r="B18" s="65" t="s">
        <v>58</v>
      </c>
      <c r="C18" s="65" t="s">
        <v>58</v>
      </c>
      <c r="D18" s="65" t="s">
        <v>58</v>
      </c>
      <c r="E18" s="65" t="s">
        <v>48</v>
      </c>
      <c r="F18" s="65" t="s">
        <v>2311</v>
      </c>
      <c r="G18" s="44" t="s">
        <v>3100</v>
      </c>
      <c r="H18" s="44" t="s">
        <v>3124</v>
      </c>
      <c r="I18" s="65" t="s">
        <v>3100</v>
      </c>
      <c r="J18" s="344" t="s">
        <v>3101</v>
      </c>
      <c r="K18" s="344" t="s">
        <v>3101</v>
      </c>
      <c r="L18" s="65" t="s">
        <v>52</v>
      </c>
      <c r="M18" s="65" t="s">
        <v>2277</v>
      </c>
      <c r="N18" s="65" t="s">
        <v>1113</v>
      </c>
      <c r="O18" s="65" t="s">
        <v>182</v>
      </c>
      <c r="P18" s="65" t="s">
        <v>183</v>
      </c>
      <c r="Q18" s="65" t="s">
        <v>86</v>
      </c>
      <c r="R18" s="65" t="s">
        <v>61</v>
      </c>
      <c r="S18" s="65" t="s">
        <v>46</v>
      </c>
      <c r="T18" s="65" t="s">
        <v>2274</v>
      </c>
      <c r="U18" s="65" t="s">
        <v>2312</v>
      </c>
      <c r="V18" s="65" t="s">
        <v>52</v>
      </c>
      <c r="W18" s="65" t="s">
        <v>2313</v>
      </c>
      <c r="X18" s="65" t="s">
        <v>2183</v>
      </c>
      <c r="Y18" s="183"/>
      <c r="Z18" s="65" t="s">
        <v>2314</v>
      </c>
      <c r="AA18" s="65" t="s">
        <v>52</v>
      </c>
      <c r="AB18" s="65" t="s">
        <v>2315</v>
      </c>
      <c r="AC18" s="65" t="s">
        <v>2181</v>
      </c>
      <c r="AD18" s="65" t="s">
        <v>2316</v>
      </c>
      <c r="AE18" s="65" t="s">
        <v>2317</v>
      </c>
      <c r="AF18" s="65" t="s">
        <v>53</v>
      </c>
      <c r="AG18" s="65" t="s">
        <v>2318</v>
      </c>
      <c r="AH18" s="65" t="s">
        <v>2181</v>
      </c>
      <c r="AI18" s="65"/>
      <c r="AJ18" s="65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5"/>
      <c r="AV18" s="65"/>
      <c r="AW18" s="65"/>
      <c r="AX18" s="65"/>
      <c r="AY18" s="65" t="s">
        <v>1243</v>
      </c>
      <c r="AZ18" s="65" t="s">
        <v>54</v>
      </c>
      <c r="BA18" s="65" t="s">
        <v>2053</v>
      </c>
      <c r="BB18" s="65" t="s">
        <v>2277</v>
      </c>
      <c r="BC18" s="183"/>
      <c r="BD18" s="65"/>
      <c r="BE18" s="65"/>
      <c r="BF18" s="65"/>
      <c r="BG18" s="65"/>
      <c r="BH18" s="65"/>
      <c r="BI18" s="65"/>
      <c r="BJ18" s="65"/>
      <c r="BK18" s="65"/>
      <c r="BL18" s="65"/>
      <c r="BM18" s="65"/>
      <c r="BN18" s="65"/>
      <c r="BO18" s="65"/>
      <c r="BP18" s="65"/>
      <c r="BQ18" s="65"/>
      <c r="BR18" s="65"/>
      <c r="BS18" s="65"/>
      <c r="BT18" s="65"/>
      <c r="BU18" s="65"/>
      <c r="BV18" s="65"/>
      <c r="BW18" s="65"/>
      <c r="BX18" s="65"/>
      <c r="BY18" s="65"/>
      <c r="BZ18" s="65"/>
      <c r="CA18" s="65"/>
      <c r="CB18" s="65"/>
      <c r="CC18" s="65"/>
      <c r="CD18" s="65"/>
      <c r="CE18" s="65"/>
      <c r="CF18" s="65"/>
      <c r="CG18" s="65"/>
      <c r="CH18" s="65"/>
      <c r="CI18" s="65"/>
      <c r="CJ18" s="65"/>
      <c r="CK18" s="65"/>
      <c r="CL18" s="65"/>
      <c r="CM18" s="65"/>
      <c r="CN18" s="65"/>
      <c r="CO18" s="65"/>
      <c r="CP18" s="65"/>
      <c r="CQ18" s="65"/>
      <c r="CR18" s="174"/>
      <c r="CS18" s="65"/>
      <c r="CT18" s="65"/>
      <c r="CU18" s="65"/>
      <c r="CV18" s="65"/>
      <c r="CW18" s="156"/>
      <c r="CX18" s="202"/>
      <c r="CY18" s="202"/>
      <c r="CZ18" s="202"/>
      <c r="DA18" s="268"/>
      <c r="DB18" s="65"/>
      <c r="DC18" s="65"/>
      <c r="DD18" s="65"/>
      <c r="DE18" s="65"/>
      <c r="DF18" s="65"/>
      <c r="DG18" s="65"/>
      <c r="DH18" s="65"/>
      <c r="DI18" s="65"/>
      <c r="DJ18" s="65"/>
      <c r="DK18" s="183"/>
      <c r="DL18" s="65"/>
      <c r="DM18" s="65"/>
      <c r="DN18" s="65"/>
      <c r="DO18" s="65"/>
      <c r="DP18" s="65"/>
      <c r="DQ18" s="65"/>
      <c r="DR18" s="65"/>
      <c r="DS18" s="65"/>
      <c r="DT18" s="65"/>
      <c r="DU18" s="65"/>
      <c r="DV18" s="65"/>
      <c r="DW18" s="424"/>
      <c r="DX18" s="303" t="s">
        <v>2279</v>
      </c>
      <c r="DY18" s="408"/>
      <c r="DZ18" s="303" t="s">
        <v>2279</v>
      </c>
    </row>
    <row r="19" spans="1:130">
      <c r="A19" s="218" t="s">
        <v>2319</v>
      </c>
      <c r="B19" s="150"/>
      <c r="C19" s="150"/>
      <c r="D19" s="150"/>
      <c r="E19" s="150"/>
      <c r="F19" s="150"/>
      <c r="G19" s="343"/>
      <c r="H19" s="343"/>
      <c r="I19" s="343"/>
      <c r="J19" s="343"/>
      <c r="K19" s="343"/>
      <c r="L19" s="38"/>
      <c r="M19" s="38"/>
      <c r="N19" s="38"/>
      <c r="O19" s="38"/>
      <c r="P19" s="38"/>
      <c r="Q19" s="38"/>
      <c r="R19" s="38"/>
      <c r="S19" s="38"/>
      <c r="T19" s="36"/>
      <c r="U19" s="36"/>
      <c r="V19" s="36"/>
      <c r="W19" s="36"/>
      <c r="X19" s="36"/>
      <c r="Y19" s="148"/>
      <c r="Z19" s="36"/>
      <c r="AA19" s="36"/>
      <c r="AB19" s="304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  <c r="DW19" s="300"/>
      <c r="DX19" s="300"/>
      <c r="DY19" s="300"/>
      <c r="DZ19" s="300"/>
    </row>
    <row r="20" spans="1:130" s="44" customFormat="1">
      <c r="A20" s="160" t="s">
        <v>666</v>
      </c>
      <c r="B20" s="65" t="s">
        <v>58</v>
      </c>
      <c r="C20" s="65" t="s">
        <v>58</v>
      </c>
      <c r="D20" s="65" t="s">
        <v>58</v>
      </c>
      <c r="E20" s="65" t="s">
        <v>48</v>
      </c>
      <c r="F20" s="65" t="s">
        <v>2320</v>
      </c>
      <c r="G20" s="44" t="s">
        <v>3141</v>
      </c>
      <c r="H20" s="44" t="s">
        <v>3124</v>
      </c>
      <c r="I20" s="65" t="s">
        <v>3100</v>
      </c>
      <c r="J20" s="344" t="s">
        <v>3101</v>
      </c>
      <c r="K20" s="344" t="s">
        <v>3101</v>
      </c>
      <c r="L20" s="65" t="s">
        <v>52</v>
      </c>
      <c r="M20" s="65" t="s">
        <v>2277</v>
      </c>
      <c r="N20" s="65" t="s">
        <v>1113</v>
      </c>
      <c r="O20" s="65" t="s">
        <v>182</v>
      </c>
      <c r="P20" s="65" t="s">
        <v>2321</v>
      </c>
      <c r="Q20" s="65" t="s">
        <v>86</v>
      </c>
      <c r="R20" s="65" t="s">
        <v>2322</v>
      </c>
      <c r="S20" s="65" t="s">
        <v>46</v>
      </c>
      <c r="T20" s="65" t="s">
        <v>1123</v>
      </c>
      <c r="U20" s="65" t="s">
        <v>2323</v>
      </c>
      <c r="V20" s="65" t="s">
        <v>54</v>
      </c>
      <c r="W20" s="65" t="s">
        <v>2324</v>
      </c>
      <c r="X20" s="65" t="s">
        <v>2325</v>
      </c>
      <c r="Y20" s="157" t="s">
        <v>2326</v>
      </c>
      <c r="Z20" s="65" t="s">
        <v>2327</v>
      </c>
      <c r="AA20" s="65" t="s">
        <v>52</v>
      </c>
      <c r="AB20" s="65" t="s">
        <v>2328</v>
      </c>
      <c r="AC20" s="65" t="s">
        <v>2190</v>
      </c>
      <c r="AD20" s="65"/>
      <c r="AE20" s="156" t="s">
        <v>2329</v>
      </c>
      <c r="AF20" s="156" t="s">
        <v>53</v>
      </c>
      <c r="AG20" s="160" t="s">
        <v>2330</v>
      </c>
      <c r="AH20" s="65" t="s">
        <v>2325</v>
      </c>
      <c r="AI20" s="65"/>
      <c r="AJ20" s="65"/>
      <c r="AK20" s="65"/>
      <c r="AL20" s="65"/>
      <c r="AM20" s="65"/>
      <c r="AN20" s="65"/>
      <c r="AO20" s="65"/>
      <c r="AP20" s="65"/>
      <c r="AQ20" s="65"/>
      <c r="AR20" s="65"/>
      <c r="AS20" s="65"/>
      <c r="AT20" s="275" t="s">
        <v>2017</v>
      </c>
      <c r="AU20" s="65" t="s">
        <v>53</v>
      </c>
      <c r="AV20" s="65" t="s">
        <v>2054</v>
      </c>
      <c r="AW20" s="65" t="s">
        <v>2178</v>
      </c>
      <c r="AX20" s="65"/>
      <c r="AY20" s="65" t="s">
        <v>1276</v>
      </c>
      <c r="AZ20" s="65" t="s">
        <v>54</v>
      </c>
      <c r="BA20" s="65" t="s">
        <v>2053</v>
      </c>
      <c r="BB20" s="65" t="s">
        <v>2277</v>
      </c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O20" s="65"/>
      <c r="BP20" s="65"/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E20" s="65"/>
      <c r="CF20" s="65"/>
      <c r="CG20" s="65"/>
      <c r="CH20" s="65"/>
      <c r="CI20" s="65"/>
      <c r="CJ20" s="65"/>
      <c r="CK20" s="65"/>
      <c r="CL20" s="65"/>
      <c r="CM20" s="174"/>
      <c r="CN20" s="65"/>
      <c r="CO20" s="65"/>
      <c r="CP20" s="65"/>
      <c r="CQ20" s="65"/>
      <c r="CR20" s="65"/>
      <c r="CS20" s="65"/>
      <c r="CT20" s="65"/>
      <c r="CU20" s="65"/>
      <c r="CV20" s="65"/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K20" s="65"/>
      <c r="DL20" s="65"/>
      <c r="DM20" s="65"/>
      <c r="DN20" s="65"/>
      <c r="DO20" s="65"/>
      <c r="DP20" s="65"/>
      <c r="DQ20" s="65"/>
      <c r="DR20" s="65"/>
      <c r="DS20" s="65"/>
      <c r="DT20" s="65"/>
      <c r="DU20" s="65"/>
      <c r="DV20" s="65"/>
      <c r="DW20" s="406" t="s">
        <v>2331</v>
      </c>
      <c r="DX20" s="303" t="s">
        <v>2279</v>
      </c>
      <c r="DY20" s="406" t="s">
        <v>2280</v>
      </c>
      <c r="DZ20" s="303" t="s">
        <v>2279</v>
      </c>
    </row>
    <row r="21" spans="1:130" s="44" customFormat="1">
      <c r="A21" s="160" t="s">
        <v>2281</v>
      </c>
      <c r="B21" s="65" t="s">
        <v>58</v>
      </c>
      <c r="C21" s="65" t="s">
        <v>58</v>
      </c>
      <c r="D21" s="65" t="s">
        <v>58</v>
      </c>
      <c r="E21" s="65" t="s">
        <v>48</v>
      </c>
      <c r="F21" s="65" t="s">
        <v>665</v>
      </c>
      <c r="G21" s="44" t="s">
        <v>1290</v>
      </c>
      <c r="H21" s="44" t="s">
        <v>3124</v>
      </c>
      <c r="I21" s="65" t="s">
        <v>3100</v>
      </c>
      <c r="J21" s="344" t="s">
        <v>3101</v>
      </c>
      <c r="K21" s="344" t="s">
        <v>3101</v>
      </c>
      <c r="L21" s="65" t="s">
        <v>52</v>
      </c>
      <c r="M21" s="65" t="s">
        <v>2277</v>
      </c>
      <c r="N21" s="65" t="s">
        <v>1113</v>
      </c>
      <c r="O21" s="65" t="s">
        <v>182</v>
      </c>
      <c r="P21" s="65" t="s">
        <v>2321</v>
      </c>
      <c r="Q21" s="65" t="s">
        <v>86</v>
      </c>
      <c r="R21" s="65" t="s">
        <v>704</v>
      </c>
      <c r="S21" s="65" t="s">
        <v>46</v>
      </c>
      <c r="T21" s="65" t="s">
        <v>1123</v>
      </c>
      <c r="U21" s="65" t="s">
        <v>125</v>
      </c>
      <c r="V21" s="65" t="s">
        <v>54</v>
      </c>
      <c r="W21" s="65" t="s">
        <v>2324</v>
      </c>
      <c r="X21" s="65" t="s">
        <v>2325</v>
      </c>
      <c r="Y21" s="157" t="s">
        <v>2332</v>
      </c>
      <c r="Z21" s="65" t="s">
        <v>1366</v>
      </c>
      <c r="AA21" s="65" t="s">
        <v>52</v>
      </c>
      <c r="AB21" s="65" t="s">
        <v>2333</v>
      </c>
      <c r="AC21" s="65" t="s">
        <v>2190</v>
      </c>
      <c r="AD21" s="65"/>
      <c r="AE21" s="156" t="s">
        <v>1290</v>
      </c>
      <c r="AF21" s="156" t="s">
        <v>53</v>
      </c>
      <c r="AG21" s="160" t="s">
        <v>2334</v>
      </c>
      <c r="AH21" s="65" t="s">
        <v>2325</v>
      </c>
      <c r="AI21" s="156"/>
      <c r="AJ21" s="65"/>
      <c r="AK21" s="65"/>
      <c r="AL21" s="160"/>
      <c r="AM21" s="65"/>
      <c r="AN21" s="65"/>
      <c r="AO21" s="65"/>
      <c r="AP21" s="65"/>
      <c r="AQ21" s="65"/>
      <c r="AR21" s="65"/>
      <c r="AS21" s="65"/>
      <c r="AT21" s="275" t="s">
        <v>1317</v>
      </c>
      <c r="AU21" s="65" t="s">
        <v>53</v>
      </c>
      <c r="AV21" s="65" t="s">
        <v>2054</v>
      </c>
      <c r="AW21" s="65" t="s">
        <v>2178</v>
      </c>
      <c r="AX21" s="65"/>
      <c r="AY21" s="65" t="s">
        <v>1275</v>
      </c>
      <c r="AZ21" s="65" t="s">
        <v>54</v>
      </c>
      <c r="BA21" s="65" t="s">
        <v>2053</v>
      </c>
      <c r="BB21" s="65" t="s">
        <v>2277</v>
      </c>
      <c r="BC21" s="65"/>
      <c r="BD21" s="65"/>
      <c r="BE21" s="65"/>
      <c r="BF21" s="65"/>
      <c r="BG21" s="65"/>
      <c r="BH21" s="65"/>
      <c r="BI21" s="65"/>
      <c r="BJ21" s="65"/>
      <c r="BK21" s="65"/>
      <c r="BL21" s="65"/>
      <c r="BM21" s="65"/>
      <c r="BN21" s="65"/>
      <c r="BO21" s="65"/>
      <c r="BP21" s="65"/>
      <c r="BQ21" s="65"/>
      <c r="BR21" s="65"/>
      <c r="BS21" s="65"/>
      <c r="BT21" s="65"/>
      <c r="BU21" s="65"/>
      <c r="BV21" s="65"/>
      <c r="BW21" s="65"/>
      <c r="BX21" s="65"/>
      <c r="BY21" s="65"/>
      <c r="BZ21" s="65"/>
      <c r="CA21" s="65"/>
      <c r="CB21" s="65"/>
      <c r="CC21" s="65"/>
      <c r="CD21" s="65"/>
      <c r="CE21" s="65"/>
      <c r="CF21" s="65"/>
      <c r="CG21" s="65"/>
      <c r="CH21" s="65"/>
      <c r="CI21" s="65"/>
      <c r="CJ21" s="65"/>
      <c r="CK21" s="65"/>
      <c r="CL21" s="65"/>
      <c r="CM21" s="174"/>
      <c r="CN21" s="65"/>
      <c r="CO21" s="65"/>
      <c r="CP21" s="65"/>
      <c r="CQ21" s="65"/>
      <c r="CR21" s="65"/>
      <c r="CS21" s="65"/>
      <c r="CT21" s="65"/>
      <c r="CU21" s="65"/>
      <c r="CV21" s="65"/>
      <c r="CW21" s="65"/>
      <c r="CX21" s="65"/>
      <c r="CY21" s="65"/>
      <c r="CZ21" s="65"/>
      <c r="DA21" s="65"/>
      <c r="DB21" s="65"/>
      <c r="DC21" s="65"/>
      <c r="DD21" s="65"/>
      <c r="DE21" s="65"/>
      <c r="DF21" s="65"/>
      <c r="DG21" s="65"/>
      <c r="DH21" s="65"/>
      <c r="DI21" s="65"/>
      <c r="DJ21" s="65"/>
      <c r="DK21" s="65"/>
      <c r="DL21" s="65"/>
      <c r="DM21" s="65"/>
      <c r="DN21" s="65"/>
      <c r="DO21" s="65"/>
      <c r="DP21" s="65"/>
      <c r="DQ21" s="65"/>
      <c r="DR21" s="65"/>
      <c r="DS21" s="65"/>
      <c r="DT21" s="65"/>
      <c r="DU21" s="65"/>
      <c r="DV21" s="65"/>
      <c r="DW21" s="423"/>
      <c r="DX21" s="303" t="s">
        <v>2279</v>
      </c>
      <c r="DY21" s="423"/>
      <c r="DZ21" s="303" t="s">
        <v>2279</v>
      </c>
    </row>
    <row r="22" spans="1:130" s="44" customFormat="1" ht="38.25">
      <c r="A22" s="160" t="s">
        <v>2281</v>
      </c>
      <c r="B22" s="65" t="s">
        <v>58</v>
      </c>
      <c r="C22" s="65" t="s">
        <v>58</v>
      </c>
      <c r="D22" s="65" t="s">
        <v>58</v>
      </c>
      <c r="E22" s="65" t="s">
        <v>2335</v>
      </c>
      <c r="F22" s="65" t="s">
        <v>2336</v>
      </c>
      <c r="G22" s="44" t="s">
        <v>1291</v>
      </c>
      <c r="H22" s="44" t="s">
        <v>3124</v>
      </c>
      <c r="I22" s="65" t="s">
        <v>3100</v>
      </c>
      <c r="J22" s="344" t="s">
        <v>3101</v>
      </c>
      <c r="K22" s="344" t="s">
        <v>3101</v>
      </c>
      <c r="L22" s="65" t="s">
        <v>52</v>
      </c>
      <c r="M22" s="65" t="s">
        <v>2277</v>
      </c>
      <c r="N22" s="65" t="s">
        <v>1113</v>
      </c>
      <c r="O22" s="65" t="s">
        <v>182</v>
      </c>
      <c r="P22" s="65" t="s">
        <v>2321</v>
      </c>
      <c r="Q22" s="65" t="s">
        <v>88</v>
      </c>
      <c r="R22" s="65" t="s">
        <v>108</v>
      </c>
      <c r="S22" s="65" t="s">
        <v>46</v>
      </c>
      <c r="T22" s="65" t="s">
        <v>1123</v>
      </c>
      <c r="U22" s="65" t="s">
        <v>2337</v>
      </c>
      <c r="V22" s="65" t="s">
        <v>54</v>
      </c>
      <c r="W22" s="65" t="s">
        <v>2324</v>
      </c>
      <c r="X22" s="65" t="s">
        <v>2325</v>
      </c>
      <c r="Y22" s="157" t="s">
        <v>2338</v>
      </c>
      <c r="Z22" s="65" t="s">
        <v>1367</v>
      </c>
      <c r="AA22" s="65" t="s">
        <v>52</v>
      </c>
      <c r="AB22" s="65" t="s">
        <v>2339</v>
      </c>
      <c r="AC22" s="65" t="s">
        <v>2190</v>
      </c>
      <c r="AD22" s="65"/>
      <c r="AE22" s="156" t="s">
        <v>1291</v>
      </c>
      <c r="AF22" s="156" t="s">
        <v>53</v>
      </c>
      <c r="AG22" s="160" t="s">
        <v>2340</v>
      </c>
      <c r="AH22" s="65" t="s">
        <v>2325</v>
      </c>
      <c r="AI22" s="30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306" t="s">
        <v>2341</v>
      </c>
      <c r="AU22" s="199" t="s">
        <v>54</v>
      </c>
      <c r="AV22" s="160" t="s">
        <v>2342</v>
      </c>
      <c r="AW22" s="65" t="s">
        <v>2178</v>
      </c>
      <c r="AX22" s="307" t="s">
        <v>2343</v>
      </c>
      <c r="AY22" s="65" t="s">
        <v>1274</v>
      </c>
      <c r="AZ22" s="65" t="s">
        <v>54</v>
      </c>
      <c r="BA22" s="65" t="s">
        <v>2053</v>
      </c>
      <c r="BB22" s="65" t="s">
        <v>2277</v>
      </c>
      <c r="BC22" s="65"/>
      <c r="BD22" s="65"/>
      <c r="BE22" s="65"/>
      <c r="BF22" s="65"/>
      <c r="BG22" s="65"/>
      <c r="BH22" s="65"/>
      <c r="BI22" s="65"/>
      <c r="BJ22" s="65"/>
      <c r="BK22" s="65"/>
      <c r="BL22" s="65"/>
      <c r="BM22" s="65"/>
      <c r="BN22" s="65"/>
      <c r="BO22" s="65"/>
      <c r="BP22" s="65"/>
      <c r="BQ22" s="65"/>
      <c r="BR22" s="65"/>
      <c r="BS22" s="65"/>
      <c r="BT22" s="65"/>
      <c r="BU22" s="65"/>
      <c r="BV22" s="65"/>
      <c r="BW22" s="65"/>
      <c r="BX22" s="65"/>
      <c r="BY22" s="65"/>
      <c r="BZ22" s="65"/>
      <c r="CA22" s="65"/>
      <c r="CB22" s="65"/>
      <c r="CC22" s="65"/>
      <c r="CD22" s="65"/>
      <c r="CE22" s="65"/>
      <c r="CF22" s="65"/>
      <c r="CG22" s="65"/>
      <c r="CH22" s="65"/>
      <c r="CI22" s="65"/>
      <c r="CJ22" s="65"/>
      <c r="CK22" s="65"/>
      <c r="CL22" s="65"/>
      <c r="CM22" s="174"/>
      <c r="CN22" s="65"/>
      <c r="CO22" s="65"/>
      <c r="CP22" s="65"/>
      <c r="CQ22" s="65"/>
      <c r="CR22" s="65"/>
      <c r="CS22" s="65"/>
      <c r="CT22" s="65"/>
      <c r="CU22" s="65"/>
      <c r="CV22" s="65"/>
      <c r="CW22" s="65"/>
      <c r="CX22" s="65"/>
      <c r="CY22" s="65"/>
      <c r="CZ22" s="65"/>
      <c r="DA22" s="65"/>
      <c r="DB22" s="65"/>
      <c r="DC22" s="65"/>
      <c r="DD22" s="65"/>
      <c r="DE22" s="65"/>
      <c r="DF22" s="65"/>
      <c r="DG22" s="65"/>
      <c r="DH22" s="65"/>
      <c r="DI22" s="65"/>
      <c r="DJ22" s="65"/>
      <c r="DK22" s="65"/>
      <c r="DL22" s="65"/>
      <c r="DM22" s="65"/>
      <c r="DN22" s="65"/>
      <c r="DO22" s="65"/>
      <c r="DP22" s="65"/>
      <c r="DQ22" s="65"/>
      <c r="DR22" s="65"/>
      <c r="DS22" s="65"/>
      <c r="DT22" s="65"/>
      <c r="DU22" s="65"/>
      <c r="DV22" s="65"/>
      <c r="DW22" s="423"/>
      <c r="DX22" s="303" t="s">
        <v>2279</v>
      </c>
      <c r="DY22" s="423"/>
      <c r="DZ22" s="303" t="s">
        <v>2279</v>
      </c>
    </row>
    <row r="23" spans="1:130" s="44" customFormat="1">
      <c r="A23" s="160" t="s">
        <v>2281</v>
      </c>
      <c r="B23" s="65" t="s">
        <v>58</v>
      </c>
      <c r="C23" s="65" t="s">
        <v>58</v>
      </c>
      <c r="D23" s="65" t="s">
        <v>58</v>
      </c>
      <c r="E23" s="65" t="s">
        <v>48</v>
      </c>
      <c r="F23" s="65" t="s">
        <v>662</v>
      </c>
      <c r="G23" s="44" t="s">
        <v>1292</v>
      </c>
      <c r="H23" s="44" t="s">
        <v>3142</v>
      </c>
      <c r="I23" s="65" t="s">
        <v>3100</v>
      </c>
      <c r="J23" s="344" t="s">
        <v>3101</v>
      </c>
      <c r="K23" s="344" t="s">
        <v>3101</v>
      </c>
      <c r="L23" s="65" t="s">
        <v>52</v>
      </c>
      <c r="M23" s="65" t="s">
        <v>2277</v>
      </c>
      <c r="N23" s="65" t="s">
        <v>1113</v>
      </c>
      <c r="O23" s="65" t="s">
        <v>182</v>
      </c>
      <c r="P23" s="65" t="s">
        <v>2321</v>
      </c>
      <c r="Q23" s="65" t="s">
        <v>88</v>
      </c>
      <c r="R23" s="65" t="s">
        <v>62</v>
      </c>
      <c r="S23" s="65" t="s">
        <v>46</v>
      </c>
      <c r="T23" s="65" t="s">
        <v>1123</v>
      </c>
      <c r="U23" s="65" t="s">
        <v>122</v>
      </c>
      <c r="V23" s="65" t="s">
        <v>54</v>
      </c>
      <c r="W23" s="65" t="s">
        <v>2324</v>
      </c>
      <c r="X23" s="65" t="s">
        <v>2325</v>
      </c>
      <c r="Y23" s="157" t="s">
        <v>186</v>
      </c>
      <c r="Z23" s="65" t="s">
        <v>1368</v>
      </c>
      <c r="AA23" s="65" t="s">
        <v>52</v>
      </c>
      <c r="AB23" s="65" t="s">
        <v>2344</v>
      </c>
      <c r="AC23" s="65" t="s">
        <v>2190</v>
      </c>
      <c r="AD23" s="65"/>
      <c r="AE23" s="156" t="s">
        <v>1292</v>
      </c>
      <c r="AF23" s="156" t="s">
        <v>53</v>
      </c>
      <c r="AG23" s="160" t="s">
        <v>2345</v>
      </c>
      <c r="AH23" s="65" t="s">
        <v>2325</v>
      </c>
      <c r="AI23" s="305"/>
      <c r="AJ23" s="65"/>
      <c r="AK23" s="65"/>
      <c r="AL23" s="65"/>
      <c r="AM23" s="65"/>
      <c r="AN23" s="65"/>
      <c r="AO23" s="65"/>
      <c r="AP23" s="65"/>
      <c r="AQ23" s="65"/>
      <c r="AR23" s="65"/>
      <c r="AS23" s="65"/>
      <c r="AT23" s="160" t="s">
        <v>1299</v>
      </c>
      <c r="AU23" s="199" t="s">
        <v>54</v>
      </c>
      <c r="AV23" s="160" t="s">
        <v>2054</v>
      </c>
      <c r="AW23" s="65" t="s">
        <v>2178</v>
      </c>
      <c r="AX23" s="272" t="s">
        <v>2346</v>
      </c>
      <c r="AY23" s="65" t="s">
        <v>2347</v>
      </c>
      <c r="AZ23" s="65" t="s">
        <v>54</v>
      </c>
      <c r="BA23" s="65" t="s">
        <v>2053</v>
      </c>
      <c r="BB23" s="65" t="s">
        <v>2277</v>
      </c>
      <c r="BC23" s="65"/>
      <c r="BD23" s="65"/>
      <c r="BE23" s="65"/>
      <c r="BF23" s="65"/>
      <c r="BG23" s="65"/>
      <c r="BH23" s="65"/>
      <c r="BI23" s="65"/>
      <c r="BJ23" s="65"/>
      <c r="BK23" s="65"/>
      <c r="BL23" s="65"/>
      <c r="BM23" s="65"/>
      <c r="BN23" s="65"/>
      <c r="BO23" s="65"/>
      <c r="BP23" s="65"/>
      <c r="BQ23" s="65"/>
      <c r="BR23" s="65"/>
      <c r="BS23" s="65"/>
      <c r="BT23" s="65"/>
      <c r="BU23" s="65"/>
      <c r="BV23" s="65"/>
      <c r="BW23" s="65"/>
      <c r="BX23" s="65"/>
      <c r="BY23" s="65"/>
      <c r="BZ23" s="65"/>
      <c r="CA23" s="65"/>
      <c r="CB23" s="65"/>
      <c r="CC23" s="65"/>
      <c r="CD23" s="65"/>
      <c r="CE23" s="65"/>
      <c r="CF23" s="65"/>
      <c r="CG23" s="65"/>
      <c r="CH23" s="65"/>
      <c r="CI23" s="65"/>
      <c r="CJ23" s="65"/>
      <c r="CK23" s="65"/>
      <c r="CL23" s="65"/>
      <c r="CM23" s="174"/>
      <c r="CN23" s="65"/>
      <c r="CO23" s="65"/>
      <c r="CP23" s="65"/>
      <c r="CQ23" s="65"/>
      <c r="CR23" s="65"/>
      <c r="CS23" s="65"/>
      <c r="CT23" s="65"/>
      <c r="CU23" s="65"/>
      <c r="CV23" s="65"/>
      <c r="CW23" s="65"/>
      <c r="CX23" s="65"/>
      <c r="CY23" s="65"/>
      <c r="CZ23" s="65"/>
      <c r="DA23" s="65"/>
      <c r="DB23" s="65"/>
      <c r="DC23" s="65"/>
      <c r="DD23" s="65"/>
      <c r="DE23" s="65"/>
      <c r="DF23" s="65"/>
      <c r="DG23" s="65"/>
      <c r="DH23" s="65"/>
      <c r="DI23" s="65"/>
      <c r="DJ23" s="65"/>
      <c r="DK23" s="65"/>
      <c r="DL23" s="65"/>
      <c r="DM23" s="65"/>
      <c r="DN23" s="65"/>
      <c r="DO23" s="65"/>
      <c r="DP23" s="65"/>
      <c r="DQ23" s="65"/>
      <c r="DR23" s="65"/>
      <c r="DS23" s="65"/>
      <c r="DT23" s="65"/>
      <c r="DU23" s="65"/>
      <c r="DV23" s="65"/>
      <c r="DW23" s="423"/>
      <c r="DX23" s="303" t="s">
        <v>2279</v>
      </c>
      <c r="DY23" s="423"/>
      <c r="DZ23" s="303" t="s">
        <v>2279</v>
      </c>
    </row>
    <row r="24" spans="1:130" s="44" customFormat="1">
      <c r="A24" s="160" t="s">
        <v>2281</v>
      </c>
      <c r="B24" s="65" t="s">
        <v>58</v>
      </c>
      <c r="C24" s="65" t="s">
        <v>58</v>
      </c>
      <c r="D24" s="65" t="s">
        <v>58</v>
      </c>
      <c r="E24" s="65" t="s">
        <v>48</v>
      </c>
      <c r="F24" s="65" t="s">
        <v>663</v>
      </c>
      <c r="G24" s="44" t="s">
        <v>1018</v>
      </c>
      <c r="H24" s="44" t="s">
        <v>3124</v>
      </c>
      <c r="I24" s="65" t="s">
        <v>3100</v>
      </c>
      <c r="J24" s="344" t="s">
        <v>3101</v>
      </c>
      <c r="K24" s="344" t="s">
        <v>3101</v>
      </c>
      <c r="L24" s="65" t="s">
        <v>52</v>
      </c>
      <c r="M24" s="65" t="s">
        <v>2277</v>
      </c>
      <c r="N24" s="65" t="s">
        <v>1113</v>
      </c>
      <c r="O24" s="65" t="s">
        <v>182</v>
      </c>
      <c r="P24" s="65" t="s">
        <v>2321</v>
      </c>
      <c r="Q24" s="65" t="s">
        <v>88</v>
      </c>
      <c r="R24" s="65" t="s">
        <v>63</v>
      </c>
      <c r="S24" s="65" t="s">
        <v>46</v>
      </c>
      <c r="T24" s="65" t="s">
        <v>1123</v>
      </c>
      <c r="U24" s="65" t="s">
        <v>123</v>
      </c>
      <c r="V24" s="65" t="s">
        <v>54</v>
      </c>
      <c r="W24" s="65" t="s">
        <v>2324</v>
      </c>
      <c r="X24" s="65" t="s">
        <v>2325</v>
      </c>
      <c r="Y24" s="157" t="s">
        <v>187</v>
      </c>
      <c r="Z24" s="65" t="s">
        <v>710</v>
      </c>
      <c r="AA24" s="65" t="s">
        <v>52</v>
      </c>
      <c r="AB24" s="65" t="s">
        <v>2348</v>
      </c>
      <c r="AC24" s="65" t="s">
        <v>2190</v>
      </c>
      <c r="AD24" s="65"/>
      <c r="AE24" s="156" t="s">
        <v>1018</v>
      </c>
      <c r="AF24" s="156" t="s">
        <v>53</v>
      </c>
      <c r="AG24" s="160" t="s">
        <v>2349</v>
      </c>
      <c r="AH24" s="65" t="s">
        <v>2325</v>
      </c>
      <c r="AI24" s="305"/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160" t="s">
        <v>1295</v>
      </c>
      <c r="AU24" s="160" t="s">
        <v>54</v>
      </c>
      <c r="AV24" s="160" t="s">
        <v>2342</v>
      </c>
      <c r="AW24" s="65" t="s">
        <v>2178</v>
      </c>
      <c r="AX24" s="160" t="s">
        <v>2350</v>
      </c>
      <c r="AY24" s="199" t="s">
        <v>2351</v>
      </c>
      <c r="AZ24" s="199" t="s">
        <v>54</v>
      </c>
      <c r="BA24" s="65" t="s">
        <v>2053</v>
      </c>
      <c r="BB24" s="65" t="s">
        <v>2277</v>
      </c>
      <c r="BC24" s="65"/>
      <c r="BD24" s="65"/>
      <c r="BE24" s="65"/>
      <c r="BF24" s="65"/>
      <c r="BG24" s="65"/>
      <c r="BH24" s="65"/>
      <c r="BI24" s="65"/>
      <c r="BJ24" s="65"/>
      <c r="BK24" s="65"/>
      <c r="BL24" s="65"/>
      <c r="BM24" s="65"/>
      <c r="BN24" s="65"/>
      <c r="BO24" s="65"/>
      <c r="BP24" s="65"/>
      <c r="BQ24" s="65"/>
      <c r="BR24" s="65"/>
      <c r="BS24" s="65"/>
      <c r="BT24" s="65"/>
      <c r="BU24" s="65"/>
      <c r="BV24" s="65"/>
      <c r="BW24" s="65"/>
      <c r="BX24" s="65"/>
      <c r="BY24" s="65"/>
      <c r="BZ24" s="65"/>
      <c r="CA24" s="65"/>
      <c r="CB24" s="65"/>
      <c r="CC24" s="65"/>
      <c r="CD24" s="65"/>
      <c r="CE24" s="65"/>
      <c r="CF24" s="65"/>
      <c r="CG24" s="65"/>
      <c r="CH24" s="65"/>
      <c r="CI24" s="65"/>
      <c r="CJ24" s="65"/>
      <c r="CK24" s="65"/>
      <c r="CL24" s="65"/>
      <c r="CM24" s="174"/>
      <c r="CN24" s="65"/>
      <c r="CO24" s="65"/>
      <c r="CP24" s="65"/>
      <c r="CQ24" s="65"/>
      <c r="CR24" s="65"/>
      <c r="CS24" s="65"/>
      <c r="CT24" s="65"/>
      <c r="CU24" s="65"/>
      <c r="CV24" s="65"/>
      <c r="CW24" s="65"/>
      <c r="CX24" s="65"/>
      <c r="CY24" s="65"/>
      <c r="CZ24" s="65"/>
      <c r="DA24" s="65"/>
      <c r="DB24" s="65"/>
      <c r="DC24" s="65"/>
      <c r="DD24" s="65"/>
      <c r="DE24" s="65"/>
      <c r="DF24" s="65"/>
      <c r="DG24" s="65"/>
      <c r="DH24" s="65"/>
      <c r="DI24" s="65"/>
      <c r="DJ24" s="65"/>
      <c r="DK24" s="65"/>
      <c r="DL24" s="65"/>
      <c r="DM24" s="65"/>
      <c r="DN24" s="65"/>
      <c r="DO24" s="65"/>
      <c r="DP24" s="65"/>
      <c r="DQ24" s="65"/>
      <c r="DR24" s="65"/>
      <c r="DS24" s="65"/>
      <c r="DT24" s="65"/>
      <c r="DU24" s="65"/>
      <c r="DV24" s="65"/>
      <c r="DW24" s="423"/>
      <c r="DX24" s="303" t="s">
        <v>2279</v>
      </c>
      <c r="DY24" s="423"/>
      <c r="DZ24" s="303" t="s">
        <v>2279</v>
      </c>
    </row>
    <row r="25" spans="1:130" s="44" customFormat="1">
      <c r="A25" s="160" t="s">
        <v>2281</v>
      </c>
      <c r="B25" s="65" t="s">
        <v>58</v>
      </c>
      <c r="C25" s="65" t="s">
        <v>58</v>
      </c>
      <c r="D25" s="65" t="s">
        <v>58</v>
      </c>
      <c r="E25" s="65" t="s">
        <v>48</v>
      </c>
      <c r="F25" s="65" t="s">
        <v>664</v>
      </c>
      <c r="G25" s="44" t="s">
        <v>1019</v>
      </c>
      <c r="H25" s="44" t="s">
        <v>3124</v>
      </c>
      <c r="I25" s="65" t="s">
        <v>3100</v>
      </c>
      <c r="J25" s="344" t="s">
        <v>3101</v>
      </c>
      <c r="K25" s="344" t="s">
        <v>3101</v>
      </c>
      <c r="L25" s="65" t="s">
        <v>52</v>
      </c>
      <c r="M25" s="65" t="s">
        <v>2277</v>
      </c>
      <c r="N25" s="65" t="s">
        <v>1113</v>
      </c>
      <c r="O25" s="65" t="s">
        <v>182</v>
      </c>
      <c r="P25" s="65" t="s">
        <v>2321</v>
      </c>
      <c r="Q25" s="65" t="s">
        <v>88</v>
      </c>
      <c r="R25" s="65" t="s">
        <v>109</v>
      </c>
      <c r="S25" s="65" t="s">
        <v>46</v>
      </c>
      <c r="T25" s="65" t="s">
        <v>1123</v>
      </c>
      <c r="U25" s="65" t="s">
        <v>124</v>
      </c>
      <c r="V25" s="65" t="s">
        <v>54</v>
      </c>
      <c r="W25" s="65" t="s">
        <v>2324</v>
      </c>
      <c r="X25" s="65" t="s">
        <v>2325</v>
      </c>
      <c r="Y25" s="157" t="s">
        <v>188</v>
      </c>
      <c r="Z25" s="65" t="s">
        <v>711</v>
      </c>
      <c r="AA25" s="65" t="s">
        <v>52</v>
      </c>
      <c r="AB25" s="65" t="s">
        <v>2352</v>
      </c>
      <c r="AC25" s="65" t="s">
        <v>2190</v>
      </c>
      <c r="AD25" s="65"/>
      <c r="AE25" s="156" t="s">
        <v>1019</v>
      </c>
      <c r="AF25" s="156" t="s">
        <v>53</v>
      </c>
      <c r="AG25" s="160" t="s">
        <v>2353</v>
      </c>
      <c r="AH25" s="65" t="s">
        <v>2325</v>
      </c>
      <c r="AI25" s="65"/>
      <c r="AJ25" s="65"/>
      <c r="AK25" s="65"/>
      <c r="AL25" s="65"/>
      <c r="AM25" s="65"/>
      <c r="AN25" s="65"/>
      <c r="AO25" s="65"/>
      <c r="AP25" s="65"/>
      <c r="AQ25" s="65"/>
      <c r="AR25" s="65"/>
      <c r="AS25" s="65"/>
      <c r="AT25" s="160" t="s">
        <v>2354</v>
      </c>
      <c r="AU25" s="160" t="s">
        <v>54</v>
      </c>
      <c r="AV25" s="160" t="s">
        <v>2342</v>
      </c>
      <c r="AW25" s="65" t="s">
        <v>2178</v>
      </c>
      <c r="AX25" s="160" t="s">
        <v>2355</v>
      </c>
      <c r="AY25" s="199" t="s">
        <v>1242</v>
      </c>
      <c r="AZ25" s="199" t="s">
        <v>54</v>
      </c>
      <c r="BA25" s="65" t="s">
        <v>2053</v>
      </c>
      <c r="BB25" s="65" t="s">
        <v>2277</v>
      </c>
      <c r="BC25" s="65"/>
      <c r="BD25" s="65"/>
      <c r="BE25" s="65"/>
      <c r="BF25" s="65"/>
      <c r="BG25" s="65"/>
      <c r="BH25" s="65"/>
      <c r="BI25" s="65"/>
      <c r="BJ25" s="65"/>
      <c r="BK25" s="65"/>
      <c r="BL25" s="65"/>
      <c r="BM25" s="65"/>
      <c r="BN25" s="65"/>
      <c r="BO25" s="65"/>
      <c r="BP25" s="65"/>
      <c r="BQ25" s="65"/>
      <c r="BR25" s="65"/>
      <c r="BS25" s="65"/>
      <c r="BT25" s="65"/>
      <c r="BU25" s="65"/>
      <c r="BV25" s="65"/>
      <c r="BW25" s="65"/>
      <c r="BX25" s="65"/>
      <c r="BY25" s="65"/>
      <c r="BZ25" s="65"/>
      <c r="CA25" s="65"/>
      <c r="CB25" s="65"/>
      <c r="CC25" s="65"/>
      <c r="CD25" s="65"/>
      <c r="CE25" s="65"/>
      <c r="CF25" s="65"/>
      <c r="CG25" s="65"/>
      <c r="CH25" s="65"/>
      <c r="CI25" s="65"/>
      <c r="CJ25" s="65"/>
      <c r="CK25" s="65"/>
      <c r="CL25" s="65"/>
      <c r="CM25" s="174"/>
      <c r="CN25" s="65"/>
      <c r="CO25" s="65"/>
      <c r="CP25" s="65"/>
      <c r="CQ25" s="65"/>
      <c r="CR25" s="65"/>
      <c r="CS25" s="65"/>
      <c r="CT25" s="65"/>
      <c r="CU25" s="65"/>
      <c r="CV25" s="65"/>
      <c r="CW25" s="65"/>
      <c r="CX25" s="65"/>
      <c r="CY25" s="65"/>
      <c r="CZ25" s="65"/>
      <c r="DA25" s="65"/>
      <c r="DB25" s="65"/>
      <c r="DC25" s="65"/>
      <c r="DD25" s="65"/>
      <c r="DE25" s="65"/>
      <c r="DF25" s="65"/>
      <c r="DG25" s="65"/>
      <c r="DH25" s="65"/>
      <c r="DI25" s="65"/>
      <c r="DJ25" s="65"/>
      <c r="DK25" s="65"/>
      <c r="DL25" s="65"/>
      <c r="DM25" s="65"/>
      <c r="DN25" s="65"/>
      <c r="DO25" s="65"/>
      <c r="DP25" s="65"/>
      <c r="DQ25" s="65"/>
      <c r="DR25" s="65"/>
      <c r="DS25" s="65"/>
      <c r="DT25" s="65"/>
      <c r="DU25" s="65"/>
      <c r="DV25" s="65"/>
      <c r="DW25" s="424"/>
      <c r="DX25" s="303" t="s">
        <v>2279</v>
      </c>
      <c r="DY25" s="424"/>
      <c r="DZ25" s="303" t="s">
        <v>2279</v>
      </c>
    </row>
    <row r="26" spans="1:130" s="180" customFormat="1">
      <c r="A26" s="218" t="s">
        <v>2356</v>
      </c>
      <c r="B26" s="150"/>
      <c r="C26" s="150"/>
      <c r="D26" s="150"/>
      <c r="E26" s="150"/>
      <c r="F26" s="150"/>
      <c r="G26" s="343"/>
      <c r="H26" s="343"/>
      <c r="I26" s="343"/>
      <c r="J26" s="343"/>
      <c r="K26" s="343"/>
      <c r="L26" s="38"/>
      <c r="M26" s="38"/>
      <c r="N26" s="38"/>
      <c r="O26" s="38"/>
      <c r="P26" s="38"/>
      <c r="Q26" s="38"/>
      <c r="R26" s="38"/>
      <c r="S26" s="38"/>
      <c r="T26" s="36"/>
      <c r="U26" s="36"/>
      <c r="V26" s="36"/>
      <c r="W26" s="36"/>
      <c r="X26" s="36"/>
      <c r="Y26" s="148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6"/>
      <c r="CZ26" s="36"/>
      <c r="DA26" s="36"/>
      <c r="DB26" s="36"/>
      <c r="DC26" s="36"/>
      <c r="DD26" s="36"/>
      <c r="DE26" s="36"/>
      <c r="DF26" s="36"/>
      <c r="DG26" s="36"/>
      <c r="DH26" s="36"/>
      <c r="DI26" s="36"/>
      <c r="DJ26" s="36"/>
      <c r="DK26" s="36"/>
      <c r="DL26" s="36"/>
      <c r="DM26" s="36"/>
      <c r="DN26" s="36"/>
      <c r="DO26" s="36"/>
      <c r="DP26" s="36"/>
      <c r="DQ26" s="36"/>
      <c r="DR26" s="36"/>
      <c r="DS26" s="36"/>
      <c r="DT26" s="36"/>
      <c r="DU26" s="36"/>
      <c r="DV26" s="36"/>
      <c r="DW26" s="300"/>
      <c r="DX26" s="300"/>
      <c r="DY26" s="300"/>
      <c r="DZ26" s="300"/>
    </row>
    <row r="27" spans="1:130" s="152" customFormat="1">
      <c r="A27" s="158" t="s">
        <v>2357</v>
      </c>
      <c r="B27" s="158" t="s">
        <v>58</v>
      </c>
      <c r="C27" s="158" t="s">
        <v>58</v>
      </c>
      <c r="D27" s="158" t="s">
        <v>58</v>
      </c>
      <c r="E27" s="158" t="s">
        <v>49</v>
      </c>
      <c r="F27" s="158" t="s">
        <v>2358</v>
      </c>
      <c r="G27" s="152" t="s">
        <v>3100</v>
      </c>
      <c r="H27" s="152" t="s">
        <v>3100</v>
      </c>
      <c r="I27" s="158" t="s">
        <v>2200</v>
      </c>
      <c r="J27" s="152" t="s">
        <v>3101</v>
      </c>
      <c r="K27" s="152" t="s">
        <v>3101</v>
      </c>
      <c r="L27" s="158" t="s">
        <v>2359</v>
      </c>
      <c r="M27" s="158" t="s">
        <v>2181</v>
      </c>
      <c r="N27" s="158" t="s">
        <v>2360</v>
      </c>
      <c r="O27" s="158" t="s">
        <v>182</v>
      </c>
      <c r="P27" s="158" t="s">
        <v>183</v>
      </c>
      <c r="Q27" s="158" t="s">
        <v>86</v>
      </c>
      <c r="R27" s="158" t="s">
        <v>2361</v>
      </c>
      <c r="S27" s="158" t="s">
        <v>2362</v>
      </c>
      <c r="T27" s="308" t="s">
        <v>2363</v>
      </c>
      <c r="U27" s="158" t="s">
        <v>2364</v>
      </c>
      <c r="V27" s="158" t="s">
        <v>53</v>
      </c>
      <c r="W27" s="158" t="s">
        <v>1364</v>
      </c>
      <c r="X27" s="158" t="s">
        <v>2181</v>
      </c>
      <c r="Y27" s="309" t="s">
        <v>2365</v>
      </c>
      <c r="Z27" s="158" t="s">
        <v>2366</v>
      </c>
      <c r="AA27" s="158" t="s">
        <v>2367</v>
      </c>
      <c r="AB27" s="158" t="s">
        <v>1369</v>
      </c>
      <c r="AC27" s="158" t="s">
        <v>2194</v>
      </c>
      <c r="AD27" s="158" t="s">
        <v>2368</v>
      </c>
      <c r="AE27" s="310" t="s">
        <v>2369</v>
      </c>
      <c r="AF27" s="310" t="s">
        <v>52</v>
      </c>
      <c r="AG27" s="310" t="s">
        <v>2370</v>
      </c>
      <c r="AH27" s="158" t="s">
        <v>2371</v>
      </c>
      <c r="AI27" s="158"/>
      <c r="AJ27" s="158" t="s">
        <v>2372</v>
      </c>
      <c r="AK27" s="158" t="s">
        <v>52</v>
      </c>
      <c r="AL27" s="158" t="s">
        <v>2373</v>
      </c>
      <c r="AM27" s="158" t="s">
        <v>2374</v>
      </c>
      <c r="AN27" s="158"/>
      <c r="AO27" s="276" t="s">
        <v>2329</v>
      </c>
      <c r="AP27" s="276" t="s">
        <v>53</v>
      </c>
      <c r="AQ27" s="158" t="s">
        <v>2375</v>
      </c>
      <c r="AR27" s="158" t="s">
        <v>2325</v>
      </c>
      <c r="AS27" s="158"/>
      <c r="AT27" s="158"/>
      <c r="AU27" s="158"/>
      <c r="AV27" s="158"/>
      <c r="AW27" s="158"/>
      <c r="AX27" s="158"/>
      <c r="AY27" s="276" t="s">
        <v>2376</v>
      </c>
      <c r="AZ27" s="158" t="s">
        <v>53</v>
      </c>
      <c r="BA27" s="158" t="s">
        <v>2053</v>
      </c>
      <c r="BB27" s="158" t="s">
        <v>2377</v>
      </c>
      <c r="BC27" s="158"/>
      <c r="BD27" s="158"/>
      <c r="BE27" s="158"/>
      <c r="BF27" s="158"/>
      <c r="BG27" s="158"/>
      <c r="BH27" s="158"/>
      <c r="BI27" s="158"/>
      <c r="BJ27" s="158"/>
      <c r="BK27" s="158"/>
      <c r="BL27" s="158"/>
      <c r="BM27" s="158"/>
      <c r="BN27" s="158"/>
      <c r="BO27" s="158"/>
      <c r="BP27" s="158"/>
      <c r="BQ27" s="158"/>
      <c r="BR27" s="158"/>
      <c r="BS27" s="158"/>
      <c r="BT27" s="158"/>
      <c r="BU27" s="158"/>
      <c r="BV27" s="158"/>
      <c r="BW27" s="158"/>
      <c r="BX27" s="158"/>
      <c r="BY27" s="158"/>
      <c r="BZ27" s="158"/>
      <c r="CA27" s="158"/>
      <c r="CB27" s="158"/>
      <c r="CC27" s="158"/>
      <c r="CD27" s="158"/>
      <c r="CE27" s="158"/>
      <c r="CF27" s="158"/>
      <c r="CG27" s="158"/>
      <c r="CH27" s="200"/>
      <c r="CI27" s="158"/>
      <c r="CJ27" s="158"/>
      <c r="CK27" s="158"/>
      <c r="CL27" s="309"/>
      <c r="CM27" s="158"/>
      <c r="CN27" s="158"/>
      <c r="CO27" s="158"/>
      <c r="CP27" s="158"/>
      <c r="CQ27" s="309"/>
      <c r="CR27" s="158"/>
      <c r="CS27" s="158"/>
      <c r="CT27" s="158"/>
      <c r="CU27" s="158"/>
      <c r="CV27" s="158"/>
      <c r="CW27" s="158"/>
      <c r="CX27" s="158"/>
      <c r="CY27" s="158"/>
      <c r="CZ27" s="158"/>
      <c r="DA27" s="158"/>
      <c r="DB27" s="158"/>
      <c r="DC27" s="158"/>
      <c r="DD27" s="158"/>
      <c r="DE27" s="158"/>
      <c r="DF27" s="158"/>
      <c r="DG27" s="158"/>
      <c r="DH27" s="158"/>
      <c r="DI27" s="158"/>
      <c r="DJ27" s="158"/>
      <c r="DK27" s="158"/>
      <c r="DL27" s="158"/>
      <c r="DM27" s="158"/>
      <c r="DN27" s="158"/>
      <c r="DO27" s="158"/>
      <c r="DP27" s="158"/>
      <c r="DQ27" s="158"/>
      <c r="DR27" s="158"/>
      <c r="DS27" s="158"/>
      <c r="DT27" s="158"/>
      <c r="DU27" s="158"/>
      <c r="DV27" s="158"/>
      <c r="DW27" s="417" t="s">
        <v>2378</v>
      </c>
      <c r="DX27" s="311" t="s">
        <v>2279</v>
      </c>
      <c r="DY27" s="417" t="s">
        <v>2280</v>
      </c>
      <c r="DZ27" s="311" t="s">
        <v>2279</v>
      </c>
    </row>
    <row r="28" spans="1:130" s="152" customFormat="1">
      <c r="A28" s="158" t="s">
        <v>2357</v>
      </c>
      <c r="B28" s="158" t="s">
        <v>58</v>
      </c>
      <c r="C28" s="158" t="s">
        <v>58</v>
      </c>
      <c r="D28" s="158" t="s">
        <v>58</v>
      </c>
      <c r="E28" s="158" t="s">
        <v>48</v>
      </c>
      <c r="F28" s="158" t="s">
        <v>2379</v>
      </c>
      <c r="G28" s="152" t="s">
        <v>3100</v>
      </c>
      <c r="H28" s="152" t="s">
        <v>3100</v>
      </c>
      <c r="I28" s="158" t="s">
        <v>3100</v>
      </c>
      <c r="J28" s="152" t="s">
        <v>3101</v>
      </c>
      <c r="K28" s="152" t="s">
        <v>3101</v>
      </c>
      <c r="L28" s="158" t="s">
        <v>2359</v>
      </c>
      <c r="M28" s="158" t="s">
        <v>2277</v>
      </c>
      <c r="N28" s="158" t="s">
        <v>2360</v>
      </c>
      <c r="O28" s="158" t="s">
        <v>182</v>
      </c>
      <c r="P28" s="158" t="s">
        <v>183</v>
      </c>
      <c r="Q28" s="158" t="s">
        <v>88</v>
      </c>
      <c r="R28" s="158" t="s">
        <v>64</v>
      </c>
      <c r="S28" s="158" t="s">
        <v>2362</v>
      </c>
      <c r="T28" s="308" t="s">
        <v>2363</v>
      </c>
      <c r="U28" s="158" t="s">
        <v>2380</v>
      </c>
      <c r="V28" s="158" t="s">
        <v>52</v>
      </c>
      <c r="W28" s="158" t="s">
        <v>1365</v>
      </c>
      <c r="X28" s="158" t="s">
        <v>2181</v>
      </c>
      <c r="Y28" s="309" t="s">
        <v>2381</v>
      </c>
      <c r="Z28" s="158" t="s">
        <v>2382</v>
      </c>
      <c r="AA28" s="158" t="s">
        <v>2383</v>
      </c>
      <c r="AB28" s="158" t="s">
        <v>1369</v>
      </c>
      <c r="AC28" s="158" t="s">
        <v>2194</v>
      </c>
      <c r="AD28" s="158" t="s">
        <v>2384</v>
      </c>
      <c r="AE28" s="310" t="s">
        <v>2385</v>
      </c>
      <c r="AF28" s="310" t="s">
        <v>52</v>
      </c>
      <c r="AG28" s="310" t="s">
        <v>2370</v>
      </c>
      <c r="AH28" s="158" t="s">
        <v>2371</v>
      </c>
      <c r="AI28" s="158"/>
      <c r="AJ28" s="158" t="s">
        <v>712</v>
      </c>
      <c r="AK28" s="158" t="s">
        <v>52</v>
      </c>
      <c r="AL28" s="158" t="s">
        <v>2386</v>
      </c>
      <c r="AM28" s="158" t="s">
        <v>2374</v>
      </c>
      <c r="AN28" s="158"/>
      <c r="AO28" s="276" t="s">
        <v>1290</v>
      </c>
      <c r="AP28" s="276" t="s">
        <v>53</v>
      </c>
      <c r="AQ28" s="158" t="s">
        <v>1989</v>
      </c>
      <c r="AR28" s="158" t="s">
        <v>2325</v>
      </c>
      <c r="AS28" s="158"/>
      <c r="AT28" s="280" t="s">
        <v>1332</v>
      </c>
      <c r="AU28" s="158" t="s">
        <v>54</v>
      </c>
      <c r="AV28" s="158" t="s">
        <v>2054</v>
      </c>
      <c r="AW28" s="158" t="s">
        <v>2178</v>
      </c>
      <c r="AX28" s="158"/>
      <c r="AY28" s="158" t="s">
        <v>2387</v>
      </c>
      <c r="AZ28" s="158" t="s">
        <v>52</v>
      </c>
      <c r="BA28" s="158" t="s">
        <v>2053</v>
      </c>
      <c r="BB28" s="158" t="s">
        <v>2277</v>
      </c>
      <c r="BC28" s="158"/>
      <c r="BD28" s="158"/>
      <c r="BE28" s="158"/>
      <c r="BF28" s="158"/>
      <c r="BG28" s="158"/>
      <c r="BH28" s="158"/>
      <c r="BI28" s="158"/>
      <c r="BJ28" s="158"/>
      <c r="BK28" s="158"/>
      <c r="BL28" s="158"/>
      <c r="BM28" s="158"/>
      <c r="BN28" s="158"/>
      <c r="BO28" s="158"/>
      <c r="BP28" s="158"/>
      <c r="BQ28" s="158"/>
      <c r="BR28" s="158"/>
      <c r="BS28" s="158"/>
      <c r="BT28" s="158"/>
      <c r="BU28" s="158"/>
      <c r="BV28" s="158"/>
      <c r="BW28" s="158"/>
      <c r="BX28" s="158"/>
      <c r="BY28" s="158"/>
      <c r="BZ28" s="158"/>
      <c r="CA28" s="158"/>
      <c r="CB28" s="158"/>
      <c r="CC28" s="158"/>
      <c r="CD28" s="158"/>
      <c r="CE28" s="158"/>
      <c r="CF28" s="158"/>
      <c r="CG28" s="158"/>
      <c r="CH28" s="200"/>
      <c r="CI28" s="158"/>
      <c r="CJ28" s="158"/>
      <c r="CK28" s="158"/>
      <c r="CL28" s="309"/>
      <c r="CM28" s="158"/>
      <c r="CN28" s="158"/>
      <c r="CO28" s="158"/>
      <c r="CP28" s="158"/>
      <c r="CQ28" s="309"/>
      <c r="CR28" s="158"/>
      <c r="CS28" s="158"/>
      <c r="CT28" s="158"/>
      <c r="CU28" s="158"/>
      <c r="CV28" s="158"/>
      <c r="CW28" s="158"/>
      <c r="CX28" s="158"/>
      <c r="CY28" s="158"/>
      <c r="CZ28" s="158"/>
      <c r="DA28" s="158"/>
      <c r="DB28" s="158"/>
      <c r="DC28" s="158"/>
      <c r="DD28" s="158"/>
      <c r="DE28" s="158"/>
      <c r="DF28" s="158"/>
      <c r="DG28" s="158"/>
      <c r="DH28" s="158"/>
      <c r="DI28" s="158"/>
      <c r="DJ28" s="158"/>
      <c r="DK28" s="158"/>
      <c r="DL28" s="158"/>
      <c r="DM28" s="158"/>
      <c r="DN28" s="158"/>
      <c r="DO28" s="158"/>
      <c r="DP28" s="158"/>
      <c r="DQ28" s="158"/>
      <c r="DR28" s="158"/>
      <c r="DS28" s="158"/>
      <c r="DT28" s="158"/>
      <c r="DU28" s="158"/>
      <c r="DV28" s="158"/>
      <c r="DW28" s="425"/>
      <c r="DX28" s="311" t="s">
        <v>2279</v>
      </c>
      <c r="DY28" s="418"/>
      <c r="DZ28" s="311" t="s">
        <v>2279</v>
      </c>
    </row>
    <row r="29" spans="1:130" s="152" customFormat="1">
      <c r="A29" s="158" t="s">
        <v>2357</v>
      </c>
      <c r="B29" s="158" t="s">
        <v>58</v>
      </c>
      <c r="C29" s="158" t="s">
        <v>58</v>
      </c>
      <c r="D29" s="158" t="s">
        <v>58</v>
      </c>
      <c r="E29" s="158" t="s">
        <v>48</v>
      </c>
      <c r="F29" s="158" t="s">
        <v>2388</v>
      </c>
      <c r="G29" s="152" t="s">
        <v>3100</v>
      </c>
      <c r="H29" s="152" t="s">
        <v>3100</v>
      </c>
      <c r="I29" s="158" t="s">
        <v>3100</v>
      </c>
      <c r="J29" s="152" t="s">
        <v>3101</v>
      </c>
      <c r="K29" s="152" t="s">
        <v>3101</v>
      </c>
      <c r="L29" s="158" t="s">
        <v>2359</v>
      </c>
      <c r="M29" s="158" t="s">
        <v>2277</v>
      </c>
      <c r="N29" s="158" t="s">
        <v>2360</v>
      </c>
      <c r="O29" s="158" t="s">
        <v>182</v>
      </c>
      <c r="P29" s="158" t="s">
        <v>183</v>
      </c>
      <c r="Q29" s="158" t="s">
        <v>88</v>
      </c>
      <c r="R29" s="158" t="s">
        <v>110</v>
      </c>
      <c r="S29" s="158" t="s">
        <v>2362</v>
      </c>
      <c r="T29" s="308" t="s">
        <v>2363</v>
      </c>
      <c r="U29" s="158" t="s">
        <v>2389</v>
      </c>
      <c r="V29" s="158" t="s">
        <v>52</v>
      </c>
      <c r="W29" s="158" t="s">
        <v>2390</v>
      </c>
      <c r="X29" s="158" t="s">
        <v>2181</v>
      </c>
      <c r="Y29" s="309" t="s">
        <v>2391</v>
      </c>
      <c r="Z29" s="158" t="s">
        <v>2392</v>
      </c>
      <c r="AA29" s="158" t="s">
        <v>55</v>
      </c>
      <c r="AB29" s="158" t="s">
        <v>2393</v>
      </c>
      <c r="AC29" s="158" t="s">
        <v>2194</v>
      </c>
      <c r="AD29" s="158" t="s">
        <v>2394</v>
      </c>
      <c r="AE29" s="310" t="s">
        <v>2395</v>
      </c>
      <c r="AF29" s="310" t="s">
        <v>54</v>
      </c>
      <c r="AG29" s="310" t="s">
        <v>2370</v>
      </c>
      <c r="AH29" s="158" t="s">
        <v>2371</v>
      </c>
      <c r="AI29" s="158"/>
      <c r="AJ29" s="158" t="s">
        <v>1222</v>
      </c>
      <c r="AK29" s="158" t="s">
        <v>52</v>
      </c>
      <c r="AL29" s="158" t="s">
        <v>2396</v>
      </c>
      <c r="AM29" s="158" t="s">
        <v>2374</v>
      </c>
      <c r="AN29" s="158"/>
      <c r="AO29" s="276" t="s">
        <v>1291</v>
      </c>
      <c r="AP29" s="276" t="s">
        <v>53</v>
      </c>
      <c r="AQ29" s="158" t="s">
        <v>1990</v>
      </c>
      <c r="AR29" s="158" t="s">
        <v>2325</v>
      </c>
      <c r="AS29" s="158"/>
      <c r="AT29" s="280" t="s">
        <v>1333</v>
      </c>
      <c r="AU29" s="158" t="s">
        <v>54</v>
      </c>
      <c r="AV29" s="158" t="s">
        <v>2054</v>
      </c>
      <c r="AW29" s="158" t="s">
        <v>2178</v>
      </c>
      <c r="AX29" s="309"/>
      <c r="AY29" s="158" t="s">
        <v>2397</v>
      </c>
      <c r="AZ29" s="158" t="s">
        <v>52</v>
      </c>
      <c r="BA29" s="158" t="s">
        <v>2053</v>
      </c>
      <c r="BB29" s="158" t="s">
        <v>2277</v>
      </c>
      <c r="BC29" s="158"/>
      <c r="BD29" s="158"/>
      <c r="BE29" s="158"/>
      <c r="BF29" s="158"/>
      <c r="BG29" s="158"/>
      <c r="BH29" s="158"/>
      <c r="BI29" s="158"/>
      <c r="BJ29" s="158"/>
      <c r="BK29" s="158"/>
      <c r="BL29" s="158"/>
      <c r="BM29" s="158"/>
      <c r="BN29" s="158"/>
      <c r="BO29" s="158"/>
      <c r="BP29" s="158"/>
      <c r="BQ29" s="158"/>
      <c r="BR29" s="158"/>
      <c r="BS29" s="158"/>
      <c r="BT29" s="158"/>
      <c r="BU29" s="158"/>
      <c r="BV29" s="158"/>
      <c r="BW29" s="158"/>
      <c r="BX29" s="158"/>
      <c r="BY29" s="158"/>
      <c r="BZ29" s="158"/>
      <c r="CA29" s="158"/>
      <c r="CB29" s="158"/>
      <c r="CC29" s="158"/>
      <c r="CD29" s="158"/>
      <c r="CE29" s="158"/>
      <c r="CF29" s="158"/>
      <c r="CG29" s="158"/>
      <c r="CH29" s="200"/>
      <c r="CI29" s="158"/>
      <c r="CJ29" s="158"/>
      <c r="CK29" s="158"/>
      <c r="CL29" s="309"/>
      <c r="CM29" s="158"/>
      <c r="CN29" s="158"/>
      <c r="CO29" s="158"/>
      <c r="CP29" s="158"/>
      <c r="CQ29" s="309"/>
      <c r="CR29" s="158"/>
      <c r="CS29" s="158"/>
      <c r="CT29" s="158"/>
      <c r="CU29" s="158"/>
      <c r="CV29" s="158"/>
      <c r="CW29" s="158"/>
      <c r="CX29" s="158"/>
      <c r="CY29" s="158"/>
      <c r="CZ29" s="158"/>
      <c r="DA29" s="158"/>
      <c r="DB29" s="158"/>
      <c r="DC29" s="158"/>
      <c r="DD29" s="158"/>
      <c r="DE29" s="158"/>
      <c r="DF29" s="158"/>
      <c r="DG29" s="158"/>
      <c r="DH29" s="158"/>
      <c r="DI29" s="158"/>
      <c r="DJ29" s="158"/>
      <c r="DK29" s="158"/>
      <c r="DL29" s="158"/>
      <c r="DM29" s="158"/>
      <c r="DN29" s="158"/>
      <c r="DO29" s="158"/>
      <c r="DP29" s="158"/>
      <c r="DQ29" s="158"/>
      <c r="DR29" s="158"/>
      <c r="DS29" s="158"/>
      <c r="DT29" s="158"/>
      <c r="DU29" s="158"/>
      <c r="DV29" s="158"/>
      <c r="DW29" s="425"/>
      <c r="DX29" s="311" t="s">
        <v>2279</v>
      </c>
      <c r="DY29" s="418"/>
      <c r="DZ29" s="311" t="s">
        <v>2279</v>
      </c>
    </row>
    <row r="30" spans="1:130" s="152" customFormat="1">
      <c r="A30" s="158" t="s">
        <v>2357</v>
      </c>
      <c r="B30" s="158" t="s">
        <v>58</v>
      </c>
      <c r="C30" s="158" t="s">
        <v>58</v>
      </c>
      <c r="D30" s="158" t="s">
        <v>58</v>
      </c>
      <c r="E30" s="158" t="s">
        <v>48</v>
      </c>
      <c r="F30" s="158" t="s">
        <v>2398</v>
      </c>
      <c r="G30" s="152" t="s">
        <v>3100</v>
      </c>
      <c r="H30" s="152" t="s">
        <v>3100</v>
      </c>
      <c r="I30" s="158" t="s">
        <v>3100</v>
      </c>
      <c r="J30" s="152" t="s">
        <v>3101</v>
      </c>
      <c r="K30" s="152" t="s">
        <v>3101</v>
      </c>
      <c r="L30" s="158" t="s">
        <v>2359</v>
      </c>
      <c r="M30" s="158" t="s">
        <v>2277</v>
      </c>
      <c r="N30" s="158" t="s">
        <v>2360</v>
      </c>
      <c r="O30" s="158" t="s">
        <v>182</v>
      </c>
      <c r="P30" s="158" t="s">
        <v>183</v>
      </c>
      <c r="Q30" s="158" t="s">
        <v>88</v>
      </c>
      <c r="R30" s="158" t="s">
        <v>65</v>
      </c>
      <c r="S30" s="158" t="s">
        <v>2362</v>
      </c>
      <c r="T30" s="308" t="s">
        <v>2363</v>
      </c>
      <c r="U30" s="158" t="s">
        <v>2399</v>
      </c>
      <c r="V30" s="158" t="s">
        <v>52</v>
      </c>
      <c r="W30" s="158" t="s">
        <v>1365</v>
      </c>
      <c r="X30" s="158" t="s">
        <v>2181</v>
      </c>
      <c r="Y30" s="309" t="s">
        <v>658</v>
      </c>
      <c r="Z30" s="158" t="s">
        <v>2400</v>
      </c>
      <c r="AA30" s="158" t="s">
        <v>2383</v>
      </c>
      <c r="AB30" s="158" t="s">
        <v>2401</v>
      </c>
      <c r="AC30" s="158" t="s">
        <v>2194</v>
      </c>
      <c r="AD30" s="158" t="s">
        <v>2402</v>
      </c>
      <c r="AE30" s="310" t="s">
        <v>2403</v>
      </c>
      <c r="AF30" s="310" t="s">
        <v>53</v>
      </c>
      <c r="AG30" s="310" t="s">
        <v>2370</v>
      </c>
      <c r="AH30" s="158" t="s">
        <v>2371</v>
      </c>
      <c r="AI30" s="158"/>
      <c r="AJ30" s="158" t="s">
        <v>657</v>
      </c>
      <c r="AK30" s="158" t="s">
        <v>52</v>
      </c>
      <c r="AL30" s="158" t="s">
        <v>2404</v>
      </c>
      <c r="AM30" s="158" t="s">
        <v>2374</v>
      </c>
      <c r="AN30" s="158"/>
      <c r="AO30" s="276" t="s">
        <v>1292</v>
      </c>
      <c r="AP30" s="276" t="s">
        <v>53</v>
      </c>
      <c r="AQ30" s="158" t="s">
        <v>1991</v>
      </c>
      <c r="AR30" s="158" t="s">
        <v>2325</v>
      </c>
      <c r="AS30" s="158"/>
      <c r="AT30" s="280" t="s">
        <v>1334</v>
      </c>
      <c r="AU30" s="158" t="s">
        <v>54</v>
      </c>
      <c r="AV30" s="158" t="s">
        <v>2054</v>
      </c>
      <c r="AW30" s="158" t="s">
        <v>2178</v>
      </c>
      <c r="AX30" s="158"/>
      <c r="AY30" s="158" t="s">
        <v>2405</v>
      </c>
      <c r="AZ30" s="158" t="s">
        <v>52</v>
      </c>
      <c r="BA30" s="158" t="s">
        <v>2053</v>
      </c>
      <c r="BB30" s="158" t="s">
        <v>2277</v>
      </c>
      <c r="BC30" s="158"/>
      <c r="BD30" s="158"/>
      <c r="BE30" s="158"/>
      <c r="BF30" s="158"/>
      <c r="BG30" s="158"/>
      <c r="BH30" s="158"/>
      <c r="BI30" s="158"/>
      <c r="BJ30" s="158"/>
      <c r="BK30" s="158"/>
      <c r="BL30" s="158"/>
      <c r="BM30" s="158"/>
      <c r="BN30" s="158"/>
      <c r="BO30" s="158"/>
      <c r="BP30" s="158"/>
      <c r="BQ30" s="158"/>
      <c r="BR30" s="158"/>
      <c r="BS30" s="158"/>
      <c r="BT30" s="158"/>
      <c r="BU30" s="158"/>
      <c r="BV30" s="158"/>
      <c r="BW30" s="158"/>
      <c r="BX30" s="158"/>
      <c r="BY30" s="158"/>
      <c r="BZ30" s="158"/>
      <c r="CA30" s="158"/>
      <c r="CB30" s="158"/>
      <c r="CC30" s="158"/>
      <c r="CD30" s="158"/>
      <c r="CE30" s="158"/>
      <c r="CF30" s="158"/>
      <c r="CG30" s="158"/>
      <c r="CH30" s="200"/>
      <c r="CI30" s="158"/>
      <c r="CJ30" s="158"/>
      <c r="CK30" s="158"/>
      <c r="CL30" s="309"/>
      <c r="CM30" s="158"/>
      <c r="CN30" s="158"/>
      <c r="CO30" s="158"/>
      <c r="CP30" s="158"/>
      <c r="CQ30" s="309"/>
      <c r="CR30" s="158"/>
      <c r="CS30" s="158"/>
      <c r="CT30" s="158"/>
      <c r="CU30" s="158"/>
      <c r="CV30" s="158"/>
      <c r="CW30" s="158"/>
      <c r="CX30" s="158"/>
      <c r="CY30" s="158"/>
      <c r="CZ30" s="158"/>
      <c r="DA30" s="158"/>
      <c r="DB30" s="158"/>
      <c r="DC30" s="158"/>
      <c r="DD30" s="158"/>
      <c r="DE30" s="158"/>
      <c r="DF30" s="158"/>
      <c r="DG30" s="158"/>
      <c r="DH30" s="158"/>
      <c r="DI30" s="158"/>
      <c r="DJ30" s="158"/>
      <c r="DK30" s="158"/>
      <c r="DL30" s="158"/>
      <c r="DM30" s="158"/>
      <c r="DN30" s="158"/>
      <c r="DO30" s="158"/>
      <c r="DP30" s="158"/>
      <c r="DQ30" s="158"/>
      <c r="DR30" s="158"/>
      <c r="DS30" s="158"/>
      <c r="DT30" s="158"/>
      <c r="DU30" s="158"/>
      <c r="DV30" s="158"/>
      <c r="DW30" s="425"/>
      <c r="DX30" s="311" t="s">
        <v>2279</v>
      </c>
      <c r="DY30" s="418"/>
      <c r="DZ30" s="311" t="s">
        <v>2279</v>
      </c>
    </row>
    <row r="31" spans="1:130" s="152" customFormat="1">
      <c r="A31" s="158" t="s">
        <v>2357</v>
      </c>
      <c r="B31" s="158" t="s">
        <v>58</v>
      </c>
      <c r="C31" s="158" t="s">
        <v>58</v>
      </c>
      <c r="D31" s="158" t="s">
        <v>58</v>
      </c>
      <c r="E31" s="158" t="s">
        <v>48</v>
      </c>
      <c r="F31" s="158" t="s">
        <v>2406</v>
      </c>
      <c r="G31" s="152" t="s">
        <v>3100</v>
      </c>
      <c r="H31" s="152" t="s">
        <v>3100</v>
      </c>
      <c r="I31" s="158" t="s">
        <v>3100</v>
      </c>
      <c r="J31" s="152" t="s">
        <v>3101</v>
      </c>
      <c r="K31" s="152" t="s">
        <v>3101</v>
      </c>
      <c r="L31" s="158" t="s">
        <v>2359</v>
      </c>
      <c r="M31" s="158" t="s">
        <v>2277</v>
      </c>
      <c r="N31" s="158" t="s">
        <v>2360</v>
      </c>
      <c r="O31" s="158" t="s">
        <v>182</v>
      </c>
      <c r="P31" s="158" t="s">
        <v>183</v>
      </c>
      <c r="Q31" s="158" t="s">
        <v>88</v>
      </c>
      <c r="R31" s="158" t="s">
        <v>111</v>
      </c>
      <c r="S31" s="158" t="s">
        <v>2362</v>
      </c>
      <c r="T31" s="308" t="s">
        <v>2363</v>
      </c>
      <c r="U31" s="158" t="s">
        <v>2407</v>
      </c>
      <c r="V31" s="158" t="s">
        <v>52</v>
      </c>
      <c r="W31" s="158" t="s">
        <v>2390</v>
      </c>
      <c r="X31" s="158" t="s">
        <v>2181</v>
      </c>
      <c r="Y31" s="309" t="s">
        <v>660</v>
      </c>
      <c r="Z31" s="158" t="s">
        <v>2408</v>
      </c>
      <c r="AA31" s="158" t="s">
        <v>2383</v>
      </c>
      <c r="AB31" s="158" t="s">
        <v>2401</v>
      </c>
      <c r="AC31" s="158" t="s">
        <v>2194</v>
      </c>
      <c r="AD31" s="158" t="s">
        <v>2409</v>
      </c>
      <c r="AE31" s="158"/>
      <c r="AF31" s="158"/>
      <c r="AG31" s="158"/>
      <c r="AH31" s="158"/>
      <c r="AI31" s="158"/>
      <c r="AJ31" s="158" t="s">
        <v>659</v>
      </c>
      <c r="AK31" s="158" t="s">
        <v>52</v>
      </c>
      <c r="AL31" s="158" t="s">
        <v>2410</v>
      </c>
      <c r="AM31" s="158" t="s">
        <v>2374</v>
      </c>
      <c r="AN31" s="158"/>
      <c r="AO31" s="276" t="s">
        <v>1018</v>
      </c>
      <c r="AP31" s="276" t="s">
        <v>53</v>
      </c>
      <c r="AQ31" s="158" t="s">
        <v>1992</v>
      </c>
      <c r="AR31" s="158" t="s">
        <v>2325</v>
      </c>
      <c r="AS31" s="158"/>
      <c r="AT31" s="280" t="s">
        <v>1335</v>
      </c>
      <c r="AU31" s="158" t="s">
        <v>54</v>
      </c>
      <c r="AV31" s="158" t="s">
        <v>2054</v>
      </c>
      <c r="AW31" s="158" t="s">
        <v>2178</v>
      </c>
      <c r="AX31" s="158"/>
      <c r="AY31" s="158" t="s">
        <v>2411</v>
      </c>
      <c r="AZ31" s="158" t="s">
        <v>52</v>
      </c>
      <c r="BA31" s="158" t="s">
        <v>2053</v>
      </c>
      <c r="BB31" s="158" t="s">
        <v>2277</v>
      </c>
      <c r="BC31" s="158"/>
      <c r="BD31" s="158"/>
      <c r="BE31" s="158"/>
      <c r="BF31" s="158"/>
      <c r="BG31" s="158"/>
      <c r="BH31" s="158"/>
      <c r="BI31" s="158"/>
      <c r="BJ31" s="158"/>
      <c r="BK31" s="158"/>
      <c r="BL31" s="158"/>
      <c r="BM31" s="158"/>
      <c r="BN31" s="158"/>
      <c r="BO31" s="158"/>
      <c r="BP31" s="158"/>
      <c r="BQ31" s="158"/>
      <c r="BR31" s="158"/>
      <c r="BS31" s="158"/>
      <c r="BT31" s="158"/>
      <c r="BU31" s="158"/>
      <c r="BV31" s="158"/>
      <c r="BW31" s="158"/>
      <c r="BX31" s="158"/>
      <c r="BY31" s="158"/>
      <c r="BZ31" s="158"/>
      <c r="CA31" s="158"/>
      <c r="CB31" s="158"/>
      <c r="CC31" s="158"/>
      <c r="CD31" s="158"/>
      <c r="CE31" s="158"/>
      <c r="CF31" s="158"/>
      <c r="CG31" s="158"/>
      <c r="CH31" s="200"/>
      <c r="CI31" s="158"/>
      <c r="CJ31" s="158"/>
      <c r="CK31" s="158"/>
      <c r="CL31" s="309"/>
      <c r="CM31" s="158"/>
      <c r="CN31" s="158"/>
      <c r="CO31" s="158"/>
      <c r="CP31" s="158"/>
      <c r="CQ31" s="309"/>
      <c r="CR31" s="158"/>
      <c r="CS31" s="158"/>
      <c r="CT31" s="158"/>
      <c r="CU31" s="158"/>
      <c r="CV31" s="158"/>
      <c r="CW31" s="158"/>
      <c r="CX31" s="158"/>
      <c r="CY31" s="158"/>
      <c r="CZ31" s="158"/>
      <c r="DA31" s="158"/>
      <c r="DB31" s="158"/>
      <c r="DC31" s="158"/>
      <c r="DD31" s="158"/>
      <c r="DE31" s="158"/>
      <c r="DF31" s="158"/>
      <c r="DG31" s="158"/>
      <c r="DH31" s="158"/>
      <c r="DI31" s="158"/>
      <c r="DJ31" s="158"/>
      <c r="DK31" s="158"/>
      <c r="DL31" s="158"/>
      <c r="DM31" s="158"/>
      <c r="DN31" s="158"/>
      <c r="DO31" s="158"/>
      <c r="DP31" s="158"/>
      <c r="DQ31" s="158"/>
      <c r="DR31" s="158"/>
      <c r="DS31" s="158"/>
      <c r="DT31" s="158"/>
      <c r="DU31" s="158"/>
      <c r="DV31" s="158"/>
      <c r="DW31" s="425"/>
      <c r="DX31" s="311" t="s">
        <v>2279</v>
      </c>
      <c r="DY31" s="418"/>
      <c r="DZ31" s="311" t="s">
        <v>2279</v>
      </c>
    </row>
    <row r="32" spans="1:130" s="152" customFormat="1">
      <c r="A32" s="158" t="s">
        <v>2357</v>
      </c>
      <c r="B32" s="158" t="s">
        <v>58</v>
      </c>
      <c r="C32" s="158" t="s">
        <v>58</v>
      </c>
      <c r="D32" s="158" t="s">
        <v>58</v>
      </c>
      <c r="E32" s="158" t="s">
        <v>48</v>
      </c>
      <c r="F32" s="158" t="s">
        <v>2412</v>
      </c>
      <c r="G32" s="152" t="s">
        <v>3100</v>
      </c>
      <c r="H32" s="152" t="s">
        <v>3100</v>
      </c>
      <c r="I32" s="158" t="s">
        <v>3100</v>
      </c>
      <c r="J32" s="152" t="s">
        <v>3101</v>
      </c>
      <c r="K32" s="152" t="s">
        <v>3101</v>
      </c>
      <c r="L32" s="158" t="s">
        <v>2359</v>
      </c>
      <c r="M32" s="158" t="s">
        <v>2277</v>
      </c>
      <c r="N32" s="158" t="s">
        <v>2360</v>
      </c>
      <c r="O32" s="158" t="s">
        <v>182</v>
      </c>
      <c r="P32" s="158" t="s">
        <v>183</v>
      </c>
      <c r="Q32" s="158" t="s">
        <v>267</v>
      </c>
      <c r="R32" s="158" t="s">
        <v>66</v>
      </c>
      <c r="S32" s="158" t="s">
        <v>2362</v>
      </c>
      <c r="T32" s="308" t="s">
        <v>2363</v>
      </c>
      <c r="U32" s="158" t="s">
        <v>2413</v>
      </c>
      <c r="V32" s="158" t="s">
        <v>52</v>
      </c>
      <c r="W32" s="158" t="s">
        <v>1365</v>
      </c>
      <c r="X32" s="158" t="s">
        <v>2181</v>
      </c>
      <c r="Y32" s="309" t="s">
        <v>661</v>
      </c>
      <c r="Z32" s="158" t="s">
        <v>2414</v>
      </c>
      <c r="AA32" s="158" t="s">
        <v>760</v>
      </c>
      <c r="AB32" s="158" t="s">
        <v>1369</v>
      </c>
      <c r="AC32" s="158" t="s">
        <v>2194</v>
      </c>
      <c r="AD32" s="158" t="s">
        <v>2415</v>
      </c>
      <c r="AE32" s="158"/>
      <c r="AF32" s="158"/>
      <c r="AG32" s="158"/>
      <c r="AH32" s="158"/>
      <c r="AI32" s="158"/>
      <c r="AJ32" s="158" t="s">
        <v>1958</v>
      </c>
      <c r="AK32" s="158" t="s">
        <v>52</v>
      </c>
      <c r="AL32" s="158" t="s">
        <v>2416</v>
      </c>
      <c r="AM32" s="158" t="s">
        <v>2374</v>
      </c>
      <c r="AN32" s="158"/>
      <c r="AO32" s="276" t="s">
        <v>1019</v>
      </c>
      <c r="AP32" s="276" t="s">
        <v>53</v>
      </c>
      <c r="AQ32" s="158" t="s">
        <v>1993</v>
      </c>
      <c r="AR32" s="158" t="s">
        <v>2325</v>
      </c>
      <c r="AS32" s="158"/>
      <c r="AT32" s="280"/>
      <c r="AU32" s="158"/>
      <c r="AV32" s="158"/>
      <c r="AW32" s="158"/>
      <c r="AX32" s="158"/>
      <c r="AY32" s="158" t="s">
        <v>2417</v>
      </c>
      <c r="AZ32" s="158" t="s">
        <v>52</v>
      </c>
      <c r="BA32" s="158" t="s">
        <v>2053</v>
      </c>
      <c r="BB32" s="158" t="s">
        <v>2277</v>
      </c>
      <c r="BC32" s="158"/>
      <c r="BD32" s="158"/>
      <c r="BE32" s="158"/>
      <c r="BF32" s="158"/>
      <c r="BG32" s="158"/>
      <c r="BH32" s="158"/>
      <c r="BI32" s="158"/>
      <c r="BJ32" s="158"/>
      <c r="BK32" s="158"/>
      <c r="BL32" s="158"/>
      <c r="BM32" s="158"/>
      <c r="BN32" s="158"/>
      <c r="BO32" s="158"/>
      <c r="BP32" s="158"/>
      <c r="BQ32" s="158"/>
      <c r="BR32" s="158"/>
      <c r="BS32" s="158"/>
      <c r="BT32" s="158"/>
      <c r="BU32" s="158"/>
      <c r="BV32" s="158"/>
      <c r="BW32" s="158"/>
      <c r="BX32" s="158"/>
      <c r="BY32" s="158"/>
      <c r="BZ32" s="158"/>
      <c r="CA32" s="158"/>
      <c r="CB32" s="158"/>
      <c r="CC32" s="158"/>
      <c r="CD32" s="158"/>
      <c r="CE32" s="158"/>
      <c r="CF32" s="158"/>
      <c r="CG32" s="158"/>
      <c r="CH32" s="200"/>
      <c r="CI32" s="158"/>
      <c r="CJ32" s="158"/>
      <c r="CK32" s="158"/>
      <c r="CL32" s="309"/>
      <c r="CM32" s="158"/>
      <c r="CN32" s="158"/>
      <c r="CO32" s="158"/>
      <c r="CP32" s="158"/>
      <c r="CQ32" s="309"/>
      <c r="CR32" s="158"/>
      <c r="CS32" s="158"/>
      <c r="CT32" s="158"/>
      <c r="CU32" s="158"/>
      <c r="CV32" s="158"/>
      <c r="CW32" s="158"/>
      <c r="CX32" s="158"/>
      <c r="CY32" s="158"/>
      <c r="CZ32" s="158"/>
      <c r="DA32" s="158"/>
      <c r="DB32" s="158"/>
      <c r="DC32" s="158"/>
      <c r="DD32" s="158"/>
      <c r="DE32" s="158"/>
      <c r="DF32" s="158"/>
      <c r="DG32" s="158"/>
      <c r="DH32" s="158"/>
      <c r="DI32" s="158"/>
      <c r="DJ32" s="158"/>
      <c r="DK32" s="158"/>
      <c r="DL32" s="158"/>
      <c r="DM32" s="158"/>
      <c r="DN32" s="158"/>
      <c r="DO32" s="158"/>
      <c r="DP32" s="158"/>
      <c r="DQ32" s="158"/>
      <c r="DR32" s="158"/>
      <c r="DS32" s="158"/>
      <c r="DT32" s="158"/>
      <c r="DU32" s="158"/>
      <c r="DV32" s="158"/>
      <c r="DW32" s="425"/>
      <c r="DX32" s="311" t="s">
        <v>2279</v>
      </c>
      <c r="DY32" s="418"/>
      <c r="DZ32" s="311" t="s">
        <v>2279</v>
      </c>
    </row>
    <row r="33" spans="1:136" s="152" customFormat="1">
      <c r="A33" s="158" t="s">
        <v>2357</v>
      </c>
      <c r="B33" s="158" t="s">
        <v>57</v>
      </c>
      <c r="C33" s="158" t="s">
        <v>57</v>
      </c>
      <c r="D33" s="158" t="s">
        <v>58</v>
      </c>
      <c r="E33" s="158" t="s">
        <v>48</v>
      </c>
      <c r="F33" s="158" t="s">
        <v>2418</v>
      </c>
      <c r="G33" s="345" t="s">
        <v>3102</v>
      </c>
      <c r="H33" s="345" t="s">
        <v>3102</v>
      </c>
      <c r="I33" s="345" t="s">
        <v>3102</v>
      </c>
      <c r="J33" s="345" t="s">
        <v>3102</v>
      </c>
      <c r="K33" s="345" t="s">
        <v>3102</v>
      </c>
      <c r="L33" s="158" t="s">
        <v>2367</v>
      </c>
      <c r="M33" s="158" t="s">
        <v>2181</v>
      </c>
      <c r="N33" s="158" t="s">
        <v>2360</v>
      </c>
      <c r="O33" s="158" t="s">
        <v>182</v>
      </c>
      <c r="P33" s="158" t="s">
        <v>183</v>
      </c>
      <c r="Q33" s="273" t="s">
        <v>272</v>
      </c>
      <c r="R33" s="158" t="s">
        <v>2199</v>
      </c>
      <c r="S33" s="158" t="s">
        <v>12</v>
      </c>
      <c r="T33" s="308" t="s">
        <v>2363</v>
      </c>
      <c r="U33" s="158" t="str">
        <f>LOWER(F33)</f>
        <v>mmc0_clk_fb_out</v>
      </c>
      <c r="V33" s="158" t="s">
        <v>53</v>
      </c>
      <c r="W33" s="158" t="s">
        <v>2324</v>
      </c>
      <c r="X33" s="158" t="s">
        <v>2181</v>
      </c>
      <c r="Y33" s="309" t="s">
        <v>2419</v>
      </c>
      <c r="Z33" s="200"/>
      <c r="AA33" s="158"/>
      <c r="AB33" s="158"/>
      <c r="AC33" s="158"/>
      <c r="AD33" s="158"/>
      <c r="AE33" s="158"/>
      <c r="AF33" s="158"/>
      <c r="AG33" s="158"/>
      <c r="AH33" s="158"/>
      <c r="AI33" s="158"/>
      <c r="AJ33" s="158"/>
      <c r="AK33" s="158"/>
      <c r="AL33" s="158"/>
      <c r="AM33" s="158"/>
      <c r="AN33" s="158"/>
      <c r="AO33" s="158"/>
      <c r="AP33" s="158"/>
      <c r="AQ33" s="158"/>
      <c r="AR33" s="158"/>
      <c r="AS33" s="158"/>
      <c r="AT33" s="158"/>
      <c r="AU33" s="158"/>
      <c r="AV33" s="158"/>
      <c r="AW33" s="158"/>
      <c r="AX33" s="158"/>
      <c r="AY33" s="158"/>
      <c r="AZ33" s="158"/>
      <c r="BA33" s="158"/>
      <c r="BB33" s="158"/>
      <c r="BC33" s="158"/>
      <c r="BD33" s="158"/>
      <c r="BE33" s="158"/>
      <c r="BF33" s="158"/>
      <c r="BG33" s="158"/>
      <c r="BH33" s="158"/>
      <c r="BI33" s="158"/>
      <c r="BJ33" s="158"/>
      <c r="BK33" s="158"/>
      <c r="BL33" s="158"/>
      <c r="BM33" s="158"/>
      <c r="BN33" s="158"/>
      <c r="BO33" s="158"/>
      <c r="BP33" s="158"/>
      <c r="BQ33" s="158"/>
      <c r="BR33" s="158"/>
      <c r="BS33" s="158"/>
      <c r="BT33" s="158"/>
      <c r="BU33" s="158"/>
      <c r="BV33" s="158"/>
      <c r="BW33" s="158"/>
      <c r="BX33" s="158"/>
      <c r="BY33" s="158"/>
      <c r="BZ33" s="158"/>
      <c r="CA33" s="158"/>
      <c r="CB33" s="158"/>
      <c r="CC33" s="158"/>
      <c r="CD33" s="158"/>
      <c r="CE33" s="158"/>
      <c r="CF33" s="158"/>
      <c r="CG33" s="158"/>
      <c r="CH33" s="158"/>
      <c r="CI33" s="158"/>
      <c r="CJ33" s="158"/>
      <c r="CK33" s="158"/>
      <c r="CL33" s="158"/>
      <c r="CM33" s="200"/>
      <c r="CN33" s="158"/>
      <c r="CO33" s="158"/>
      <c r="CP33" s="158"/>
      <c r="CQ33" s="158"/>
      <c r="CR33" s="158"/>
      <c r="CS33" s="158"/>
      <c r="CT33" s="158"/>
      <c r="CU33" s="158"/>
      <c r="CV33" s="158"/>
      <c r="CW33" s="158"/>
      <c r="CX33" s="158"/>
      <c r="CY33" s="158"/>
      <c r="CZ33" s="158"/>
      <c r="DA33" s="158"/>
      <c r="DB33" s="158"/>
      <c r="DC33" s="158"/>
      <c r="DD33" s="158"/>
      <c r="DE33" s="158"/>
      <c r="DF33" s="158"/>
      <c r="DG33" s="158"/>
      <c r="DH33" s="158"/>
      <c r="DI33" s="158"/>
      <c r="DJ33" s="158"/>
      <c r="DK33" s="158"/>
      <c r="DL33" s="158"/>
      <c r="DM33" s="158"/>
      <c r="DN33" s="158"/>
      <c r="DO33" s="158"/>
      <c r="DP33" s="158"/>
      <c r="DQ33" s="158"/>
      <c r="DR33" s="158"/>
      <c r="DS33" s="158"/>
      <c r="DT33" s="158"/>
      <c r="DU33" s="158"/>
      <c r="DV33" s="158"/>
      <c r="DW33" s="425"/>
      <c r="DX33" s="311" t="s">
        <v>2279</v>
      </c>
      <c r="DY33" s="418"/>
      <c r="DZ33" s="311" t="s">
        <v>2279</v>
      </c>
    </row>
    <row r="34" spans="1:136" s="152" customFormat="1">
      <c r="A34" s="158" t="s">
        <v>2357</v>
      </c>
      <c r="B34" s="158" t="s">
        <v>57</v>
      </c>
      <c r="C34" s="158" t="s">
        <v>57</v>
      </c>
      <c r="D34" s="158" t="s">
        <v>58</v>
      </c>
      <c r="E34" s="158" t="s">
        <v>50</v>
      </c>
      <c r="F34" s="158" t="s">
        <v>2420</v>
      </c>
      <c r="G34" s="345" t="s">
        <v>3102</v>
      </c>
      <c r="H34" s="345" t="s">
        <v>3102</v>
      </c>
      <c r="I34" s="345" t="s">
        <v>3102</v>
      </c>
      <c r="J34" s="345" t="s">
        <v>3102</v>
      </c>
      <c r="K34" s="345" t="s">
        <v>3102</v>
      </c>
      <c r="L34" s="158" t="s">
        <v>2383</v>
      </c>
      <c r="M34" s="158" t="s">
        <v>2181</v>
      </c>
      <c r="N34" s="158" t="s">
        <v>2360</v>
      </c>
      <c r="O34" s="158" t="s">
        <v>182</v>
      </c>
      <c r="P34" s="158" t="s">
        <v>185</v>
      </c>
      <c r="Q34" s="158" t="s">
        <v>267</v>
      </c>
      <c r="R34" s="158" t="s">
        <v>2421</v>
      </c>
      <c r="S34" s="158" t="s">
        <v>12</v>
      </c>
      <c r="T34" s="308" t="s">
        <v>2363</v>
      </c>
      <c r="U34" s="158" t="str">
        <f>LOWER(F34)</f>
        <v>mmc0_clk_fb_in</v>
      </c>
      <c r="V34" s="158" t="s">
        <v>54</v>
      </c>
      <c r="W34" s="158" t="s">
        <v>2324</v>
      </c>
      <c r="X34" s="158" t="s">
        <v>2181</v>
      </c>
      <c r="Y34" s="309" t="s">
        <v>2422</v>
      </c>
      <c r="Z34" s="158"/>
      <c r="AA34" s="158"/>
      <c r="AB34" s="158"/>
      <c r="AC34" s="158"/>
      <c r="AD34" s="309"/>
      <c r="AE34" s="158"/>
      <c r="AF34" s="158"/>
      <c r="AG34" s="158"/>
      <c r="AH34" s="158"/>
      <c r="AI34" s="158"/>
      <c r="AJ34" s="158"/>
      <c r="AK34" s="158"/>
      <c r="AL34" s="158"/>
      <c r="AM34" s="158"/>
      <c r="AN34" s="158"/>
      <c r="AO34" s="158"/>
      <c r="AP34" s="158"/>
      <c r="AQ34" s="158"/>
      <c r="AR34" s="158"/>
      <c r="AS34" s="158"/>
      <c r="AT34" s="158"/>
      <c r="AU34" s="158"/>
      <c r="AV34" s="158"/>
      <c r="AW34" s="158"/>
      <c r="AX34" s="158"/>
      <c r="AY34" s="158"/>
      <c r="AZ34" s="158"/>
      <c r="BA34" s="158"/>
      <c r="BB34" s="158"/>
      <c r="BC34" s="158"/>
      <c r="BD34" s="158"/>
      <c r="BE34" s="158"/>
      <c r="BF34" s="158"/>
      <c r="BG34" s="158"/>
      <c r="BH34" s="158"/>
      <c r="BI34" s="158"/>
      <c r="BJ34" s="158"/>
      <c r="BK34" s="158"/>
      <c r="BL34" s="158"/>
      <c r="BM34" s="158"/>
      <c r="BN34" s="158"/>
      <c r="BO34" s="158"/>
      <c r="BP34" s="158"/>
      <c r="BQ34" s="158"/>
      <c r="BR34" s="158"/>
      <c r="BS34" s="158"/>
      <c r="BT34" s="158"/>
      <c r="BU34" s="158"/>
      <c r="BV34" s="158"/>
      <c r="BW34" s="158"/>
      <c r="BX34" s="158"/>
      <c r="BY34" s="158"/>
      <c r="BZ34" s="158"/>
      <c r="CA34" s="158"/>
      <c r="CB34" s="158"/>
      <c r="CC34" s="158"/>
      <c r="CD34" s="158"/>
      <c r="CE34" s="158"/>
      <c r="CF34" s="158"/>
      <c r="CG34" s="158"/>
      <c r="CH34" s="158"/>
      <c r="CI34" s="158"/>
      <c r="CJ34" s="158"/>
      <c r="CK34" s="158"/>
      <c r="CL34" s="158"/>
      <c r="CM34" s="200"/>
      <c r="CN34" s="158"/>
      <c r="CO34" s="158"/>
      <c r="CP34" s="158"/>
      <c r="CQ34" s="158"/>
      <c r="CR34" s="158"/>
      <c r="CS34" s="158"/>
      <c r="CT34" s="158"/>
      <c r="CU34" s="158"/>
      <c r="CV34" s="158"/>
      <c r="CW34" s="158"/>
      <c r="CX34" s="158"/>
      <c r="CY34" s="158"/>
      <c r="CZ34" s="158"/>
      <c r="DA34" s="158"/>
      <c r="DB34" s="158"/>
      <c r="DC34" s="158"/>
      <c r="DD34" s="158"/>
      <c r="DE34" s="158"/>
      <c r="DF34" s="158"/>
      <c r="DG34" s="158"/>
      <c r="DH34" s="158"/>
      <c r="DI34" s="158"/>
      <c r="DJ34" s="158"/>
      <c r="DK34" s="158"/>
      <c r="DL34" s="158"/>
      <c r="DM34" s="158"/>
      <c r="DN34" s="158"/>
      <c r="DO34" s="158"/>
      <c r="DP34" s="158"/>
      <c r="DQ34" s="158"/>
      <c r="DR34" s="158"/>
      <c r="DS34" s="158"/>
      <c r="DT34" s="158"/>
      <c r="DU34" s="158"/>
      <c r="DV34" s="158"/>
      <c r="DW34" s="426"/>
      <c r="DX34" s="311" t="s">
        <v>2279</v>
      </c>
      <c r="DY34" s="419"/>
      <c r="DZ34" s="311" t="s">
        <v>2279</v>
      </c>
    </row>
    <row r="35" spans="1:136" s="180" customFormat="1">
      <c r="A35" s="218" t="s">
        <v>2423</v>
      </c>
      <c r="B35" s="150"/>
      <c r="C35" s="150"/>
      <c r="D35" s="150"/>
      <c r="E35" s="150"/>
      <c r="F35" s="150"/>
      <c r="G35" s="343"/>
      <c r="H35" s="343"/>
      <c r="I35" s="343"/>
      <c r="J35" s="343"/>
      <c r="K35" s="343"/>
      <c r="L35" s="38"/>
      <c r="M35" s="38"/>
      <c r="N35" s="38"/>
      <c r="O35" s="38"/>
      <c r="P35" s="38"/>
      <c r="Q35" s="38"/>
      <c r="R35" s="38"/>
      <c r="S35" s="38"/>
      <c r="T35" s="36"/>
      <c r="U35" s="36"/>
      <c r="V35" s="36"/>
      <c r="W35" s="36"/>
      <c r="X35" s="36"/>
      <c r="Y35" s="148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  <c r="CX35" s="36"/>
      <c r="CY35" s="36"/>
      <c r="CZ35" s="36"/>
      <c r="DA35" s="36"/>
      <c r="DB35" s="36"/>
      <c r="DC35" s="36"/>
      <c r="DD35" s="36"/>
      <c r="DE35" s="36"/>
      <c r="DF35" s="36"/>
      <c r="DG35" s="36"/>
      <c r="DH35" s="36"/>
      <c r="DI35" s="36"/>
      <c r="DJ35" s="36"/>
      <c r="DK35" s="36"/>
      <c r="DL35" s="36"/>
      <c r="DM35" s="36"/>
      <c r="DN35" s="36"/>
      <c r="DO35" s="36"/>
      <c r="DP35" s="36"/>
      <c r="DQ35" s="36"/>
      <c r="DR35" s="36"/>
      <c r="DS35" s="36"/>
      <c r="DT35" s="36"/>
      <c r="DU35" s="36"/>
      <c r="DV35" s="36"/>
      <c r="DW35" s="300"/>
      <c r="DX35" s="300"/>
      <c r="DY35" s="300"/>
      <c r="DZ35" s="300"/>
    </row>
    <row r="36" spans="1:136" s="201" customFormat="1" ht="12.75">
      <c r="A36" s="199" t="s">
        <v>2281</v>
      </c>
      <c r="B36" s="199" t="s">
        <v>58</v>
      </c>
      <c r="C36" s="199" t="s">
        <v>58</v>
      </c>
      <c r="D36" s="199" t="s">
        <v>58</v>
      </c>
      <c r="E36" s="202" t="s">
        <v>49</v>
      </c>
      <c r="F36" s="156" t="s">
        <v>2424</v>
      </c>
      <c r="G36" s="44" t="s">
        <v>3100</v>
      </c>
      <c r="H36" s="346" t="s">
        <v>3102</v>
      </c>
      <c r="I36" s="65" t="s">
        <v>3100</v>
      </c>
      <c r="J36" s="344" t="s">
        <v>3101</v>
      </c>
      <c r="K36" s="344" t="s">
        <v>3101</v>
      </c>
      <c r="L36" s="160" t="s">
        <v>54</v>
      </c>
      <c r="M36" s="199" t="s">
        <v>2182</v>
      </c>
      <c r="N36" s="199" t="s">
        <v>1113</v>
      </c>
      <c r="O36" s="160" t="s">
        <v>182</v>
      </c>
      <c r="P36" s="199" t="s">
        <v>185</v>
      </c>
      <c r="Q36" s="202" t="s">
        <v>86</v>
      </c>
      <c r="R36" s="160" t="s">
        <v>112</v>
      </c>
      <c r="S36" s="199" t="s">
        <v>508</v>
      </c>
      <c r="T36" s="202" t="s">
        <v>2425</v>
      </c>
      <c r="U36" s="156" t="str">
        <f t="shared" ref="U36:U41" si="0">LOWER(F36)</f>
        <v>jtag0_tck</v>
      </c>
      <c r="V36" s="202" t="s">
        <v>54</v>
      </c>
      <c r="W36" s="65" t="s">
        <v>2324</v>
      </c>
      <c r="X36" s="199" t="s">
        <v>2182</v>
      </c>
      <c r="Y36" s="312" t="s">
        <v>2426</v>
      </c>
      <c r="Z36" s="312"/>
      <c r="AA36" s="312"/>
      <c r="AB36" s="312"/>
      <c r="AC36" s="312"/>
      <c r="AD36" s="312"/>
      <c r="AE36" s="199"/>
      <c r="AF36" s="199"/>
      <c r="AG36" s="199"/>
      <c r="AH36" s="312"/>
      <c r="AI36" s="312"/>
      <c r="AJ36" s="312"/>
      <c r="AK36" s="312"/>
      <c r="AL36" s="312"/>
      <c r="AM36" s="312"/>
      <c r="AN36" s="312"/>
      <c r="AO36" s="312"/>
      <c r="AP36" s="312"/>
      <c r="AQ36" s="312"/>
      <c r="AR36" s="312"/>
      <c r="AS36" s="312"/>
      <c r="AT36" s="199"/>
      <c r="AU36" s="199"/>
      <c r="AV36" s="199"/>
      <c r="AW36" s="199"/>
      <c r="AX36" s="199"/>
      <c r="AY36" s="156" t="s">
        <v>2427</v>
      </c>
      <c r="AZ36" s="65" t="s">
        <v>54</v>
      </c>
      <c r="BA36" s="65" t="s">
        <v>2428</v>
      </c>
      <c r="BB36" s="312" t="s">
        <v>2374</v>
      </c>
      <c r="BC36" s="199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414" t="s">
        <v>2429</v>
      </c>
      <c r="DX36" s="156"/>
      <c r="DY36" s="414" t="s">
        <v>2280</v>
      </c>
      <c r="DZ36" s="303" t="s">
        <v>2279</v>
      </c>
    </row>
    <row r="37" spans="1:136" s="201" customFormat="1" ht="12.75">
      <c r="A37" s="199" t="s">
        <v>2281</v>
      </c>
      <c r="B37" s="199" t="s">
        <v>58</v>
      </c>
      <c r="C37" s="199" t="s">
        <v>58</v>
      </c>
      <c r="D37" s="199" t="s">
        <v>58</v>
      </c>
      <c r="E37" s="202" t="s">
        <v>49</v>
      </c>
      <c r="F37" s="156" t="s">
        <v>2430</v>
      </c>
      <c r="G37" s="44" t="s">
        <v>3100</v>
      </c>
      <c r="H37" s="346" t="s">
        <v>3102</v>
      </c>
      <c r="I37" s="65" t="s">
        <v>3100</v>
      </c>
      <c r="J37" s="344" t="s">
        <v>3101</v>
      </c>
      <c r="K37" s="344" t="s">
        <v>3101</v>
      </c>
      <c r="L37" s="160" t="s">
        <v>53</v>
      </c>
      <c r="M37" s="199" t="s">
        <v>2182</v>
      </c>
      <c r="N37" s="199" t="s">
        <v>1113</v>
      </c>
      <c r="O37" s="160" t="s">
        <v>182</v>
      </c>
      <c r="P37" s="199" t="s">
        <v>2200</v>
      </c>
      <c r="Q37" s="274" t="s">
        <v>272</v>
      </c>
      <c r="R37" s="160" t="s">
        <v>112</v>
      </c>
      <c r="S37" s="199" t="s">
        <v>12</v>
      </c>
      <c r="T37" s="202" t="s">
        <v>2425</v>
      </c>
      <c r="U37" s="156" t="str">
        <f t="shared" si="0"/>
        <v>jtag0_rtck</v>
      </c>
      <c r="V37" s="160" t="s">
        <v>53</v>
      </c>
      <c r="W37" s="65" t="s">
        <v>2324</v>
      </c>
      <c r="X37" s="199" t="s">
        <v>2182</v>
      </c>
      <c r="Y37" s="199" t="s">
        <v>2431</v>
      </c>
      <c r="Z37" s="199"/>
      <c r="AA37" s="199"/>
      <c r="AB37" s="199"/>
      <c r="AC37" s="199"/>
      <c r="AD37" s="199"/>
      <c r="AE37" s="199"/>
      <c r="AF37" s="199"/>
      <c r="AG37" s="199"/>
      <c r="AH37" s="199"/>
      <c r="AI37" s="199"/>
      <c r="AJ37" s="199"/>
      <c r="AK37" s="199"/>
      <c r="AL37" s="199"/>
      <c r="AM37" s="199"/>
      <c r="AN37" s="199"/>
      <c r="AO37" s="199"/>
      <c r="AP37" s="199"/>
      <c r="AQ37" s="199"/>
      <c r="AR37" s="199"/>
      <c r="AS37" s="199"/>
      <c r="AT37" s="199"/>
      <c r="AU37" s="199"/>
      <c r="AV37" s="199"/>
      <c r="AW37" s="199"/>
      <c r="AX37" s="199"/>
      <c r="AY37" s="199"/>
      <c r="AZ37" s="199"/>
      <c r="BA37" s="199"/>
      <c r="BB37" s="199"/>
      <c r="BC37" s="199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415"/>
      <c r="DX37" s="156"/>
      <c r="DY37" s="415"/>
      <c r="DZ37" s="303" t="s">
        <v>2279</v>
      </c>
    </row>
    <row r="38" spans="1:136" s="201" customFormat="1" ht="12.75">
      <c r="A38" s="199" t="s">
        <v>2281</v>
      </c>
      <c r="B38" s="199" t="s">
        <v>58</v>
      </c>
      <c r="C38" s="199" t="s">
        <v>58</v>
      </c>
      <c r="D38" s="199" t="s">
        <v>58</v>
      </c>
      <c r="E38" s="202" t="s">
        <v>48</v>
      </c>
      <c r="F38" s="156" t="s">
        <v>2432</v>
      </c>
      <c r="G38" s="44" t="s">
        <v>3100</v>
      </c>
      <c r="H38" s="346" t="s">
        <v>3102</v>
      </c>
      <c r="I38" s="65" t="s">
        <v>3100</v>
      </c>
      <c r="J38" s="344" t="s">
        <v>3101</v>
      </c>
      <c r="K38" s="344" t="s">
        <v>3101</v>
      </c>
      <c r="L38" s="160" t="s">
        <v>55</v>
      </c>
      <c r="M38" s="199" t="s">
        <v>2433</v>
      </c>
      <c r="N38" s="199" t="s">
        <v>1113</v>
      </c>
      <c r="O38" s="160" t="s">
        <v>182</v>
      </c>
      <c r="P38" s="199" t="s">
        <v>185</v>
      </c>
      <c r="Q38" s="202" t="s">
        <v>88</v>
      </c>
      <c r="R38" s="160" t="s">
        <v>112</v>
      </c>
      <c r="S38" s="199" t="s">
        <v>509</v>
      </c>
      <c r="T38" s="202" t="s">
        <v>2434</v>
      </c>
      <c r="U38" s="156" t="str">
        <f t="shared" si="0"/>
        <v>jtag0_trst_n</v>
      </c>
      <c r="V38" s="202" t="s">
        <v>55</v>
      </c>
      <c r="W38" s="65" t="s">
        <v>2324</v>
      </c>
      <c r="X38" s="199" t="s">
        <v>2435</v>
      </c>
      <c r="Y38" s="199" t="s">
        <v>2436</v>
      </c>
      <c r="Z38" s="199"/>
      <c r="AA38" s="199"/>
      <c r="AB38" s="199"/>
      <c r="AC38" s="199"/>
      <c r="AD38" s="199"/>
      <c r="AE38" s="199"/>
      <c r="AF38" s="199"/>
      <c r="AG38" s="199"/>
      <c r="AH38" s="199"/>
      <c r="AI38" s="199"/>
      <c r="AJ38" s="199"/>
      <c r="AK38" s="199"/>
      <c r="AL38" s="199"/>
      <c r="AM38" s="199"/>
      <c r="AN38" s="199"/>
      <c r="AO38" s="199"/>
      <c r="AP38" s="199"/>
      <c r="AQ38" s="199"/>
      <c r="AR38" s="199"/>
      <c r="AS38" s="199"/>
      <c r="AT38" s="199"/>
      <c r="AU38" s="199"/>
      <c r="AV38" s="199"/>
      <c r="AW38" s="199"/>
      <c r="AX38" s="199"/>
      <c r="AY38" s="160" t="s">
        <v>1237</v>
      </c>
      <c r="AZ38" s="160" t="s">
        <v>54</v>
      </c>
      <c r="BA38" s="65" t="s">
        <v>2053</v>
      </c>
      <c r="BB38" s="312" t="s">
        <v>2374</v>
      </c>
      <c r="BC38" s="199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415"/>
      <c r="DX38" s="156"/>
      <c r="DY38" s="415"/>
      <c r="DZ38" s="303" t="s">
        <v>2279</v>
      </c>
    </row>
    <row r="39" spans="1:136" s="201" customFormat="1" ht="12.75">
      <c r="A39" s="199" t="s">
        <v>2281</v>
      </c>
      <c r="B39" s="199" t="s">
        <v>58</v>
      </c>
      <c r="C39" s="199" t="s">
        <v>58</v>
      </c>
      <c r="D39" s="199" t="s">
        <v>58</v>
      </c>
      <c r="E39" s="202" t="s">
        <v>48</v>
      </c>
      <c r="F39" s="156" t="s">
        <v>2437</v>
      </c>
      <c r="G39" s="44" t="s">
        <v>3100</v>
      </c>
      <c r="H39" s="346" t="s">
        <v>3102</v>
      </c>
      <c r="I39" s="65" t="s">
        <v>3100</v>
      </c>
      <c r="J39" s="344" t="s">
        <v>3101</v>
      </c>
      <c r="K39" s="344" t="s">
        <v>3101</v>
      </c>
      <c r="L39" s="160" t="s">
        <v>54</v>
      </c>
      <c r="M39" s="199" t="s">
        <v>2182</v>
      </c>
      <c r="N39" s="199" t="s">
        <v>1113</v>
      </c>
      <c r="O39" s="160" t="s">
        <v>182</v>
      </c>
      <c r="P39" s="199" t="s">
        <v>185</v>
      </c>
      <c r="Q39" s="202" t="s">
        <v>2438</v>
      </c>
      <c r="R39" s="160" t="s">
        <v>112</v>
      </c>
      <c r="S39" s="199" t="s">
        <v>509</v>
      </c>
      <c r="T39" s="202" t="s">
        <v>2425</v>
      </c>
      <c r="U39" s="156" t="str">
        <f t="shared" si="0"/>
        <v>jtag0_tms</v>
      </c>
      <c r="V39" s="202" t="s">
        <v>54</v>
      </c>
      <c r="W39" s="65" t="s">
        <v>2324</v>
      </c>
      <c r="X39" s="199" t="s">
        <v>2182</v>
      </c>
      <c r="Y39" s="199" t="s">
        <v>2439</v>
      </c>
      <c r="Z39" s="199"/>
      <c r="AA39" s="199"/>
      <c r="AB39" s="199"/>
      <c r="AC39" s="199"/>
      <c r="AD39" s="199"/>
      <c r="AE39" s="199"/>
      <c r="AF39" s="199"/>
      <c r="AG39" s="199"/>
      <c r="AH39" s="199"/>
      <c r="AI39" s="199"/>
      <c r="AJ39" s="199"/>
      <c r="AK39" s="199"/>
      <c r="AL39" s="199"/>
      <c r="AM39" s="199"/>
      <c r="AN39" s="199"/>
      <c r="AO39" s="199"/>
      <c r="AP39" s="199"/>
      <c r="AQ39" s="199"/>
      <c r="AR39" s="199"/>
      <c r="AS39" s="199"/>
      <c r="AT39" s="199"/>
      <c r="AU39" s="199"/>
      <c r="AV39" s="199"/>
      <c r="AW39" s="199"/>
      <c r="AX39" s="199"/>
      <c r="AY39" s="160" t="s">
        <v>1236</v>
      </c>
      <c r="AZ39" s="160" t="s">
        <v>54</v>
      </c>
      <c r="BA39" s="65" t="s">
        <v>2053</v>
      </c>
      <c r="BB39" s="312" t="s">
        <v>2374</v>
      </c>
      <c r="BC39" s="199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415"/>
      <c r="DX39" s="156"/>
      <c r="DY39" s="415"/>
      <c r="DZ39" s="303" t="s">
        <v>2279</v>
      </c>
    </row>
    <row r="40" spans="1:136" s="201" customFormat="1" ht="12.75">
      <c r="A40" s="199" t="s">
        <v>2281</v>
      </c>
      <c r="B40" s="199" t="s">
        <v>58</v>
      </c>
      <c r="C40" s="199" t="s">
        <v>58</v>
      </c>
      <c r="D40" s="199" t="s">
        <v>58</v>
      </c>
      <c r="E40" s="202" t="s">
        <v>48</v>
      </c>
      <c r="F40" s="156" t="s">
        <v>2440</v>
      </c>
      <c r="G40" s="44" t="s">
        <v>3100</v>
      </c>
      <c r="H40" s="346" t="s">
        <v>3102</v>
      </c>
      <c r="I40" s="65" t="s">
        <v>3100</v>
      </c>
      <c r="J40" s="344" t="s">
        <v>3101</v>
      </c>
      <c r="K40" s="344" t="s">
        <v>3101</v>
      </c>
      <c r="L40" s="160" t="s">
        <v>54</v>
      </c>
      <c r="M40" s="199" t="s">
        <v>2182</v>
      </c>
      <c r="N40" s="199" t="s">
        <v>1113</v>
      </c>
      <c r="O40" s="160" t="s">
        <v>182</v>
      </c>
      <c r="P40" s="199" t="s">
        <v>185</v>
      </c>
      <c r="Q40" s="202" t="s">
        <v>2438</v>
      </c>
      <c r="R40" s="160" t="s">
        <v>112</v>
      </c>
      <c r="S40" s="199" t="s">
        <v>509</v>
      </c>
      <c r="T40" s="202" t="s">
        <v>2425</v>
      </c>
      <c r="U40" s="156" t="str">
        <f t="shared" si="0"/>
        <v>jtag0_tdi</v>
      </c>
      <c r="V40" s="202" t="s">
        <v>54</v>
      </c>
      <c r="W40" s="65" t="s">
        <v>2324</v>
      </c>
      <c r="X40" s="199" t="s">
        <v>2182</v>
      </c>
      <c r="Y40" s="199" t="s">
        <v>2441</v>
      </c>
      <c r="Z40" s="199"/>
      <c r="AA40" s="199"/>
      <c r="AB40" s="199"/>
      <c r="AC40" s="199"/>
      <c r="AD40" s="199"/>
      <c r="AE40" s="199"/>
      <c r="AF40" s="199"/>
      <c r="AG40" s="199"/>
      <c r="AH40" s="199"/>
      <c r="AI40" s="199"/>
      <c r="AJ40" s="199"/>
      <c r="AK40" s="199"/>
      <c r="AL40" s="199"/>
      <c r="AM40" s="199"/>
      <c r="AN40" s="199"/>
      <c r="AO40" s="199"/>
      <c r="AP40" s="199"/>
      <c r="AQ40" s="199"/>
      <c r="AR40" s="199"/>
      <c r="AS40" s="199"/>
      <c r="AT40" s="199"/>
      <c r="AU40" s="199"/>
      <c r="AV40" s="199"/>
      <c r="AW40" s="199"/>
      <c r="AX40" s="199"/>
      <c r="AY40" s="160" t="s">
        <v>1235</v>
      </c>
      <c r="AZ40" s="160" t="s">
        <v>54</v>
      </c>
      <c r="BA40" s="65" t="s">
        <v>2053</v>
      </c>
      <c r="BB40" s="312" t="s">
        <v>2374</v>
      </c>
      <c r="BC40" s="199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415"/>
      <c r="DX40" s="156"/>
      <c r="DY40" s="415"/>
      <c r="DZ40" s="303" t="s">
        <v>2279</v>
      </c>
    </row>
    <row r="41" spans="1:136" s="201" customFormat="1" ht="12.75">
      <c r="A41" s="199" t="s">
        <v>2281</v>
      </c>
      <c r="B41" s="199" t="s">
        <v>58</v>
      </c>
      <c r="C41" s="199" t="s">
        <v>58</v>
      </c>
      <c r="D41" s="199" t="s">
        <v>58</v>
      </c>
      <c r="E41" s="202" t="s">
        <v>48</v>
      </c>
      <c r="F41" s="156" t="s">
        <v>2442</v>
      </c>
      <c r="G41" s="44" t="s">
        <v>3100</v>
      </c>
      <c r="H41" s="346" t="s">
        <v>3102</v>
      </c>
      <c r="I41" s="65" t="s">
        <v>3100</v>
      </c>
      <c r="J41" s="344" t="s">
        <v>3101</v>
      </c>
      <c r="K41" s="344" t="s">
        <v>3101</v>
      </c>
      <c r="L41" s="160" t="s">
        <v>760</v>
      </c>
      <c r="M41" s="199" t="s">
        <v>2182</v>
      </c>
      <c r="N41" s="199" t="s">
        <v>1113</v>
      </c>
      <c r="O41" s="160" t="s">
        <v>182</v>
      </c>
      <c r="P41" s="199" t="s">
        <v>2200</v>
      </c>
      <c r="Q41" s="274" t="s">
        <v>51</v>
      </c>
      <c r="R41" s="160" t="s">
        <v>112</v>
      </c>
      <c r="S41" s="199" t="s">
        <v>12</v>
      </c>
      <c r="T41" s="202" t="s">
        <v>2425</v>
      </c>
      <c r="U41" s="156" t="str">
        <f t="shared" si="0"/>
        <v>jtag0_tdo</v>
      </c>
      <c r="V41" s="160" t="s">
        <v>760</v>
      </c>
      <c r="W41" s="65" t="s">
        <v>2324</v>
      </c>
      <c r="X41" s="199" t="s">
        <v>2182</v>
      </c>
      <c r="Y41" s="199" t="s">
        <v>2443</v>
      </c>
      <c r="Z41" s="199"/>
      <c r="AA41" s="199"/>
      <c r="AB41" s="199"/>
      <c r="AC41" s="199"/>
      <c r="AD41" s="199"/>
      <c r="AE41" s="199"/>
      <c r="AF41" s="199"/>
      <c r="AG41" s="199"/>
      <c r="AH41" s="199"/>
      <c r="AI41" s="199"/>
      <c r="AJ41" s="199"/>
      <c r="AK41" s="199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199"/>
      <c r="AX41" s="199"/>
      <c r="AY41" s="199"/>
      <c r="AZ41" s="199"/>
      <c r="BA41" s="199"/>
      <c r="BB41" s="199"/>
      <c r="BC41" s="199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416"/>
      <c r="DX41" s="156"/>
      <c r="DY41" s="416"/>
      <c r="DZ41" s="303" t="s">
        <v>2279</v>
      </c>
    </row>
    <row r="42" spans="1:136" s="161" customFormat="1">
      <c r="A42" s="218" t="s">
        <v>2444</v>
      </c>
      <c r="B42" s="150"/>
      <c r="C42" s="150"/>
      <c r="D42" s="150"/>
      <c r="E42" s="150"/>
      <c r="F42" s="150"/>
      <c r="G42" s="150"/>
      <c r="H42" s="150"/>
      <c r="I42" s="150"/>
      <c r="J42" s="150"/>
      <c r="K42" s="150"/>
      <c r="L42" s="38"/>
      <c r="M42" s="38"/>
      <c r="N42" s="38"/>
      <c r="O42" s="38"/>
      <c r="P42" s="38"/>
      <c r="Q42" s="38"/>
      <c r="R42" s="38"/>
      <c r="S42" s="38"/>
      <c r="T42" s="36"/>
      <c r="U42" s="36"/>
      <c r="V42" s="36"/>
      <c r="W42" s="36"/>
      <c r="X42" s="36"/>
      <c r="Y42" s="36"/>
      <c r="Z42" s="300"/>
      <c r="AA42" s="300"/>
      <c r="AB42" s="300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6"/>
      <c r="BV42" s="36"/>
      <c r="BW42" s="36"/>
      <c r="BX42" s="36"/>
      <c r="BY42" s="36"/>
      <c r="BZ42" s="36"/>
      <c r="CA42" s="36"/>
      <c r="CB42" s="36"/>
      <c r="CC42" s="36"/>
      <c r="CD42" s="36"/>
      <c r="CE42" s="36"/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36"/>
      <c r="CT42" s="36"/>
      <c r="CU42" s="36"/>
      <c r="CV42" s="36"/>
      <c r="CW42" s="36"/>
      <c r="CX42" s="36"/>
      <c r="CY42" s="36"/>
      <c r="CZ42" s="36"/>
      <c r="DA42" s="36"/>
      <c r="DB42" s="36"/>
      <c r="DC42" s="36"/>
      <c r="DD42" s="36"/>
      <c r="DE42" s="36"/>
      <c r="DF42" s="36"/>
      <c r="DG42" s="36"/>
      <c r="DH42" s="36"/>
      <c r="DI42" s="36"/>
      <c r="DJ42" s="36"/>
      <c r="DK42" s="36"/>
      <c r="DL42" s="36"/>
      <c r="DM42" s="36"/>
      <c r="DN42" s="36"/>
      <c r="DO42" s="36"/>
      <c r="DP42" s="36"/>
      <c r="DQ42" s="36"/>
      <c r="DR42" s="36"/>
      <c r="DS42" s="36"/>
      <c r="DT42" s="36"/>
      <c r="DU42" s="36"/>
      <c r="DV42" s="36"/>
      <c r="DW42" s="36"/>
      <c r="DX42" s="36"/>
      <c r="DY42" s="36"/>
      <c r="DZ42" s="36"/>
      <c r="EA42" s="36"/>
      <c r="EB42" s="36"/>
      <c r="EC42" s="36"/>
      <c r="ED42" s="36"/>
      <c r="EE42" s="36"/>
      <c r="EF42" s="36"/>
    </row>
    <row r="43" spans="1:136" s="154" customFormat="1" ht="12.75">
      <c r="A43" s="202" t="s">
        <v>666</v>
      </c>
      <c r="B43" s="202" t="s">
        <v>2298</v>
      </c>
      <c r="C43" s="202" t="s">
        <v>2298</v>
      </c>
      <c r="D43" s="202" t="s">
        <v>2298</v>
      </c>
      <c r="E43" s="202" t="s">
        <v>2335</v>
      </c>
      <c r="F43" s="156" t="s">
        <v>2445</v>
      </c>
      <c r="G43" s="44" t="s">
        <v>3133</v>
      </c>
      <c r="H43" s="44" t="s">
        <v>3124</v>
      </c>
      <c r="I43" s="65" t="s">
        <v>3100</v>
      </c>
      <c r="J43" s="344" t="s">
        <v>3101</v>
      </c>
      <c r="K43" s="344" t="s">
        <v>3101</v>
      </c>
      <c r="L43" s="160" t="s">
        <v>52</v>
      </c>
      <c r="M43" s="65" t="s">
        <v>2277</v>
      </c>
      <c r="N43" s="202" t="s">
        <v>1113</v>
      </c>
      <c r="O43" s="160" t="s">
        <v>182</v>
      </c>
      <c r="P43" s="202" t="s">
        <v>183</v>
      </c>
      <c r="Q43" s="202" t="s">
        <v>2446</v>
      </c>
      <c r="R43" s="202" t="s">
        <v>2447</v>
      </c>
      <c r="S43" s="202" t="s">
        <v>2362</v>
      </c>
      <c r="T43" s="202" t="s">
        <v>1123</v>
      </c>
      <c r="U43" s="156" t="s">
        <v>2448</v>
      </c>
      <c r="V43" s="202" t="s">
        <v>2359</v>
      </c>
      <c r="W43" s="202" t="s">
        <v>2449</v>
      </c>
      <c r="X43" s="202" t="s">
        <v>2183</v>
      </c>
      <c r="Y43" s="313"/>
      <c r="Z43" s="160" t="s">
        <v>2450</v>
      </c>
      <c r="AA43" s="202" t="s">
        <v>53</v>
      </c>
      <c r="AB43" s="202" t="s">
        <v>2451</v>
      </c>
      <c r="AC43" s="202" t="s">
        <v>2325</v>
      </c>
      <c r="AD43" s="202"/>
      <c r="AE43" s="202" t="s">
        <v>2452</v>
      </c>
      <c r="AF43" s="202" t="s">
        <v>53</v>
      </c>
      <c r="AG43" s="202" t="s">
        <v>2453</v>
      </c>
      <c r="AH43" s="202" t="s">
        <v>2183</v>
      </c>
      <c r="AI43" s="202"/>
      <c r="AJ43" s="160" t="s">
        <v>2454</v>
      </c>
      <c r="AK43" s="202" t="s">
        <v>56</v>
      </c>
      <c r="AL43" s="202" t="s">
        <v>2455</v>
      </c>
      <c r="AM43" s="202" t="s">
        <v>2456</v>
      </c>
      <c r="AN43" s="202"/>
      <c r="AO43" s="156" t="s">
        <v>2457</v>
      </c>
      <c r="AP43" s="202" t="s">
        <v>53</v>
      </c>
      <c r="AQ43" s="202" t="s">
        <v>2174</v>
      </c>
      <c r="AR43" s="202" t="s">
        <v>2180</v>
      </c>
      <c r="AS43" s="202" t="s">
        <v>2458</v>
      </c>
      <c r="AT43" s="275" t="s">
        <v>1318</v>
      </c>
      <c r="AU43" s="65" t="s">
        <v>53</v>
      </c>
      <c r="AV43" s="65" t="s">
        <v>2054</v>
      </c>
      <c r="AW43" s="65" t="s">
        <v>2178</v>
      </c>
      <c r="AX43" s="202"/>
      <c r="AY43" s="275" t="s">
        <v>2459</v>
      </c>
      <c r="AZ43" s="199" t="s">
        <v>54</v>
      </c>
      <c r="BA43" s="65" t="s">
        <v>2053</v>
      </c>
      <c r="BB43" s="65" t="s">
        <v>2460</v>
      </c>
      <c r="BC43" s="272"/>
      <c r="BD43" s="160" t="s">
        <v>1541</v>
      </c>
      <c r="BE43" s="160" t="s">
        <v>53</v>
      </c>
      <c r="BF43" s="160" t="s">
        <v>1698</v>
      </c>
      <c r="BG43" s="160"/>
      <c r="BH43" s="160"/>
      <c r="BI43" s="160" t="s">
        <v>1540</v>
      </c>
      <c r="BJ43" s="160" t="s">
        <v>53</v>
      </c>
      <c r="BK43" s="160" t="s">
        <v>1685</v>
      </c>
      <c r="BL43" s="160"/>
      <c r="BM43" s="160"/>
      <c r="BN43" s="160" t="s">
        <v>1539</v>
      </c>
      <c r="BO43" s="160" t="s">
        <v>53</v>
      </c>
      <c r="BP43" s="160" t="s">
        <v>1672</v>
      </c>
      <c r="BQ43" s="160"/>
      <c r="BR43" s="160"/>
      <c r="BS43" s="160" t="s">
        <v>1538</v>
      </c>
      <c r="BT43" s="160" t="s">
        <v>53</v>
      </c>
      <c r="BU43" s="160" t="s">
        <v>1659</v>
      </c>
      <c r="BV43" s="160"/>
      <c r="BW43" s="160"/>
      <c r="BX43" s="160" t="s">
        <v>1537</v>
      </c>
      <c r="BY43" s="160" t="s">
        <v>53</v>
      </c>
      <c r="BZ43" s="160" t="s">
        <v>1646</v>
      </c>
      <c r="CA43" s="160"/>
      <c r="CB43" s="160"/>
      <c r="CC43" s="160" t="s">
        <v>1536</v>
      </c>
      <c r="CD43" s="160" t="s">
        <v>53</v>
      </c>
      <c r="CE43" s="160" t="s">
        <v>1633</v>
      </c>
      <c r="CF43" s="160"/>
      <c r="CG43" s="160"/>
      <c r="CH43" s="160" t="s">
        <v>1535</v>
      </c>
      <c r="CI43" s="160" t="s">
        <v>53</v>
      </c>
      <c r="CJ43" s="160" t="s">
        <v>1620</v>
      </c>
      <c r="CK43" s="160"/>
      <c r="CL43" s="160"/>
      <c r="CM43" s="160" t="s">
        <v>1534</v>
      </c>
      <c r="CN43" s="160" t="s">
        <v>53</v>
      </c>
      <c r="CO43" s="160" t="s">
        <v>1607</v>
      </c>
      <c r="CP43" s="160"/>
      <c r="CQ43" s="160"/>
      <c r="CR43" s="160" t="s">
        <v>1533</v>
      </c>
      <c r="CS43" s="160" t="s">
        <v>53</v>
      </c>
      <c r="CT43" s="160" t="s">
        <v>1594</v>
      </c>
      <c r="CU43" s="160"/>
      <c r="CV43" s="160"/>
      <c r="CW43" s="160" t="s">
        <v>1532</v>
      </c>
      <c r="CX43" s="160" t="s">
        <v>53</v>
      </c>
      <c r="CY43" s="160" t="s">
        <v>1581</v>
      </c>
      <c r="CZ43" s="160"/>
      <c r="DA43" s="160"/>
      <c r="DB43" s="160" t="s">
        <v>1531</v>
      </c>
      <c r="DC43" s="160" t="s">
        <v>53</v>
      </c>
      <c r="DD43" s="160" t="s">
        <v>1568</v>
      </c>
      <c r="DE43" s="160"/>
      <c r="DF43" s="160"/>
      <c r="DG43" s="160" t="s">
        <v>1530</v>
      </c>
      <c r="DH43" s="160" t="s">
        <v>53</v>
      </c>
      <c r="DI43" s="160" t="s">
        <v>1555</v>
      </c>
      <c r="DJ43" s="202"/>
      <c r="DK43" s="202"/>
      <c r="DL43" s="160" t="s">
        <v>1529</v>
      </c>
      <c r="DM43" s="160" t="s">
        <v>53</v>
      </c>
      <c r="DN43" s="160" t="s">
        <v>1542</v>
      </c>
      <c r="DO43" s="202"/>
      <c r="DP43" s="202"/>
      <c r="DQ43" s="160" t="s">
        <v>2205</v>
      </c>
      <c r="DR43" s="160" t="s">
        <v>53</v>
      </c>
      <c r="DS43" s="160" t="s">
        <v>2237</v>
      </c>
      <c r="DT43" s="202"/>
      <c r="DU43" s="202"/>
      <c r="DV43" s="202"/>
      <c r="DW43" s="427" t="s">
        <v>2461</v>
      </c>
      <c r="DX43" s="303" t="s">
        <v>2462</v>
      </c>
      <c r="DY43" s="420" t="s">
        <v>2463</v>
      </c>
      <c r="DZ43" s="303" t="s">
        <v>2462</v>
      </c>
      <c r="ED43" s="287"/>
    </row>
    <row r="44" spans="1:136" s="154" customFormat="1" ht="12.75">
      <c r="A44" s="202" t="s">
        <v>666</v>
      </c>
      <c r="B44" s="202" t="s">
        <v>2464</v>
      </c>
      <c r="C44" s="202" t="s">
        <v>2464</v>
      </c>
      <c r="D44" s="202" t="s">
        <v>2464</v>
      </c>
      <c r="E44" s="202" t="s">
        <v>2465</v>
      </c>
      <c r="F44" s="156" t="s">
        <v>1083</v>
      </c>
      <c r="G44" s="44" t="s">
        <v>3134</v>
      </c>
      <c r="H44" s="44" t="s">
        <v>509</v>
      </c>
      <c r="I44" s="65" t="s">
        <v>3100</v>
      </c>
      <c r="J44" s="344" t="s">
        <v>3101</v>
      </c>
      <c r="K44" s="344" t="s">
        <v>3101</v>
      </c>
      <c r="L44" s="160" t="s">
        <v>52</v>
      </c>
      <c r="M44" s="65" t="s">
        <v>2460</v>
      </c>
      <c r="N44" s="202" t="s">
        <v>1113</v>
      </c>
      <c r="O44" s="160" t="s">
        <v>182</v>
      </c>
      <c r="P44" s="202" t="s">
        <v>183</v>
      </c>
      <c r="Q44" s="202" t="s">
        <v>2446</v>
      </c>
      <c r="R44" s="202" t="s">
        <v>1353</v>
      </c>
      <c r="S44" s="202" t="s">
        <v>2362</v>
      </c>
      <c r="T44" s="202" t="s">
        <v>1123</v>
      </c>
      <c r="U44" s="156" t="s">
        <v>731</v>
      </c>
      <c r="V44" s="202" t="s">
        <v>2359</v>
      </c>
      <c r="W44" s="202" t="s">
        <v>2466</v>
      </c>
      <c r="X44" s="202" t="s">
        <v>2183</v>
      </c>
      <c r="Y44" s="313"/>
      <c r="Z44" s="160" t="s">
        <v>2467</v>
      </c>
      <c r="AA44" s="202" t="s">
        <v>54</v>
      </c>
      <c r="AB44" s="202" t="s">
        <v>2451</v>
      </c>
      <c r="AC44" s="202" t="s">
        <v>2325</v>
      </c>
      <c r="AD44" s="202"/>
      <c r="AE44" s="202" t="s">
        <v>2468</v>
      </c>
      <c r="AF44" s="202" t="s">
        <v>53</v>
      </c>
      <c r="AG44" s="202" t="s">
        <v>2453</v>
      </c>
      <c r="AH44" s="202" t="s">
        <v>2183</v>
      </c>
      <c r="AI44" s="202"/>
      <c r="AJ44" s="160" t="s">
        <v>2469</v>
      </c>
      <c r="AK44" s="202" t="s">
        <v>56</v>
      </c>
      <c r="AL44" s="202" t="s">
        <v>2455</v>
      </c>
      <c r="AM44" s="202" t="s">
        <v>2456</v>
      </c>
      <c r="AN44" s="202"/>
      <c r="AO44" s="156" t="s">
        <v>2470</v>
      </c>
      <c r="AP44" s="202" t="s">
        <v>53</v>
      </c>
      <c r="AQ44" s="202" t="s">
        <v>2174</v>
      </c>
      <c r="AR44" s="202" t="s">
        <v>2180</v>
      </c>
      <c r="AS44" s="202" t="s">
        <v>2471</v>
      </c>
      <c r="AT44" s="275" t="s">
        <v>1319</v>
      </c>
      <c r="AU44" s="65" t="s">
        <v>53</v>
      </c>
      <c r="AV44" s="65" t="s">
        <v>2054</v>
      </c>
      <c r="AW44" s="65" t="s">
        <v>2178</v>
      </c>
      <c r="AX44" s="202"/>
      <c r="AY44" s="275" t="s">
        <v>2472</v>
      </c>
      <c r="AZ44" s="199" t="s">
        <v>54</v>
      </c>
      <c r="BA44" s="65" t="s">
        <v>2053</v>
      </c>
      <c r="BB44" s="65" t="s">
        <v>2460</v>
      </c>
      <c r="BC44" s="272"/>
      <c r="BD44" s="160" t="s">
        <v>1528</v>
      </c>
      <c r="BE44" s="160" t="s">
        <v>53</v>
      </c>
      <c r="BF44" s="160" t="s">
        <v>1699</v>
      </c>
      <c r="BG44" s="160"/>
      <c r="BH44" s="160"/>
      <c r="BI44" s="160" t="s">
        <v>1527</v>
      </c>
      <c r="BJ44" s="160" t="s">
        <v>53</v>
      </c>
      <c r="BK44" s="160" t="s">
        <v>1686</v>
      </c>
      <c r="BL44" s="160"/>
      <c r="BM44" s="160"/>
      <c r="BN44" s="160" t="s">
        <v>1526</v>
      </c>
      <c r="BO44" s="160" t="s">
        <v>53</v>
      </c>
      <c r="BP44" s="160" t="s">
        <v>1673</v>
      </c>
      <c r="BQ44" s="160"/>
      <c r="BR44" s="160"/>
      <c r="BS44" s="160" t="s">
        <v>1525</v>
      </c>
      <c r="BT44" s="160" t="s">
        <v>53</v>
      </c>
      <c r="BU44" s="160" t="s">
        <v>1660</v>
      </c>
      <c r="BV44" s="160"/>
      <c r="BW44" s="160"/>
      <c r="BX44" s="160" t="s">
        <v>1524</v>
      </c>
      <c r="BY44" s="160" t="s">
        <v>53</v>
      </c>
      <c r="BZ44" s="160" t="s">
        <v>1647</v>
      </c>
      <c r="CA44" s="160"/>
      <c r="CB44" s="160"/>
      <c r="CC44" s="160" t="s">
        <v>1523</v>
      </c>
      <c r="CD44" s="160" t="s">
        <v>53</v>
      </c>
      <c r="CE44" s="160" t="s">
        <v>1634</v>
      </c>
      <c r="CF44" s="160"/>
      <c r="CG44" s="160"/>
      <c r="CH44" s="160" t="s">
        <v>1522</v>
      </c>
      <c r="CI44" s="160" t="s">
        <v>53</v>
      </c>
      <c r="CJ44" s="160" t="s">
        <v>1621</v>
      </c>
      <c r="CK44" s="160"/>
      <c r="CL44" s="160"/>
      <c r="CM44" s="160" t="s">
        <v>1521</v>
      </c>
      <c r="CN44" s="160" t="s">
        <v>53</v>
      </c>
      <c r="CO44" s="160" t="s">
        <v>1608</v>
      </c>
      <c r="CP44" s="160"/>
      <c r="CQ44" s="160"/>
      <c r="CR44" s="160" t="s">
        <v>1520</v>
      </c>
      <c r="CS44" s="160" t="s">
        <v>53</v>
      </c>
      <c r="CT44" s="160" t="s">
        <v>1595</v>
      </c>
      <c r="CU44" s="160"/>
      <c r="CV44" s="160"/>
      <c r="CW44" s="160" t="s">
        <v>1519</v>
      </c>
      <c r="CX44" s="160" t="s">
        <v>53</v>
      </c>
      <c r="CY44" s="160" t="s">
        <v>1582</v>
      </c>
      <c r="CZ44" s="160"/>
      <c r="DA44" s="160"/>
      <c r="DB44" s="160" t="s">
        <v>1518</v>
      </c>
      <c r="DC44" s="160" t="s">
        <v>53</v>
      </c>
      <c r="DD44" s="160" t="s">
        <v>1569</v>
      </c>
      <c r="DE44" s="160"/>
      <c r="DF44" s="160"/>
      <c r="DG44" s="160" t="s">
        <v>1517</v>
      </c>
      <c r="DH44" s="160" t="s">
        <v>53</v>
      </c>
      <c r="DI44" s="160" t="s">
        <v>1556</v>
      </c>
      <c r="DJ44" s="202"/>
      <c r="DK44" s="202"/>
      <c r="DL44" s="160" t="s">
        <v>1516</v>
      </c>
      <c r="DM44" s="160" t="s">
        <v>53</v>
      </c>
      <c r="DN44" s="160" t="s">
        <v>1543</v>
      </c>
      <c r="DO44" s="202"/>
      <c r="DP44" s="202"/>
      <c r="DQ44" s="160" t="s">
        <v>2206</v>
      </c>
      <c r="DR44" s="160" t="s">
        <v>53</v>
      </c>
      <c r="DS44" s="160" t="s">
        <v>2238</v>
      </c>
      <c r="DT44" s="202"/>
      <c r="DU44" s="202"/>
      <c r="DV44" s="202"/>
      <c r="DW44" s="421"/>
      <c r="DX44" s="303" t="s">
        <v>2462</v>
      </c>
      <c r="DY44" s="421"/>
      <c r="DZ44" s="303" t="s">
        <v>2462</v>
      </c>
      <c r="ED44" s="287"/>
    </row>
    <row r="45" spans="1:136" s="203" customFormat="1" ht="12.75">
      <c r="A45" s="202" t="s">
        <v>2473</v>
      </c>
      <c r="B45" s="202" t="s">
        <v>2464</v>
      </c>
      <c r="C45" s="202" t="s">
        <v>2464</v>
      </c>
      <c r="D45" s="202" t="s">
        <v>2464</v>
      </c>
      <c r="E45" s="202" t="s">
        <v>49</v>
      </c>
      <c r="F45" s="156" t="s">
        <v>1084</v>
      </c>
      <c r="G45" s="44" t="s">
        <v>799</v>
      </c>
      <c r="H45" s="44" t="s">
        <v>3124</v>
      </c>
      <c r="I45" s="65" t="s">
        <v>3100</v>
      </c>
      <c r="J45" s="344" t="s">
        <v>3101</v>
      </c>
      <c r="K45" s="344" t="s">
        <v>3101</v>
      </c>
      <c r="L45" s="160" t="s">
        <v>52</v>
      </c>
      <c r="M45" s="65" t="s">
        <v>2460</v>
      </c>
      <c r="N45" s="202" t="s">
        <v>1113</v>
      </c>
      <c r="O45" s="160" t="s">
        <v>182</v>
      </c>
      <c r="P45" s="202" t="s">
        <v>183</v>
      </c>
      <c r="Q45" s="202" t="s">
        <v>2446</v>
      </c>
      <c r="R45" s="202" t="s">
        <v>1265</v>
      </c>
      <c r="S45" s="202" t="s">
        <v>2362</v>
      </c>
      <c r="T45" s="202" t="s">
        <v>1123</v>
      </c>
      <c r="U45" s="156" t="s">
        <v>732</v>
      </c>
      <c r="V45" s="202" t="s">
        <v>2359</v>
      </c>
      <c r="W45" s="202" t="s">
        <v>2474</v>
      </c>
      <c r="X45" s="202" t="s">
        <v>2183</v>
      </c>
      <c r="Y45" s="313"/>
      <c r="Z45" s="160" t="s">
        <v>799</v>
      </c>
      <c r="AA45" s="202" t="s">
        <v>53</v>
      </c>
      <c r="AB45" s="202" t="s">
        <v>2475</v>
      </c>
      <c r="AC45" s="202" t="s">
        <v>2325</v>
      </c>
      <c r="AD45" s="202"/>
      <c r="AE45" s="202" t="s">
        <v>2476</v>
      </c>
      <c r="AF45" s="202" t="s">
        <v>53</v>
      </c>
      <c r="AG45" s="202" t="s">
        <v>2477</v>
      </c>
      <c r="AH45" s="202" t="s">
        <v>2478</v>
      </c>
      <c r="AI45" s="314"/>
      <c r="AJ45" s="160" t="s">
        <v>2479</v>
      </c>
      <c r="AK45" s="202" t="s">
        <v>53</v>
      </c>
      <c r="AL45" s="202" t="s">
        <v>2480</v>
      </c>
      <c r="AM45" s="202" t="s">
        <v>2371</v>
      </c>
      <c r="AN45" s="314"/>
      <c r="AO45" s="204" t="s">
        <v>2481</v>
      </c>
      <c r="AP45" s="204" t="s">
        <v>53</v>
      </c>
      <c r="AQ45" s="202" t="s">
        <v>2174</v>
      </c>
      <c r="AR45" s="202" t="s">
        <v>2180</v>
      </c>
      <c r="AS45" s="202" t="s">
        <v>2482</v>
      </c>
      <c r="AT45" s="275" t="s">
        <v>1320</v>
      </c>
      <c r="AU45" s="65" t="s">
        <v>53</v>
      </c>
      <c r="AV45" s="65" t="s">
        <v>2054</v>
      </c>
      <c r="AW45" s="65" t="s">
        <v>2178</v>
      </c>
      <c r="AX45" s="314"/>
      <c r="AY45" s="275" t="s">
        <v>2483</v>
      </c>
      <c r="AZ45" s="199" t="s">
        <v>54</v>
      </c>
      <c r="BA45" s="65" t="s">
        <v>2053</v>
      </c>
      <c r="BB45" s="65" t="s">
        <v>2277</v>
      </c>
      <c r="BC45" s="272"/>
      <c r="BD45" s="160" t="s">
        <v>1515</v>
      </c>
      <c r="BE45" s="160" t="s">
        <v>53</v>
      </c>
      <c r="BF45" s="160" t="s">
        <v>1700</v>
      </c>
      <c r="BG45" s="160"/>
      <c r="BH45" s="160"/>
      <c r="BI45" s="160" t="s">
        <v>1514</v>
      </c>
      <c r="BJ45" s="160" t="s">
        <v>53</v>
      </c>
      <c r="BK45" s="160" t="s">
        <v>1687</v>
      </c>
      <c r="BL45" s="160"/>
      <c r="BM45" s="160"/>
      <c r="BN45" s="160" t="s">
        <v>1513</v>
      </c>
      <c r="BO45" s="160" t="s">
        <v>53</v>
      </c>
      <c r="BP45" s="160" t="s">
        <v>1674</v>
      </c>
      <c r="BQ45" s="160"/>
      <c r="BR45" s="160"/>
      <c r="BS45" s="160" t="s">
        <v>1512</v>
      </c>
      <c r="BT45" s="160" t="s">
        <v>53</v>
      </c>
      <c r="BU45" s="160" t="s">
        <v>1661</v>
      </c>
      <c r="BV45" s="160"/>
      <c r="BW45" s="160"/>
      <c r="BX45" s="160" t="s">
        <v>1511</v>
      </c>
      <c r="BY45" s="160" t="s">
        <v>53</v>
      </c>
      <c r="BZ45" s="160" t="s">
        <v>1648</v>
      </c>
      <c r="CA45" s="160"/>
      <c r="CB45" s="160"/>
      <c r="CC45" s="160" t="s">
        <v>1510</v>
      </c>
      <c r="CD45" s="160" t="s">
        <v>53</v>
      </c>
      <c r="CE45" s="160" t="s">
        <v>1635</v>
      </c>
      <c r="CF45" s="160"/>
      <c r="CG45" s="160"/>
      <c r="CH45" s="160" t="s">
        <v>1509</v>
      </c>
      <c r="CI45" s="160" t="s">
        <v>53</v>
      </c>
      <c r="CJ45" s="160" t="s">
        <v>1622</v>
      </c>
      <c r="CK45" s="160"/>
      <c r="CL45" s="160"/>
      <c r="CM45" s="160" t="s">
        <v>1508</v>
      </c>
      <c r="CN45" s="160" t="s">
        <v>53</v>
      </c>
      <c r="CO45" s="160" t="s">
        <v>1609</v>
      </c>
      <c r="CP45" s="160"/>
      <c r="CQ45" s="160"/>
      <c r="CR45" s="160" t="s">
        <v>1507</v>
      </c>
      <c r="CS45" s="160" t="s">
        <v>53</v>
      </c>
      <c r="CT45" s="160" t="s">
        <v>1596</v>
      </c>
      <c r="CU45" s="160"/>
      <c r="CV45" s="160"/>
      <c r="CW45" s="160" t="s">
        <v>1506</v>
      </c>
      <c r="CX45" s="160" t="s">
        <v>53</v>
      </c>
      <c r="CY45" s="160" t="s">
        <v>1583</v>
      </c>
      <c r="CZ45" s="160"/>
      <c r="DA45" s="160"/>
      <c r="DB45" s="160" t="s">
        <v>1505</v>
      </c>
      <c r="DC45" s="160" t="s">
        <v>53</v>
      </c>
      <c r="DD45" s="160" t="s">
        <v>1570</v>
      </c>
      <c r="DE45" s="160"/>
      <c r="DF45" s="160"/>
      <c r="DG45" s="160" t="s">
        <v>1504</v>
      </c>
      <c r="DH45" s="160" t="s">
        <v>53</v>
      </c>
      <c r="DI45" s="160" t="s">
        <v>1557</v>
      </c>
      <c r="DJ45" s="202"/>
      <c r="DK45" s="202"/>
      <c r="DL45" s="160" t="s">
        <v>1503</v>
      </c>
      <c r="DM45" s="160" t="s">
        <v>53</v>
      </c>
      <c r="DN45" s="160" t="s">
        <v>1544</v>
      </c>
      <c r="DO45" s="202"/>
      <c r="DP45" s="202"/>
      <c r="DQ45" s="160" t="s">
        <v>2207</v>
      </c>
      <c r="DR45" s="160" t="s">
        <v>53</v>
      </c>
      <c r="DS45" s="160" t="s">
        <v>2239</v>
      </c>
      <c r="DT45" s="202"/>
      <c r="DU45" s="202"/>
      <c r="DV45" s="202"/>
      <c r="DW45" s="421"/>
      <c r="DX45" s="303" t="s">
        <v>2279</v>
      </c>
      <c r="DY45" s="421"/>
      <c r="DZ45" s="303" t="s">
        <v>2279</v>
      </c>
      <c r="EA45" s="154"/>
      <c r="EB45" s="154"/>
      <c r="EC45" s="154"/>
    </row>
    <row r="46" spans="1:136" s="203" customFormat="1" ht="13.5">
      <c r="A46" s="202" t="s">
        <v>2281</v>
      </c>
      <c r="B46" s="202" t="s">
        <v>2298</v>
      </c>
      <c r="C46" s="202" t="s">
        <v>2298</v>
      </c>
      <c r="D46" s="202" t="s">
        <v>2298</v>
      </c>
      <c r="E46" s="202" t="s">
        <v>49</v>
      </c>
      <c r="F46" s="156" t="s">
        <v>1085</v>
      </c>
      <c r="G46" s="44" t="s">
        <v>800</v>
      </c>
      <c r="H46" s="44" t="s">
        <v>509</v>
      </c>
      <c r="I46" s="65" t="s">
        <v>3100</v>
      </c>
      <c r="J46" s="344" t="s">
        <v>3101</v>
      </c>
      <c r="K46" s="344" t="s">
        <v>3101</v>
      </c>
      <c r="L46" s="160" t="s">
        <v>52</v>
      </c>
      <c r="M46" s="65" t="s">
        <v>2277</v>
      </c>
      <c r="N46" s="202" t="s">
        <v>1113</v>
      </c>
      <c r="O46" s="160" t="s">
        <v>182</v>
      </c>
      <c r="P46" s="202" t="s">
        <v>183</v>
      </c>
      <c r="Q46" s="202" t="s">
        <v>2446</v>
      </c>
      <c r="R46" s="202" t="s">
        <v>705</v>
      </c>
      <c r="S46" s="202" t="s">
        <v>2362</v>
      </c>
      <c r="T46" s="202" t="s">
        <v>1123</v>
      </c>
      <c r="U46" s="156" t="s">
        <v>733</v>
      </c>
      <c r="V46" s="202" t="s">
        <v>2359</v>
      </c>
      <c r="W46" s="202" t="s">
        <v>2484</v>
      </c>
      <c r="X46" s="202" t="s">
        <v>2183</v>
      </c>
      <c r="Y46" s="313"/>
      <c r="Z46" s="160" t="s">
        <v>800</v>
      </c>
      <c r="AA46" s="202" t="s">
        <v>54</v>
      </c>
      <c r="AB46" s="202" t="s">
        <v>2475</v>
      </c>
      <c r="AC46" s="202" t="s">
        <v>2325</v>
      </c>
      <c r="AD46" s="202"/>
      <c r="AE46" s="202" t="s">
        <v>3147</v>
      </c>
      <c r="AF46" s="202" t="s">
        <v>54</v>
      </c>
      <c r="AG46" s="202" t="s">
        <v>2477</v>
      </c>
      <c r="AH46" s="202" t="s">
        <v>2478</v>
      </c>
      <c r="AI46" s="314"/>
      <c r="AJ46" s="160" t="s">
        <v>1277</v>
      </c>
      <c r="AK46" s="202" t="s">
        <v>53</v>
      </c>
      <c r="AL46" s="202" t="s">
        <v>2172</v>
      </c>
      <c r="AM46" s="202" t="s">
        <v>2371</v>
      </c>
      <c r="AN46" s="314"/>
      <c r="AO46" s="204" t="s">
        <v>993</v>
      </c>
      <c r="AP46" s="204" t="s">
        <v>53</v>
      </c>
      <c r="AQ46" s="202" t="s">
        <v>2174</v>
      </c>
      <c r="AR46" s="202" t="s">
        <v>2180</v>
      </c>
      <c r="AS46" s="202" t="s">
        <v>2485</v>
      </c>
      <c r="AT46" s="275" t="s">
        <v>1321</v>
      </c>
      <c r="AU46" s="65" t="s">
        <v>53</v>
      </c>
      <c r="AV46" s="65" t="s">
        <v>2054</v>
      </c>
      <c r="AW46" s="65" t="s">
        <v>2178</v>
      </c>
      <c r="AX46" s="314"/>
      <c r="AY46" s="275" t="s">
        <v>2486</v>
      </c>
      <c r="AZ46" s="199" t="s">
        <v>54</v>
      </c>
      <c r="BA46" s="65" t="s">
        <v>2053</v>
      </c>
      <c r="BB46" s="65" t="s">
        <v>2277</v>
      </c>
      <c r="BC46" s="272"/>
      <c r="BD46" s="160" t="s">
        <v>1502</v>
      </c>
      <c r="BE46" s="160" t="s">
        <v>53</v>
      </c>
      <c r="BF46" s="160" t="s">
        <v>1701</v>
      </c>
      <c r="BG46" s="160"/>
      <c r="BH46" s="160"/>
      <c r="BI46" s="160" t="s">
        <v>1501</v>
      </c>
      <c r="BJ46" s="160" t="s">
        <v>53</v>
      </c>
      <c r="BK46" s="160" t="s">
        <v>1688</v>
      </c>
      <c r="BL46" s="160"/>
      <c r="BM46" s="160"/>
      <c r="BN46" s="160" t="s">
        <v>1500</v>
      </c>
      <c r="BO46" s="160" t="s">
        <v>53</v>
      </c>
      <c r="BP46" s="160" t="s">
        <v>1675</v>
      </c>
      <c r="BQ46" s="160"/>
      <c r="BR46" s="160"/>
      <c r="BS46" s="160" t="s">
        <v>1499</v>
      </c>
      <c r="BT46" s="160" t="s">
        <v>53</v>
      </c>
      <c r="BU46" s="160" t="s">
        <v>1662</v>
      </c>
      <c r="BV46" s="160"/>
      <c r="BW46" s="160"/>
      <c r="BX46" s="160" t="s">
        <v>1498</v>
      </c>
      <c r="BY46" s="160" t="s">
        <v>53</v>
      </c>
      <c r="BZ46" s="160" t="s">
        <v>1649</v>
      </c>
      <c r="CA46" s="160"/>
      <c r="CB46" s="160"/>
      <c r="CC46" s="160" t="s">
        <v>1497</v>
      </c>
      <c r="CD46" s="160" t="s">
        <v>53</v>
      </c>
      <c r="CE46" s="160" t="s">
        <v>1636</v>
      </c>
      <c r="CF46" s="160"/>
      <c r="CG46" s="160"/>
      <c r="CH46" s="160" t="s">
        <v>1496</v>
      </c>
      <c r="CI46" s="160" t="s">
        <v>53</v>
      </c>
      <c r="CJ46" s="160" t="s">
        <v>1623</v>
      </c>
      <c r="CK46" s="160"/>
      <c r="CL46" s="160"/>
      <c r="CM46" s="160" t="s">
        <v>1495</v>
      </c>
      <c r="CN46" s="160" t="s">
        <v>53</v>
      </c>
      <c r="CO46" s="160" t="s">
        <v>1610</v>
      </c>
      <c r="CP46" s="160"/>
      <c r="CQ46" s="160"/>
      <c r="CR46" s="160" t="s">
        <v>1494</v>
      </c>
      <c r="CS46" s="160" t="s">
        <v>53</v>
      </c>
      <c r="CT46" s="160" t="s">
        <v>1597</v>
      </c>
      <c r="CU46" s="160"/>
      <c r="CV46" s="160"/>
      <c r="CW46" s="160" t="s">
        <v>1493</v>
      </c>
      <c r="CX46" s="160" t="s">
        <v>53</v>
      </c>
      <c r="CY46" s="160" t="s">
        <v>1584</v>
      </c>
      <c r="CZ46" s="160"/>
      <c r="DA46" s="160"/>
      <c r="DB46" s="160" t="s">
        <v>1492</v>
      </c>
      <c r="DC46" s="160" t="s">
        <v>53</v>
      </c>
      <c r="DD46" s="160" t="s">
        <v>1571</v>
      </c>
      <c r="DE46" s="160"/>
      <c r="DF46" s="160"/>
      <c r="DG46" s="160" t="s">
        <v>1491</v>
      </c>
      <c r="DH46" s="160" t="s">
        <v>53</v>
      </c>
      <c r="DI46" s="160" t="s">
        <v>1558</v>
      </c>
      <c r="DJ46" s="202"/>
      <c r="DK46" s="202"/>
      <c r="DL46" s="160" t="s">
        <v>1490</v>
      </c>
      <c r="DM46" s="160" t="s">
        <v>53</v>
      </c>
      <c r="DN46" s="160" t="s">
        <v>1545</v>
      </c>
      <c r="DO46" s="202"/>
      <c r="DP46" s="202"/>
      <c r="DQ46" s="160" t="s">
        <v>2208</v>
      </c>
      <c r="DR46" s="160" t="s">
        <v>53</v>
      </c>
      <c r="DS46" s="160" t="s">
        <v>2240</v>
      </c>
      <c r="DT46" s="202"/>
      <c r="DU46" s="202"/>
      <c r="DV46" s="202"/>
      <c r="DW46" s="421"/>
      <c r="DX46" s="303" t="s">
        <v>2279</v>
      </c>
      <c r="DY46" s="421"/>
      <c r="DZ46" s="303" t="s">
        <v>2279</v>
      </c>
      <c r="EA46" s="154"/>
      <c r="EB46" s="154"/>
      <c r="EC46" s="154"/>
    </row>
    <row r="47" spans="1:136" s="203" customFormat="1" ht="13.5">
      <c r="A47" s="202" t="s">
        <v>2281</v>
      </c>
      <c r="B47" s="202" t="s">
        <v>2298</v>
      </c>
      <c r="C47" s="202" t="s">
        <v>2298</v>
      </c>
      <c r="D47" s="202" t="s">
        <v>2298</v>
      </c>
      <c r="E47" s="202" t="s">
        <v>2335</v>
      </c>
      <c r="F47" s="156" t="s">
        <v>1086</v>
      </c>
      <c r="G47" s="44" t="s">
        <v>801</v>
      </c>
      <c r="H47" s="44" t="s">
        <v>3124</v>
      </c>
      <c r="I47" s="65" t="s">
        <v>3100</v>
      </c>
      <c r="J47" s="344" t="s">
        <v>3101</v>
      </c>
      <c r="K47" s="344" t="s">
        <v>3101</v>
      </c>
      <c r="L47" s="160" t="s">
        <v>52</v>
      </c>
      <c r="M47" s="65" t="s">
        <v>2277</v>
      </c>
      <c r="N47" s="202" t="s">
        <v>1113</v>
      </c>
      <c r="O47" s="160" t="s">
        <v>182</v>
      </c>
      <c r="P47" s="202" t="s">
        <v>183</v>
      </c>
      <c r="Q47" s="202" t="s">
        <v>2446</v>
      </c>
      <c r="R47" s="202" t="s">
        <v>706</v>
      </c>
      <c r="S47" s="202" t="s">
        <v>2362</v>
      </c>
      <c r="T47" s="202" t="s">
        <v>1123</v>
      </c>
      <c r="U47" s="156" t="s">
        <v>734</v>
      </c>
      <c r="V47" s="202" t="s">
        <v>2359</v>
      </c>
      <c r="W47" s="202" t="s">
        <v>2487</v>
      </c>
      <c r="X47" s="202" t="s">
        <v>2183</v>
      </c>
      <c r="Y47" s="313"/>
      <c r="Z47" s="160" t="s">
        <v>801</v>
      </c>
      <c r="AA47" s="202" t="s">
        <v>53</v>
      </c>
      <c r="AB47" s="202" t="s">
        <v>2488</v>
      </c>
      <c r="AC47" s="202" t="s">
        <v>2325</v>
      </c>
      <c r="AD47" s="202"/>
      <c r="AE47" s="202" t="s">
        <v>2489</v>
      </c>
      <c r="AF47" s="202" t="s">
        <v>53</v>
      </c>
      <c r="AG47" s="202" t="s">
        <v>2490</v>
      </c>
      <c r="AH47" s="202" t="s">
        <v>2478</v>
      </c>
      <c r="AI47" s="314"/>
      <c r="AJ47" s="160" t="s">
        <v>1278</v>
      </c>
      <c r="AK47" s="202" t="s">
        <v>2359</v>
      </c>
      <c r="AL47" s="202" t="s">
        <v>2172</v>
      </c>
      <c r="AM47" s="202" t="s">
        <v>2371</v>
      </c>
      <c r="AN47" s="157"/>
      <c r="AO47" s="204" t="s">
        <v>994</v>
      </c>
      <c r="AP47" s="204" t="s">
        <v>53</v>
      </c>
      <c r="AQ47" s="202" t="s">
        <v>2174</v>
      </c>
      <c r="AR47" s="202" t="s">
        <v>2180</v>
      </c>
      <c r="AS47" s="202" t="s">
        <v>2491</v>
      </c>
      <c r="AT47" s="275" t="s">
        <v>1322</v>
      </c>
      <c r="AU47" s="65" t="s">
        <v>53</v>
      </c>
      <c r="AV47" s="65" t="s">
        <v>2054</v>
      </c>
      <c r="AW47" s="65" t="s">
        <v>2178</v>
      </c>
      <c r="AX47" s="268"/>
      <c r="AY47" s="275" t="s">
        <v>1264</v>
      </c>
      <c r="AZ47" s="199" t="s">
        <v>54</v>
      </c>
      <c r="BA47" s="65" t="s">
        <v>2053</v>
      </c>
      <c r="BB47" s="65" t="s">
        <v>2277</v>
      </c>
      <c r="BC47" s="272"/>
      <c r="BD47" s="160" t="s">
        <v>1489</v>
      </c>
      <c r="BE47" s="160" t="s">
        <v>53</v>
      </c>
      <c r="BF47" s="160" t="s">
        <v>1702</v>
      </c>
      <c r="BG47" s="160"/>
      <c r="BH47" s="160"/>
      <c r="BI47" s="160" t="s">
        <v>1488</v>
      </c>
      <c r="BJ47" s="160" t="s">
        <v>53</v>
      </c>
      <c r="BK47" s="160" t="s">
        <v>1689</v>
      </c>
      <c r="BL47" s="160"/>
      <c r="BM47" s="160"/>
      <c r="BN47" s="160" t="s">
        <v>1487</v>
      </c>
      <c r="BO47" s="160" t="s">
        <v>53</v>
      </c>
      <c r="BP47" s="160" t="s">
        <v>1676</v>
      </c>
      <c r="BQ47" s="160"/>
      <c r="BR47" s="160"/>
      <c r="BS47" s="160" t="s">
        <v>1486</v>
      </c>
      <c r="BT47" s="160" t="s">
        <v>53</v>
      </c>
      <c r="BU47" s="160" t="s">
        <v>1663</v>
      </c>
      <c r="BV47" s="160"/>
      <c r="BW47" s="160"/>
      <c r="BX47" s="160" t="s">
        <v>1485</v>
      </c>
      <c r="BY47" s="160" t="s">
        <v>53</v>
      </c>
      <c r="BZ47" s="160" t="s">
        <v>1650</v>
      </c>
      <c r="CA47" s="160"/>
      <c r="CB47" s="160"/>
      <c r="CC47" s="160" t="s">
        <v>1484</v>
      </c>
      <c r="CD47" s="160" t="s">
        <v>53</v>
      </c>
      <c r="CE47" s="160" t="s">
        <v>1637</v>
      </c>
      <c r="CF47" s="160"/>
      <c r="CG47" s="160"/>
      <c r="CH47" s="160" t="s">
        <v>1483</v>
      </c>
      <c r="CI47" s="160" t="s">
        <v>53</v>
      </c>
      <c r="CJ47" s="160" t="s">
        <v>1624</v>
      </c>
      <c r="CK47" s="160"/>
      <c r="CL47" s="160"/>
      <c r="CM47" s="160" t="s">
        <v>1482</v>
      </c>
      <c r="CN47" s="160" t="s">
        <v>53</v>
      </c>
      <c r="CO47" s="160" t="s">
        <v>1611</v>
      </c>
      <c r="CP47" s="160"/>
      <c r="CQ47" s="160"/>
      <c r="CR47" s="160" t="s">
        <v>1481</v>
      </c>
      <c r="CS47" s="160" t="s">
        <v>53</v>
      </c>
      <c r="CT47" s="160" t="s">
        <v>1598</v>
      </c>
      <c r="CU47" s="160"/>
      <c r="CV47" s="160"/>
      <c r="CW47" s="160" t="s">
        <v>1480</v>
      </c>
      <c r="CX47" s="160" t="s">
        <v>53</v>
      </c>
      <c r="CY47" s="160" t="s">
        <v>1585</v>
      </c>
      <c r="CZ47" s="160"/>
      <c r="DA47" s="160"/>
      <c r="DB47" s="160" t="s">
        <v>1479</v>
      </c>
      <c r="DC47" s="160" t="s">
        <v>53</v>
      </c>
      <c r="DD47" s="160" t="s">
        <v>1572</v>
      </c>
      <c r="DE47" s="160"/>
      <c r="DF47" s="160"/>
      <c r="DG47" s="160" t="s">
        <v>1478</v>
      </c>
      <c r="DH47" s="160" t="s">
        <v>53</v>
      </c>
      <c r="DI47" s="160" t="s">
        <v>1559</v>
      </c>
      <c r="DJ47" s="202"/>
      <c r="DK47" s="202"/>
      <c r="DL47" s="160" t="s">
        <v>1477</v>
      </c>
      <c r="DM47" s="160" t="s">
        <v>53</v>
      </c>
      <c r="DN47" s="160" t="s">
        <v>1546</v>
      </c>
      <c r="DO47" s="202"/>
      <c r="DP47" s="202"/>
      <c r="DQ47" s="160" t="s">
        <v>2209</v>
      </c>
      <c r="DR47" s="160" t="s">
        <v>53</v>
      </c>
      <c r="DS47" s="160" t="s">
        <v>2241</v>
      </c>
      <c r="DT47" s="202"/>
      <c r="DU47" s="202"/>
      <c r="DV47" s="202"/>
      <c r="DW47" s="421"/>
      <c r="DX47" s="303" t="s">
        <v>2279</v>
      </c>
      <c r="DY47" s="421"/>
      <c r="DZ47" s="303" t="s">
        <v>2279</v>
      </c>
      <c r="EA47" s="154"/>
      <c r="EB47" s="154"/>
      <c r="EC47" s="154"/>
    </row>
    <row r="48" spans="1:136" s="203" customFormat="1" ht="13.5">
      <c r="A48" s="202" t="s">
        <v>2281</v>
      </c>
      <c r="B48" s="202" t="s">
        <v>2298</v>
      </c>
      <c r="C48" s="202" t="s">
        <v>2298</v>
      </c>
      <c r="D48" s="202" t="s">
        <v>2298</v>
      </c>
      <c r="E48" s="202" t="s">
        <v>48</v>
      </c>
      <c r="F48" s="156" t="s">
        <v>1087</v>
      </c>
      <c r="G48" s="44" t="s">
        <v>802</v>
      </c>
      <c r="H48" s="44" t="s">
        <v>509</v>
      </c>
      <c r="I48" s="65" t="s">
        <v>3100</v>
      </c>
      <c r="J48" s="344" t="s">
        <v>3101</v>
      </c>
      <c r="K48" s="344" t="s">
        <v>3101</v>
      </c>
      <c r="L48" s="160" t="s">
        <v>52</v>
      </c>
      <c r="M48" s="65" t="s">
        <v>2277</v>
      </c>
      <c r="N48" s="202" t="s">
        <v>1113</v>
      </c>
      <c r="O48" s="160" t="s">
        <v>182</v>
      </c>
      <c r="P48" s="202" t="s">
        <v>183</v>
      </c>
      <c r="Q48" s="202" t="s">
        <v>2446</v>
      </c>
      <c r="R48" s="202" t="s">
        <v>707</v>
      </c>
      <c r="S48" s="202" t="s">
        <v>2362</v>
      </c>
      <c r="T48" s="202" t="s">
        <v>1123</v>
      </c>
      <c r="U48" s="156" t="s">
        <v>735</v>
      </c>
      <c r="V48" s="202" t="s">
        <v>2359</v>
      </c>
      <c r="W48" s="202" t="s">
        <v>2492</v>
      </c>
      <c r="X48" s="202" t="s">
        <v>2183</v>
      </c>
      <c r="Y48" s="313"/>
      <c r="Z48" s="160" t="s">
        <v>802</v>
      </c>
      <c r="AA48" s="202" t="s">
        <v>54</v>
      </c>
      <c r="AB48" s="202" t="s">
        <v>2488</v>
      </c>
      <c r="AC48" s="202" t="s">
        <v>2325</v>
      </c>
      <c r="AD48" s="202"/>
      <c r="AE48" s="202" t="s">
        <v>2493</v>
      </c>
      <c r="AF48" s="202" t="s">
        <v>54</v>
      </c>
      <c r="AG48" s="202" t="s">
        <v>2490</v>
      </c>
      <c r="AH48" s="202" t="s">
        <v>2478</v>
      </c>
      <c r="AI48" s="314"/>
      <c r="AJ48" s="160" t="s">
        <v>1279</v>
      </c>
      <c r="AK48" s="202" t="s">
        <v>53</v>
      </c>
      <c r="AL48" s="202" t="s">
        <v>2494</v>
      </c>
      <c r="AM48" s="202" t="s">
        <v>2371</v>
      </c>
      <c r="AN48" s="314"/>
      <c r="AO48" s="204" t="s">
        <v>995</v>
      </c>
      <c r="AP48" s="204" t="s">
        <v>53</v>
      </c>
      <c r="AQ48" s="202" t="s">
        <v>2174</v>
      </c>
      <c r="AR48" s="202" t="s">
        <v>2180</v>
      </c>
      <c r="AS48" s="202" t="s">
        <v>2495</v>
      </c>
      <c r="AT48" s="275" t="s">
        <v>2496</v>
      </c>
      <c r="AU48" s="160" t="s">
        <v>53</v>
      </c>
      <c r="AV48" s="160" t="s">
        <v>2054</v>
      </c>
      <c r="AW48" s="65" t="s">
        <v>2178</v>
      </c>
      <c r="AX48" s="268"/>
      <c r="AY48" s="275" t="s">
        <v>1263</v>
      </c>
      <c r="AZ48" s="199" t="s">
        <v>54</v>
      </c>
      <c r="BA48" s="65" t="s">
        <v>2053</v>
      </c>
      <c r="BB48" s="65" t="s">
        <v>2277</v>
      </c>
      <c r="BC48" s="272"/>
      <c r="BD48" s="65" t="s">
        <v>1476</v>
      </c>
      <c r="BE48" s="65" t="s">
        <v>53</v>
      </c>
      <c r="BF48" s="65" t="s">
        <v>1703</v>
      </c>
      <c r="BG48" s="65"/>
      <c r="BH48" s="65"/>
      <c r="BI48" s="65" t="s">
        <v>1475</v>
      </c>
      <c r="BJ48" s="65" t="s">
        <v>53</v>
      </c>
      <c r="BK48" s="65" t="s">
        <v>1690</v>
      </c>
      <c r="BL48" s="65" t="s">
        <v>2497</v>
      </c>
      <c r="BM48" s="65"/>
      <c r="BN48" s="65" t="s">
        <v>1474</v>
      </c>
      <c r="BO48" s="65" t="s">
        <v>53</v>
      </c>
      <c r="BP48" s="65" t="s">
        <v>1677</v>
      </c>
      <c r="BQ48" s="65"/>
      <c r="BR48" s="65"/>
      <c r="BS48" s="65" t="s">
        <v>1473</v>
      </c>
      <c r="BT48" s="65" t="s">
        <v>53</v>
      </c>
      <c r="BU48" s="65" t="s">
        <v>1664</v>
      </c>
      <c r="BV48" s="65"/>
      <c r="BW48" s="65"/>
      <c r="BX48" s="65" t="s">
        <v>1472</v>
      </c>
      <c r="BY48" s="65" t="s">
        <v>53</v>
      </c>
      <c r="BZ48" s="65" t="s">
        <v>1651</v>
      </c>
      <c r="CA48" s="65"/>
      <c r="CB48" s="65"/>
      <c r="CC48" s="65" t="s">
        <v>1471</v>
      </c>
      <c r="CD48" s="65" t="s">
        <v>53</v>
      </c>
      <c r="CE48" s="65" t="s">
        <v>1638</v>
      </c>
      <c r="CF48" s="65"/>
      <c r="CG48" s="65"/>
      <c r="CH48" s="65" t="s">
        <v>1470</v>
      </c>
      <c r="CI48" s="65" t="s">
        <v>53</v>
      </c>
      <c r="CJ48" s="65" t="s">
        <v>1625</v>
      </c>
      <c r="CK48" s="65"/>
      <c r="CL48" s="65"/>
      <c r="CM48" s="65" t="s">
        <v>1469</v>
      </c>
      <c r="CN48" s="65" t="s">
        <v>53</v>
      </c>
      <c r="CO48" s="65" t="s">
        <v>1612</v>
      </c>
      <c r="CP48" s="65"/>
      <c r="CQ48" s="65"/>
      <c r="CR48" s="65" t="s">
        <v>1468</v>
      </c>
      <c r="CS48" s="65" t="s">
        <v>53</v>
      </c>
      <c r="CT48" s="65" t="s">
        <v>1599</v>
      </c>
      <c r="CU48" s="65"/>
      <c r="CV48" s="65"/>
      <c r="CW48" s="65" t="s">
        <v>1467</v>
      </c>
      <c r="CX48" s="65" t="s">
        <v>53</v>
      </c>
      <c r="CY48" s="65" t="s">
        <v>1586</v>
      </c>
      <c r="CZ48" s="65"/>
      <c r="DA48" s="65"/>
      <c r="DB48" s="65" t="s">
        <v>1466</v>
      </c>
      <c r="DC48" s="65" t="s">
        <v>53</v>
      </c>
      <c r="DD48" s="65" t="s">
        <v>1573</v>
      </c>
      <c r="DE48" s="65"/>
      <c r="DF48" s="65"/>
      <c r="DG48" s="65" t="s">
        <v>1465</v>
      </c>
      <c r="DH48" s="65" t="s">
        <v>53</v>
      </c>
      <c r="DI48" s="65" t="s">
        <v>1560</v>
      </c>
      <c r="DJ48" s="202"/>
      <c r="DK48" s="202"/>
      <c r="DL48" s="65" t="s">
        <v>1464</v>
      </c>
      <c r="DM48" s="65" t="s">
        <v>53</v>
      </c>
      <c r="DN48" s="65" t="s">
        <v>1547</v>
      </c>
      <c r="DO48" s="202"/>
      <c r="DP48" s="202"/>
      <c r="DQ48" s="65" t="s">
        <v>2210</v>
      </c>
      <c r="DR48" s="65" t="s">
        <v>53</v>
      </c>
      <c r="DS48" s="65" t="s">
        <v>2242</v>
      </c>
      <c r="DT48" s="202"/>
      <c r="DU48" s="202"/>
      <c r="DV48" s="202"/>
      <c r="DW48" s="421"/>
      <c r="DX48" s="303" t="s">
        <v>2279</v>
      </c>
      <c r="DY48" s="421"/>
      <c r="DZ48" s="303" t="s">
        <v>2279</v>
      </c>
      <c r="EA48" s="154"/>
      <c r="EB48" s="154"/>
      <c r="EC48" s="154"/>
    </row>
    <row r="49" spans="1:136" s="203" customFormat="1" ht="13.5">
      <c r="A49" s="202" t="s">
        <v>2281</v>
      </c>
      <c r="B49" s="202" t="s">
        <v>2298</v>
      </c>
      <c r="C49" s="202" t="s">
        <v>2298</v>
      </c>
      <c r="D49" s="202" t="s">
        <v>2298</v>
      </c>
      <c r="E49" s="202" t="s">
        <v>2335</v>
      </c>
      <c r="F49" s="156" t="s">
        <v>1088</v>
      </c>
      <c r="G49" s="44" t="s">
        <v>3135</v>
      </c>
      <c r="H49" s="44" t="s">
        <v>3124</v>
      </c>
      <c r="I49" s="65" t="s">
        <v>3100</v>
      </c>
      <c r="J49" s="344" t="s">
        <v>3101</v>
      </c>
      <c r="K49" s="344" t="s">
        <v>3101</v>
      </c>
      <c r="L49" s="160" t="s">
        <v>52</v>
      </c>
      <c r="M49" s="65" t="s">
        <v>2277</v>
      </c>
      <c r="N49" s="202" t="s">
        <v>1113</v>
      </c>
      <c r="O49" s="160" t="s">
        <v>182</v>
      </c>
      <c r="P49" s="202" t="s">
        <v>183</v>
      </c>
      <c r="Q49" s="202" t="s">
        <v>2446</v>
      </c>
      <c r="R49" s="202" t="s">
        <v>1062</v>
      </c>
      <c r="S49" s="202" t="s">
        <v>2362</v>
      </c>
      <c r="T49" s="202" t="s">
        <v>1123</v>
      </c>
      <c r="U49" s="156" t="s">
        <v>736</v>
      </c>
      <c r="V49" s="202" t="s">
        <v>2359</v>
      </c>
      <c r="W49" s="202" t="s">
        <v>2498</v>
      </c>
      <c r="X49" s="202" t="s">
        <v>2183</v>
      </c>
      <c r="Y49" s="313"/>
      <c r="Z49" s="160" t="s">
        <v>2499</v>
      </c>
      <c r="AA49" s="202" t="s">
        <v>56</v>
      </c>
      <c r="AB49" s="202" t="s">
        <v>2500</v>
      </c>
      <c r="AC49" s="202" t="s">
        <v>2456</v>
      </c>
      <c r="AD49" s="202"/>
      <c r="AE49" s="160" t="s">
        <v>799</v>
      </c>
      <c r="AF49" s="202" t="s">
        <v>53</v>
      </c>
      <c r="AG49" s="202" t="s">
        <v>2501</v>
      </c>
      <c r="AH49" s="202" t="s">
        <v>2456</v>
      </c>
      <c r="AI49" s="315"/>
      <c r="AJ49" s="160" t="s">
        <v>2502</v>
      </c>
      <c r="AK49" s="202" t="s">
        <v>53</v>
      </c>
      <c r="AL49" s="202" t="s">
        <v>2503</v>
      </c>
      <c r="AM49" s="202" t="s">
        <v>2504</v>
      </c>
      <c r="AN49" s="202"/>
      <c r="AO49" s="204" t="s">
        <v>996</v>
      </c>
      <c r="AP49" s="204" t="s">
        <v>53</v>
      </c>
      <c r="AQ49" s="202" t="s">
        <v>2174</v>
      </c>
      <c r="AR49" s="202" t="s">
        <v>2180</v>
      </c>
      <c r="AS49" s="202" t="s">
        <v>2505</v>
      </c>
      <c r="AT49" s="275" t="s">
        <v>1323</v>
      </c>
      <c r="AU49" s="160" t="s">
        <v>53</v>
      </c>
      <c r="AV49" s="160" t="s">
        <v>2054</v>
      </c>
      <c r="AW49" s="65" t="s">
        <v>2178</v>
      </c>
      <c r="AX49" s="268"/>
      <c r="AY49" s="275" t="s">
        <v>1262</v>
      </c>
      <c r="AZ49" s="199" t="s">
        <v>54</v>
      </c>
      <c r="BA49" s="65" t="s">
        <v>2053</v>
      </c>
      <c r="BB49" s="65" t="s">
        <v>2460</v>
      </c>
      <c r="BC49" s="272"/>
      <c r="BD49" s="65" t="s">
        <v>1463</v>
      </c>
      <c r="BE49" s="65" t="s">
        <v>53</v>
      </c>
      <c r="BF49" s="65" t="s">
        <v>1704</v>
      </c>
      <c r="BG49" s="65"/>
      <c r="BH49" s="65"/>
      <c r="BI49" s="65" t="s">
        <v>1462</v>
      </c>
      <c r="BJ49" s="65" t="s">
        <v>53</v>
      </c>
      <c r="BK49" s="65" t="s">
        <v>1691</v>
      </c>
      <c r="BL49" s="65" t="s">
        <v>2506</v>
      </c>
      <c r="BM49" s="65"/>
      <c r="BN49" s="65" t="s">
        <v>1461</v>
      </c>
      <c r="BO49" s="65" t="s">
        <v>53</v>
      </c>
      <c r="BP49" s="65" t="s">
        <v>1678</v>
      </c>
      <c r="BQ49" s="65"/>
      <c r="BR49" s="65"/>
      <c r="BS49" s="65" t="s">
        <v>1460</v>
      </c>
      <c r="BT49" s="65" t="s">
        <v>53</v>
      </c>
      <c r="BU49" s="65" t="s">
        <v>1665</v>
      </c>
      <c r="BV49" s="65"/>
      <c r="BW49" s="65"/>
      <c r="BX49" s="65" t="s">
        <v>1459</v>
      </c>
      <c r="BY49" s="65" t="s">
        <v>53</v>
      </c>
      <c r="BZ49" s="65" t="s">
        <v>1652</v>
      </c>
      <c r="CA49" s="65"/>
      <c r="CB49" s="65"/>
      <c r="CC49" s="65" t="s">
        <v>1458</v>
      </c>
      <c r="CD49" s="65" t="s">
        <v>53</v>
      </c>
      <c r="CE49" s="65" t="s">
        <v>1639</v>
      </c>
      <c r="CF49" s="65"/>
      <c r="CG49" s="65"/>
      <c r="CH49" s="65" t="s">
        <v>1457</v>
      </c>
      <c r="CI49" s="65" t="s">
        <v>53</v>
      </c>
      <c r="CJ49" s="65" t="s">
        <v>1626</v>
      </c>
      <c r="CK49" s="65"/>
      <c r="CL49" s="65"/>
      <c r="CM49" s="65" t="s">
        <v>1456</v>
      </c>
      <c r="CN49" s="65" t="s">
        <v>53</v>
      </c>
      <c r="CO49" s="65" t="s">
        <v>1613</v>
      </c>
      <c r="CP49" s="65"/>
      <c r="CQ49" s="65"/>
      <c r="CR49" s="65" t="s">
        <v>1455</v>
      </c>
      <c r="CS49" s="65" t="s">
        <v>53</v>
      </c>
      <c r="CT49" s="65" t="s">
        <v>1600</v>
      </c>
      <c r="CU49" s="65"/>
      <c r="CV49" s="65"/>
      <c r="CW49" s="65" t="s">
        <v>1454</v>
      </c>
      <c r="CX49" s="65" t="s">
        <v>53</v>
      </c>
      <c r="CY49" s="65" t="s">
        <v>1587</v>
      </c>
      <c r="CZ49" s="65"/>
      <c r="DA49" s="65"/>
      <c r="DB49" s="65" t="s">
        <v>1453</v>
      </c>
      <c r="DC49" s="65" t="s">
        <v>53</v>
      </c>
      <c r="DD49" s="65" t="s">
        <v>1574</v>
      </c>
      <c r="DE49" s="65"/>
      <c r="DF49" s="65"/>
      <c r="DG49" s="65" t="s">
        <v>1452</v>
      </c>
      <c r="DH49" s="65" t="s">
        <v>53</v>
      </c>
      <c r="DI49" s="65" t="s">
        <v>1561</v>
      </c>
      <c r="DJ49" s="202"/>
      <c r="DK49" s="202"/>
      <c r="DL49" s="65" t="s">
        <v>1451</v>
      </c>
      <c r="DM49" s="65" t="s">
        <v>53</v>
      </c>
      <c r="DN49" s="65" t="s">
        <v>1548</v>
      </c>
      <c r="DO49" s="202"/>
      <c r="DP49" s="202"/>
      <c r="DQ49" s="65" t="s">
        <v>2211</v>
      </c>
      <c r="DR49" s="65" t="s">
        <v>53</v>
      </c>
      <c r="DS49" s="65" t="s">
        <v>2243</v>
      </c>
      <c r="DT49" s="202"/>
      <c r="DU49" s="202"/>
      <c r="DV49" s="202"/>
      <c r="DW49" s="421"/>
      <c r="DX49" s="303" t="s">
        <v>2462</v>
      </c>
      <c r="DY49" s="421"/>
      <c r="DZ49" s="303" t="s">
        <v>2462</v>
      </c>
      <c r="EA49" s="154"/>
      <c r="EB49" s="154"/>
      <c r="EC49" s="154"/>
    </row>
    <row r="50" spans="1:136" s="203" customFormat="1" ht="13.5">
      <c r="A50" s="202" t="s">
        <v>2473</v>
      </c>
      <c r="B50" s="202" t="s">
        <v>2464</v>
      </c>
      <c r="C50" s="202" t="s">
        <v>2464</v>
      </c>
      <c r="D50" s="202" t="s">
        <v>2464</v>
      </c>
      <c r="E50" s="202" t="s">
        <v>2465</v>
      </c>
      <c r="F50" s="156" t="s">
        <v>1224</v>
      </c>
      <c r="G50" s="44" t="s">
        <v>3136</v>
      </c>
      <c r="H50" s="44" t="s">
        <v>3124</v>
      </c>
      <c r="I50" s="65" t="s">
        <v>3100</v>
      </c>
      <c r="J50" s="344" t="s">
        <v>3101</v>
      </c>
      <c r="K50" s="344" t="s">
        <v>3101</v>
      </c>
      <c r="L50" s="160" t="s">
        <v>52</v>
      </c>
      <c r="M50" s="65" t="s">
        <v>2460</v>
      </c>
      <c r="N50" s="202" t="s">
        <v>1113</v>
      </c>
      <c r="O50" s="160" t="s">
        <v>182</v>
      </c>
      <c r="P50" s="202" t="s">
        <v>183</v>
      </c>
      <c r="Q50" s="202" t="s">
        <v>2446</v>
      </c>
      <c r="R50" s="202" t="s">
        <v>1354</v>
      </c>
      <c r="S50" s="202" t="s">
        <v>2362</v>
      </c>
      <c r="T50" s="202" t="s">
        <v>1123</v>
      </c>
      <c r="U50" s="156" t="s">
        <v>1225</v>
      </c>
      <c r="V50" s="202" t="s">
        <v>2359</v>
      </c>
      <c r="W50" s="202" t="s">
        <v>2507</v>
      </c>
      <c r="X50" s="202" t="s">
        <v>2183</v>
      </c>
      <c r="Y50" s="313"/>
      <c r="Z50" s="160" t="s">
        <v>2508</v>
      </c>
      <c r="AA50" s="202" t="s">
        <v>56</v>
      </c>
      <c r="AB50" s="202" t="s">
        <v>2500</v>
      </c>
      <c r="AC50" s="202" t="s">
        <v>2456</v>
      </c>
      <c r="AD50" s="202"/>
      <c r="AE50" s="160" t="s">
        <v>800</v>
      </c>
      <c r="AF50" s="202" t="s">
        <v>54</v>
      </c>
      <c r="AG50" s="202" t="s">
        <v>2501</v>
      </c>
      <c r="AH50" s="202" t="s">
        <v>2456</v>
      </c>
      <c r="AI50" s="316"/>
      <c r="AJ50" s="160" t="s">
        <v>2509</v>
      </c>
      <c r="AK50" s="202" t="s">
        <v>53</v>
      </c>
      <c r="AL50" s="202" t="s">
        <v>2510</v>
      </c>
      <c r="AM50" s="202" t="s">
        <v>2504</v>
      </c>
      <c r="AN50" s="202"/>
      <c r="AO50" s="204" t="s">
        <v>997</v>
      </c>
      <c r="AP50" s="204" t="s">
        <v>53</v>
      </c>
      <c r="AQ50" s="202" t="s">
        <v>2174</v>
      </c>
      <c r="AR50" s="202" t="s">
        <v>2180</v>
      </c>
      <c r="AS50" s="202" t="s">
        <v>2511</v>
      </c>
      <c r="AT50" s="275" t="s">
        <v>1324</v>
      </c>
      <c r="AU50" s="160" t="s">
        <v>53</v>
      </c>
      <c r="AV50" s="160" t="s">
        <v>2054</v>
      </c>
      <c r="AW50" s="65" t="s">
        <v>2178</v>
      </c>
      <c r="AX50" s="268"/>
      <c r="AY50" s="275" t="s">
        <v>1261</v>
      </c>
      <c r="AZ50" s="199" t="s">
        <v>54</v>
      </c>
      <c r="BA50" s="65" t="s">
        <v>2053</v>
      </c>
      <c r="BB50" s="65" t="s">
        <v>2460</v>
      </c>
      <c r="BC50" s="272"/>
      <c r="BD50" s="65" t="s">
        <v>1450</v>
      </c>
      <c r="BE50" s="65" t="s">
        <v>53</v>
      </c>
      <c r="BF50" s="65" t="s">
        <v>1705</v>
      </c>
      <c r="BG50" s="65"/>
      <c r="BH50" s="65"/>
      <c r="BI50" s="65" t="s">
        <v>1449</v>
      </c>
      <c r="BJ50" s="65" t="s">
        <v>53</v>
      </c>
      <c r="BK50" s="65" t="s">
        <v>1692</v>
      </c>
      <c r="BL50" s="65" t="s">
        <v>2506</v>
      </c>
      <c r="BM50" s="65"/>
      <c r="BN50" s="65" t="s">
        <v>1448</v>
      </c>
      <c r="BO50" s="65" t="s">
        <v>53</v>
      </c>
      <c r="BP50" s="65" t="s">
        <v>1679</v>
      </c>
      <c r="BQ50" s="65"/>
      <c r="BR50" s="65"/>
      <c r="BS50" s="65" t="s">
        <v>1447</v>
      </c>
      <c r="BT50" s="65" t="s">
        <v>53</v>
      </c>
      <c r="BU50" s="65" t="s">
        <v>1666</v>
      </c>
      <c r="BV50" s="65"/>
      <c r="BW50" s="65"/>
      <c r="BX50" s="65" t="s">
        <v>1446</v>
      </c>
      <c r="BY50" s="65" t="s">
        <v>53</v>
      </c>
      <c r="BZ50" s="65" t="s">
        <v>1653</v>
      </c>
      <c r="CA50" s="65"/>
      <c r="CB50" s="65"/>
      <c r="CC50" s="65" t="s">
        <v>1445</v>
      </c>
      <c r="CD50" s="65" t="s">
        <v>53</v>
      </c>
      <c r="CE50" s="65" t="s">
        <v>1640</v>
      </c>
      <c r="CF50" s="65"/>
      <c r="CG50" s="65"/>
      <c r="CH50" s="65" t="s">
        <v>1444</v>
      </c>
      <c r="CI50" s="65" t="s">
        <v>53</v>
      </c>
      <c r="CJ50" s="65" t="s">
        <v>1627</v>
      </c>
      <c r="CK50" s="65"/>
      <c r="CL50" s="65"/>
      <c r="CM50" s="65" t="s">
        <v>1443</v>
      </c>
      <c r="CN50" s="65" t="s">
        <v>53</v>
      </c>
      <c r="CO50" s="65" t="s">
        <v>1614</v>
      </c>
      <c r="CP50" s="65"/>
      <c r="CQ50" s="65"/>
      <c r="CR50" s="65" t="s">
        <v>1442</v>
      </c>
      <c r="CS50" s="65" t="s">
        <v>53</v>
      </c>
      <c r="CT50" s="65" t="s">
        <v>1601</v>
      </c>
      <c r="CU50" s="65"/>
      <c r="CV50" s="65"/>
      <c r="CW50" s="65" t="s">
        <v>1441</v>
      </c>
      <c r="CX50" s="65" t="s">
        <v>53</v>
      </c>
      <c r="CY50" s="65" t="s">
        <v>1588</v>
      </c>
      <c r="CZ50" s="65"/>
      <c r="DA50" s="65"/>
      <c r="DB50" s="65" t="s">
        <v>1440</v>
      </c>
      <c r="DC50" s="65" t="s">
        <v>53</v>
      </c>
      <c r="DD50" s="65" t="s">
        <v>1575</v>
      </c>
      <c r="DE50" s="65"/>
      <c r="DF50" s="65"/>
      <c r="DG50" s="65" t="s">
        <v>1439</v>
      </c>
      <c r="DH50" s="65" t="s">
        <v>53</v>
      </c>
      <c r="DI50" s="65" t="s">
        <v>1562</v>
      </c>
      <c r="DJ50" s="202"/>
      <c r="DK50" s="202"/>
      <c r="DL50" s="65" t="s">
        <v>1438</v>
      </c>
      <c r="DM50" s="65" t="s">
        <v>53</v>
      </c>
      <c r="DN50" s="65" t="s">
        <v>1549</v>
      </c>
      <c r="DO50" s="202"/>
      <c r="DP50" s="202"/>
      <c r="DQ50" s="65" t="s">
        <v>2212</v>
      </c>
      <c r="DR50" s="65" t="s">
        <v>53</v>
      </c>
      <c r="DS50" s="65" t="s">
        <v>2244</v>
      </c>
      <c r="DT50" s="202"/>
      <c r="DU50" s="202"/>
      <c r="DV50" s="202"/>
      <c r="DW50" s="421"/>
      <c r="DX50" s="303" t="s">
        <v>2462</v>
      </c>
      <c r="DY50" s="421"/>
      <c r="DZ50" s="303" t="s">
        <v>2462</v>
      </c>
      <c r="EA50" s="154"/>
      <c r="EB50" s="154"/>
      <c r="EC50" s="154"/>
    </row>
    <row r="51" spans="1:136" s="203" customFormat="1" ht="13.5">
      <c r="A51" s="202" t="s">
        <v>2473</v>
      </c>
      <c r="B51" s="202" t="s">
        <v>2464</v>
      </c>
      <c r="C51" s="202" t="s">
        <v>2464</v>
      </c>
      <c r="D51" s="202" t="s">
        <v>2464</v>
      </c>
      <c r="E51" s="202" t="s">
        <v>2465</v>
      </c>
      <c r="F51" s="156" t="s">
        <v>1978</v>
      </c>
      <c r="G51" s="44" t="s">
        <v>3100</v>
      </c>
      <c r="H51" s="44" t="s">
        <v>509</v>
      </c>
      <c r="I51" s="65" t="s">
        <v>3100</v>
      </c>
      <c r="J51" s="344" t="s">
        <v>3101</v>
      </c>
      <c r="K51" s="344" t="s">
        <v>3101</v>
      </c>
      <c r="L51" s="160" t="s">
        <v>52</v>
      </c>
      <c r="M51" s="65" t="s">
        <v>2460</v>
      </c>
      <c r="N51" s="202" t="s">
        <v>1113</v>
      </c>
      <c r="O51" s="160" t="s">
        <v>182</v>
      </c>
      <c r="P51" s="202" t="s">
        <v>183</v>
      </c>
      <c r="Q51" s="202" t="s">
        <v>2446</v>
      </c>
      <c r="R51" s="202" t="s">
        <v>1266</v>
      </c>
      <c r="S51" s="202" t="s">
        <v>2362</v>
      </c>
      <c r="T51" s="202" t="s">
        <v>1123</v>
      </c>
      <c r="U51" s="156" t="s">
        <v>1039</v>
      </c>
      <c r="V51" s="202" t="s">
        <v>2359</v>
      </c>
      <c r="W51" s="202" t="s">
        <v>2512</v>
      </c>
      <c r="X51" s="202" t="s">
        <v>2183</v>
      </c>
      <c r="Y51" s="313"/>
      <c r="Z51" s="202" t="s">
        <v>2369</v>
      </c>
      <c r="AA51" s="202" t="s">
        <v>52</v>
      </c>
      <c r="AB51" s="202" t="s">
        <v>2513</v>
      </c>
      <c r="AC51" s="202" t="s">
        <v>2371</v>
      </c>
      <c r="AD51" s="202"/>
      <c r="AE51" s="160" t="s">
        <v>2514</v>
      </c>
      <c r="AF51" s="202" t="s">
        <v>53</v>
      </c>
      <c r="AG51" s="202" t="s">
        <v>2515</v>
      </c>
      <c r="AH51" s="202" t="s">
        <v>2371</v>
      </c>
      <c r="AI51" s="202"/>
      <c r="AJ51" s="156" t="s">
        <v>2516</v>
      </c>
      <c r="AK51" s="156" t="s">
        <v>53</v>
      </c>
      <c r="AL51" s="160" t="s">
        <v>2517</v>
      </c>
      <c r="AM51" s="202" t="s">
        <v>2325</v>
      </c>
      <c r="AN51" s="202"/>
      <c r="AO51" s="204" t="s">
        <v>998</v>
      </c>
      <c r="AP51" s="204" t="s">
        <v>53</v>
      </c>
      <c r="AQ51" s="202" t="s">
        <v>2174</v>
      </c>
      <c r="AR51" s="202" t="s">
        <v>2180</v>
      </c>
      <c r="AS51" s="202" t="s">
        <v>2518</v>
      </c>
      <c r="AT51" s="275" t="s">
        <v>1325</v>
      </c>
      <c r="AU51" s="160" t="s">
        <v>53</v>
      </c>
      <c r="AV51" s="160" t="s">
        <v>2519</v>
      </c>
      <c r="AW51" s="65" t="s">
        <v>2178</v>
      </c>
      <c r="AX51" s="268"/>
      <c r="AY51" s="275" t="s">
        <v>1260</v>
      </c>
      <c r="AZ51" s="199" t="s">
        <v>54</v>
      </c>
      <c r="BA51" s="65" t="s">
        <v>2053</v>
      </c>
      <c r="BB51" s="65" t="s">
        <v>2277</v>
      </c>
      <c r="BC51" s="272"/>
      <c r="BD51" s="65" t="s">
        <v>1437</v>
      </c>
      <c r="BE51" s="65" t="s">
        <v>53</v>
      </c>
      <c r="BF51" s="65" t="s">
        <v>1706</v>
      </c>
      <c r="BG51" s="65"/>
      <c r="BH51" s="65"/>
      <c r="BI51" s="65" t="s">
        <v>1436</v>
      </c>
      <c r="BJ51" s="65" t="s">
        <v>53</v>
      </c>
      <c r="BK51" s="65" t="s">
        <v>1693</v>
      </c>
      <c r="BL51" s="65" t="s">
        <v>2497</v>
      </c>
      <c r="BM51" s="65"/>
      <c r="BN51" s="65" t="s">
        <v>1435</v>
      </c>
      <c r="BO51" s="65" t="s">
        <v>53</v>
      </c>
      <c r="BP51" s="65" t="s">
        <v>1680</v>
      </c>
      <c r="BQ51" s="65"/>
      <c r="BR51" s="65"/>
      <c r="BS51" s="65" t="s">
        <v>1434</v>
      </c>
      <c r="BT51" s="65" t="s">
        <v>53</v>
      </c>
      <c r="BU51" s="65" t="s">
        <v>1667</v>
      </c>
      <c r="BV51" s="65"/>
      <c r="BW51" s="65"/>
      <c r="BX51" s="65" t="s">
        <v>1433</v>
      </c>
      <c r="BY51" s="65" t="s">
        <v>53</v>
      </c>
      <c r="BZ51" s="65" t="s">
        <v>1654</v>
      </c>
      <c r="CA51" s="65"/>
      <c r="CB51" s="65"/>
      <c r="CC51" s="65" t="s">
        <v>1432</v>
      </c>
      <c r="CD51" s="65" t="s">
        <v>53</v>
      </c>
      <c r="CE51" s="65" t="s">
        <v>1641</v>
      </c>
      <c r="CF51" s="65"/>
      <c r="CG51" s="65"/>
      <c r="CH51" s="65" t="s">
        <v>1431</v>
      </c>
      <c r="CI51" s="65" t="s">
        <v>53</v>
      </c>
      <c r="CJ51" s="65" t="s">
        <v>1628</v>
      </c>
      <c r="CK51" s="65"/>
      <c r="CL51" s="65"/>
      <c r="CM51" s="65" t="s">
        <v>1430</v>
      </c>
      <c r="CN51" s="65" t="s">
        <v>53</v>
      </c>
      <c r="CO51" s="65" t="s">
        <v>1615</v>
      </c>
      <c r="CP51" s="65"/>
      <c r="CQ51" s="65"/>
      <c r="CR51" s="65" t="s">
        <v>1429</v>
      </c>
      <c r="CS51" s="65" t="s">
        <v>53</v>
      </c>
      <c r="CT51" s="65" t="s">
        <v>1602</v>
      </c>
      <c r="CU51" s="65"/>
      <c r="CV51" s="65"/>
      <c r="CW51" s="65" t="s">
        <v>1428</v>
      </c>
      <c r="CX51" s="65" t="s">
        <v>53</v>
      </c>
      <c r="CY51" s="65" t="s">
        <v>1589</v>
      </c>
      <c r="CZ51" s="65"/>
      <c r="DA51" s="65"/>
      <c r="DB51" s="65" t="s">
        <v>1427</v>
      </c>
      <c r="DC51" s="65" t="s">
        <v>53</v>
      </c>
      <c r="DD51" s="65" t="s">
        <v>1576</v>
      </c>
      <c r="DE51" s="65"/>
      <c r="DF51" s="65"/>
      <c r="DG51" s="65" t="s">
        <v>1426</v>
      </c>
      <c r="DH51" s="65" t="s">
        <v>53</v>
      </c>
      <c r="DI51" s="65" t="s">
        <v>1563</v>
      </c>
      <c r="DJ51" s="202"/>
      <c r="DK51" s="202"/>
      <c r="DL51" s="65" t="s">
        <v>1425</v>
      </c>
      <c r="DM51" s="65" t="s">
        <v>53</v>
      </c>
      <c r="DN51" s="65" t="s">
        <v>1550</v>
      </c>
      <c r="DO51" s="202"/>
      <c r="DP51" s="202"/>
      <c r="DQ51" s="65" t="s">
        <v>2213</v>
      </c>
      <c r="DR51" s="65" t="s">
        <v>53</v>
      </c>
      <c r="DS51" s="65" t="s">
        <v>2245</v>
      </c>
      <c r="DT51" s="202"/>
      <c r="DU51" s="202"/>
      <c r="DV51" s="202"/>
      <c r="DW51" s="421"/>
      <c r="DX51" s="303" t="s">
        <v>2279</v>
      </c>
      <c r="DY51" s="421"/>
      <c r="DZ51" s="303" t="s">
        <v>2279</v>
      </c>
      <c r="EA51" s="154"/>
      <c r="EB51" s="154"/>
      <c r="EC51" s="154"/>
    </row>
    <row r="52" spans="1:136" s="203" customFormat="1" ht="13.5" collapsed="1">
      <c r="A52" s="202" t="s">
        <v>2281</v>
      </c>
      <c r="B52" s="202" t="s">
        <v>2298</v>
      </c>
      <c r="C52" s="202" t="s">
        <v>2298</v>
      </c>
      <c r="D52" s="202" t="s">
        <v>2298</v>
      </c>
      <c r="E52" s="202" t="s">
        <v>2335</v>
      </c>
      <c r="F52" s="156" t="s">
        <v>1226</v>
      </c>
      <c r="G52" s="44" t="s">
        <v>3100</v>
      </c>
      <c r="H52" s="44" t="s">
        <v>3100</v>
      </c>
      <c r="I52" s="65" t="s">
        <v>3100</v>
      </c>
      <c r="J52" s="344" t="s">
        <v>3101</v>
      </c>
      <c r="K52" s="344" t="s">
        <v>3101</v>
      </c>
      <c r="L52" s="160" t="s">
        <v>52</v>
      </c>
      <c r="M52" s="65" t="s">
        <v>2277</v>
      </c>
      <c r="N52" s="202" t="s">
        <v>1113</v>
      </c>
      <c r="O52" s="160" t="s">
        <v>182</v>
      </c>
      <c r="P52" s="202" t="s">
        <v>183</v>
      </c>
      <c r="Q52" s="202" t="s">
        <v>2446</v>
      </c>
      <c r="R52" s="202" t="s">
        <v>1090</v>
      </c>
      <c r="S52" s="202" t="s">
        <v>2362</v>
      </c>
      <c r="T52" s="202" t="s">
        <v>1123</v>
      </c>
      <c r="U52" s="156" t="s">
        <v>1181</v>
      </c>
      <c r="V52" s="202" t="s">
        <v>2359</v>
      </c>
      <c r="W52" s="202" t="s">
        <v>2520</v>
      </c>
      <c r="X52" s="202" t="s">
        <v>2183</v>
      </c>
      <c r="Y52" s="313"/>
      <c r="Z52" s="202" t="s">
        <v>2385</v>
      </c>
      <c r="AA52" s="202" t="s">
        <v>52</v>
      </c>
      <c r="AB52" s="202" t="s">
        <v>2513</v>
      </c>
      <c r="AC52" s="202" t="s">
        <v>2371</v>
      </c>
      <c r="AD52" s="202"/>
      <c r="AE52" s="160" t="s">
        <v>2521</v>
      </c>
      <c r="AF52" s="202" t="s">
        <v>53</v>
      </c>
      <c r="AG52" s="202" t="s">
        <v>2522</v>
      </c>
      <c r="AH52" s="202" t="s">
        <v>2371</v>
      </c>
      <c r="AI52" s="202"/>
      <c r="AJ52" s="156" t="s">
        <v>1288</v>
      </c>
      <c r="AK52" s="156" t="s">
        <v>53</v>
      </c>
      <c r="AL52" s="160" t="s">
        <v>2523</v>
      </c>
      <c r="AM52" s="202" t="s">
        <v>2325</v>
      </c>
      <c r="AN52" s="202"/>
      <c r="AO52" s="204" t="s">
        <v>999</v>
      </c>
      <c r="AP52" s="204" t="s">
        <v>53</v>
      </c>
      <c r="AQ52" s="202" t="s">
        <v>2174</v>
      </c>
      <c r="AR52" s="202" t="s">
        <v>2180</v>
      </c>
      <c r="AS52" s="202" t="s">
        <v>2524</v>
      </c>
      <c r="AT52" s="275" t="s">
        <v>1326</v>
      </c>
      <c r="AU52" s="160" t="s">
        <v>53</v>
      </c>
      <c r="AV52" s="160" t="s">
        <v>2054</v>
      </c>
      <c r="AW52" s="65" t="s">
        <v>2178</v>
      </c>
      <c r="AX52" s="268"/>
      <c r="AY52" s="275" t="s">
        <v>1259</v>
      </c>
      <c r="AZ52" s="199" t="s">
        <v>54</v>
      </c>
      <c r="BA52" s="65" t="s">
        <v>2053</v>
      </c>
      <c r="BB52" s="65" t="s">
        <v>2277</v>
      </c>
      <c r="BC52" s="272"/>
      <c r="BD52" s="65" t="s">
        <v>1424</v>
      </c>
      <c r="BE52" s="65" t="s">
        <v>53</v>
      </c>
      <c r="BF52" s="65" t="s">
        <v>1707</v>
      </c>
      <c r="BG52" s="65"/>
      <c r="BH52" s="65"/>
      <c r="BI52" s="65" t="s">
        <v>1423</v>
      </c>
      <c r="BJ52" s="65" t="s">
        <v>53</v>
      </c>
      <c r="BK52" s="65" t="s">
        <v>1694</v>
      </c>
      <c r="BL52" s="65" t="s">
        <v>2497</v>
      </c>
      <c r="BM52" s="65"/>
      <c r="BN52" s="65" t="s">
        <v>1422</v>
      </c>
      <c r="BO52" s="65" t="s">
        <v>53</v>
      </c>
      <c r="BP52" s="65" t="s">
        <v>1681</v>
      </c>
      <c r="BQ52" s="65"/>
      <c r="BR52" s="65"/>
      <c r="BS52" s="65" t="s">
        <v>1421</v>
      </c>
      <c r="BT52" s="65" t="s">
        <v>53</v>
      </c>
      <c r="BU52" s="65" t="s">
        <v>1668</v>
      </c>
      <c r="BV52" s="65"/>
      <c r="BW52" s="65"/>
      <c r="BX52" s="65" t="s">
        <v>1420</v>
      </c>
      <c r="BY52" s="65" t="s">
        <v>53</v>
      </c>
      <c r="BZ52" s="65" t="s">
        <v>1655</v>
      </c>
      <c r="CA52" s="65"/>
      <c r="CB52" s="65"/>
      <c r="CC52" s="65" t="s">
        <v>1419</v>
      </c>
      <c r="CD52" s="65" t="s">
        <v>53</v>
      </c>
      <c r="CE52" s="65" t="s">
        <v>1642</v>
      </c>
      <c r="CF52" s="65"/>
      <c r="CG52" s="65"/>
      <c r="CH52" s="65" t="s">
        <v>1418</v>
      </c>
      <c r="CI52" s="65" t="s">
        <v>53</v>
      </c>
      <c r="CJ52" s="65" t="s">
        <v>1629</v>
      </c>
      <c r="CK52" s="65"/>
      <c r="CL52" s="65"/>
      <c r="CM52" s="65" t="s">
        <v>1417</v>
      </c>
      <c r="CN52" s="65" t="s">
        <v>53</v>
      </c>
      <c r="CO52" s="65" t="s">
        <v>1616</v>
      </c>
      <c r="CP52" s="65"/>
      <c r="CQ52" s="65"/>
      <c r="CR52" s="65" t="s">
        <v>1416</v>
      </c>
      <c r="CS52" s="65" t="s">
        <v>53</v>
      </c>
      <c r="CT52" s="65" t="s">
        <v>1603</v>
      </c>
      <c r="CU52" s="65"/>
      <c r="CV52" s="65"/>
      <c r="CW52" s="65" t="s">
        <v>1415</v>
      </c>
      <c r="CX52" s="65" t="s">
        <v>53</v>
      </c>
      <c r="CY52" s="65" t="s">
        <v>1590</v>
      </c>
      <c r="CZ52" s="65"/>
      <c r="DA52" s="65"/>
      <c r="DB52" s="65" t="s">
        <v>1414</v>
      </c>
      <c r="DC52" s="65" t="s">
        <v>53</v>
      </c>
      <c r="DD52" s="65" t="s">
        <v>1577</v>
      </c>
      <c r="DE52" s="65"/>
      <c r="DF52" s="65"/>
      <c r="DG52" s="65" t="s">
        <v>1413</v>
      </c>
      <c r="DH52" s="65" t="s">
        <v>53</v>
      </c>
      <c r="DI52" s="65" t="s">
        <v>1564</v>
      </c>
      <c r="DJ52" s="202"/>
      <c r="DK52" s="202"/>
      <c r="DL52" s="65" t="s">
        <v>1412</v>
      </c>
      <c r="DM52" s="65" t="s">
        <v>53</v>
      </c>
      <c r="DN52" s="65" t="s">
        <v>1551</v>
      </c>
      <c r="DO52" s="202"/>
      <c r="DP52" s="202"/>
      <c r="DQ52" s="65" t="s">
        <v>2214</v>
      </c>
      <c r="DR52" s="65" t="s">
        <v>53</v>
      </c>
      <c r="DS52" s="65" t="s">
        <v>2246</v>
      </c>
      <c r="DT52" s="202"/>
      <c r="DU52" s="202"/>
      <c r="DV52" s="202"/>
      <c r="DW52" s="421"/>
      <c r="DX52" s="303" t="s">
        <v>2279</v>
      </c>
      <c r="DY52" s="421"/>
      <c r="DZ52" s="303" t="s">
        <v>2279</v>
      </c>
      <c r="EA52" s="154"/>
      <c r="EB52" s="154"/>
      <c r="EC52" s="154"/>
    </row>
    <row r="53" spans="1:136" s="203" customFormat="1" ht="12.75">
      <c r="A53" s="202" t="s">
        <v>2281</v>
      </c>
      <c r="B53" s="202" t="s">
        <v>2298</v>
      </c>
      <c r="C53" s="202" t="s">
        <v>2298</v>
      </c>
      <c r="D53" s="202" t="s">
        <v>2298</v>
      </c>
      <c r="E53" s="202" t="s">
        <v>2335</v>
      </c>
      <c r="F53" s="156" t="s">
        <v>1076</v>
      </c>
      <c r="G53" s="44" t="s">
        <v>3137</v>
      </c>
      <c r="H53" s="44" t="s">
        <v>3124</v>
      </c>
      <c r="I53" s="65" t="s">
        <v>3100</v>
      </c>
      <c r="J53" s="344" t="s">
        <v>3101</v>
      </c>
      <c r="K53" s="344" t="s">
        <v>3101</v>
      </c>
      <c r="L53" s="160" t="s">
        <v>52</v>
      </c>
      <c r="M53" s="65" t="s">
        <v>2277</v>
      </c>
      <c r="N53" s="202" t="s">
        <v>1113</v>
      </c>
      <c r="O53" s="160" t="s">
        <v>182</v>
      </c>
      <c r="P53" s="202" t="s">
        <v>183</v>
      </c>
      <c r="Q53" s="202" t="s">
        <v>2446</v>
      </c>
      <c r="R53" s="202" t="s">
        <v>67</v>
      </c>
      <c r="S53" s="202" t="s">
        <v>2362</v>
      </c>
      <c r="T53" s="202" t="s">
        <v>1123</v>
      </c>
      <c r="U53" s="156" t="s">
        <v>1040</v>
      </c>
      <c r="V53" s="202" t="s">
        <v>2359</v>
      </c>
      <c r="W53" s="202" t="s">
        <v>2525</v>
      </c>
      <c r="X53" s="202" t="s">
        <v>2183</v>
      </c>
      <c r="Y53" s="313"/>
      <c r="Z53" s="202" t="s">
        <v>2403</v>
      </c>
      <c r="AA53" s="202" t="s">
        <v>53</v>
      </c>
      <c r="AB53" s="202" t="s">
        <v>2513</v>
      </c>
      <c r="AC53" s="202" t="s">
        <v>2371</v>
      </c>
      <c r="AD53" s="202"/>
      <c r="AE53" s="160" t="s">
        <v>2454</v>
      </c>
      <c r="AF53" s="202" t="s">
        <v>56</v>
      </c>
      <c r="AG53" s="202" t="s">
        <v>2526</v>
      </c>
      <c r="AH53" s="202" t="s">
        <v>2456</v>
      </c>
      <c r="AI53" s="202"/>
      <c r="AJ53" s="156" t="s">
        <v>1289</v>
      </c>
      <c r="AK53" s="156" t="s">
        <v>53</v>
      </c>
      <c r="AL53" s="160" t="s">
        <v>2527</v>
      </c>
      <c r="AM53" s="202" t="s">
        <v>2456</v>
      </c>
      <c r="AN53" s="202"/>
      <c r="AO53" s="156" t="s">
        <v>2528</v>
      </c>
      <c r="AP53" s="65" t="s">
        <v>53</v>
      </c>
      <c r="AQ53" s="202" t="s">
        <v>2174</v>
      </c>
      <c r="AR53" s="202" t="s">
        <v>2529</v>
      </c>
      <c r="AS53" s="202" t="s">
        <v>2530</v>
      </c>
      <c r="AT53" s="275" t="s">
        <v>2531</v>
      </c>
      <c r="AU53" s="160" t="s">
        <v>54</v>
      </c>
      <c r="AV53" s="65" t="s">
        <v>2054</v>
      </c>
      <c r="AW53" s="65" t="s">
        <v>2178</v>
      </c>
      <c r="AX53" s="268"/>
      <c r="AY53" s="275" t="s">
        <v>1258</v>
      </c>
      <c r="AZ53" s="199" t="s">
        <v>54</v>
      </c>
      <c r="BA53" s="65" t="s">
        <v>2053</v>
      </c>
      <c r="BB53" s="65" t="s">
        <v>2460</v>
      </c>
      <c r="BC53" s="317"/>
      <c r="BD53" s="65" t="s">
        <v>1411</v>
      </c>
      <c r="BE53" s="65" t="s">
        <v>53</v>
      </c>
      <c r="BF53" s="65" t="s">
        <v>1708</v>
      </c>
      <c r="BG53" s="65"/>
      <c r="BH53" s="65"/>
      <c r="BI53" s="65" t="s">
        <v>1410</v>
      </c>
      <c r="BJ53" s="65" t="s">
        <v>53</v>
      </c>
      <c r="BK53" s="65" t="s">
        <v>1695</v>
      </c>
      <c r="BL53" s="65" t="s">
        <v>2506</v>
      </c>
      <c r="BM53" s="65"/>
      <c r="BN53" s="65" t="s">
        <v>1409</v>
      </c>
      <c r="BO53" s="65" t="s">
        <v>53</v>
      </c>
      <c r="BP53" s="65" t="s">
        <v>1682</v>
      </c>
      <c r="BQ53" s="65"/>
      <c r="BR53" s="65"/>
      <c r="BS53" s="65" t="s">
        <v>1408</v>
      </c>
      <c r="BT53" s="65" t="s">
        <v>53</v>
      </c>
      <c r="BU53" s="65" t="s">
        <v>1669</v>
      </c>
      <c r="BV53" s="65"/>
      <c r="BW53" s="65"/>
      <c r="BX53" s="65" t="s">
        <v>1407</v>
      </c>
      <c r="BY53" s="65" t="s">
        <v>53</v>
      </c>
      <c r="BZ53" s="65" t="s">
        <v>1656</v>
      </c>
      <c r="CA53" s="65"/>
      <c r="CB53" s="65"/>
      <c r="CC53" s="65" t="s">
        <v>1406</v>
      </c>
      <c r="CD53" s="65" t="s">
        <v>53</v>
      </c>
      <c r="CE53" s="65" t="s">
        <v>1643</v>
      </c>
      <c r="CF53" s="65"/>
      <c r="CG53" s="65"/>
      <c r="CH53" s="65" t="s">
        <v>1405</v>
      </c>
      <c r="CI53" s="65" t="s">
        <v>53</v>
      </c>
      <c r="CJ53" s="65" t="s">
        <v>1630</v>
      </c>
      <c r="CK53" s="65"/>
      <c r="CL53" s="65"/>
      <c r="CM53" s="65" t="s">
        <v>1404</v>
      </c>
      <c r="CN53" s="65" t="s">
        <v>53</v>
      </c>
      <c r="CO53" s="65" t="s">
        <v>1617</v>
      </c>
      <c r="CP53" s="65"/>
      <c r="CQ53" s="65"/>
      <c r="CR53" s="65" t="s">
        <v>1403</v>
      </c>
      <c r="CS53" s="65" t="s">
        <v>53</v>
      </c>
      <c r="CT53" s="65" t="s">
        <v>1604</v>
      </c>
      <c r="CU53" s="65"/>
      <c r="CV53" s="65"/>
      <c r="CW53" s="65" t="s">
        <v>1402</v>
      </c>
      <c r="CX53" s="65" t="s">
        <v>53</v>
      </c>
      <c r="CY53" s="65" t="s">
        <v>1591</v>
      </c>
      <c r="CZ53" s="65"/>
      <c r="DA53" s="65"/>
      <c r="DB53" s="65" t="s">
        <v>1401</v>
      </c>
      <c r="DC53" s="65" t="s">
        <v>53</v>
      </c>
      <c r="DD53" s="65" t="s">
        <v>1578</v>
      </c>
      <c r="DE53" s="65"/>
      <c r="DF53" s="65"/>
      <c r="DG53" s="65" t="s">
        <v>1400</v>
      </c>
      <c r="DH53" s="65" t="s">
        <v>53</v>
      </c>
      <c r="DI53" s="65" t="s">
        <v>1565</v>
      </c>
      <c r="DJ53" s="202"/>
      <c r="DK53" s="202"/>
      <c r="DL53" s="65" t="s">
        <v>1399</v>
      </c>
      <c r="DM53" s="65" t="s">
        <v>53</v>
      </c>
      <c r="DN53" s="65" t="s">
        <v>1552</v>
      </c>
      <c r="DO53" s="202"/>
      <c r="DP53" s="202"/>
      <c r="DQ53" s="65" t="s">
        <v>2215</v>
      </c>
      <c r="DR53" s="65" t="s">
        <v>53</v>
      </c>
      <c r="DS53" s="65" t="s">
        <v>2247</v>
      </c>
      <c r="DT53" s="202"/>
      <c r="DU53" s="202"/>
      <c r="DV53" s="202"/>
      <c r="DW53" s="421"/>
      <c r="DX53" s="303" t="s">
        <v>2462</v>
      </c>
      <c r="DY53" s="421"/>
      <c r="DZ53" s="303" t="s">
        <v>2462</v>
      </c>
      <c r="EA53" s="154"/>
      <c r="EB53" s="154"/>
      <c r="EC53" s="154"/>
    </row>
    <row r="54" spans="1:136" s="203" customFormat="1">
      <c r="A54" s="202" t="s">
        <v>2473</v>
      </c>
      <c r="B54" s="202" t="s">
        <v>2464</v>
      </c>
      <c r="C54" s="202" t="s">
        <v>2464</v>
      </c>
      <c r="D54" s="202" t="s">
        <v>2464</v>
      </c>
      <c r="E54" s="202" t="s">
        <v>2465</v>
      </c>
      <c r="F54" s="156" t="s">
        <v>1227</v>
      </c>
      <c r="G54" s="44" t="s">
        <v>3139</v>
      </c>
      <c r="H54" s="44" t="s">
        <v>3124</v>
      </c>
      <c r="I54" s="65" t="s">
        <v>3100</v>
      </c>
      <c r="J54" s="344" t="s">
        <v>3101</v>
      </c>
      <c r="K54" s="344" t="s">
        <v>3101</v>
      </c>
      <c r="L54" s="160" t="s">
        <v>52</v>
      </c>
      <c r="M54" s="65" t="s">
        <v>2460</v>
      </c>
      <c r="N54" s="202" t="s">
        <v>1113</v>
      </c>
      <c r="O54" s="160" t="s">
        <v>182</v>
      </c>
      <c r="P54" s="202" t="s">
        <v>183</v>
      </c>
      <c r="Q54" s="202" t="s">
        <v>2446</v>
      </c>
      <c r="R54" s="202" t="s">
        <v>1063</v>
      </c>
      <c r="S54" s="202" t="s">
        <v>2362</v>
      </c>
      <c r="T54" s="202" t="s">
        <v>1123</v>
      </c>
      <c r="U54" s="156" t="s">
        <v>1041</v>
      </c>
      <c r="V54" s="202" t="s">
        <v>2359</v>
      </c>
      <c r="W54" s="202" t="s">
        <v>2532</v>
      </c>
      <c r="X54" s="202" t="s">
        <v>2183</v>
      </c>
      <c r="Y54" s="313"/>
      <c r="Z54" s="202" t="s">
        <v>2395</v>
      </c>
      <c r="AA54" s="202" t="s">
        <v>54</v>
      </c>
      <c r="AB54" s="202" t="s">
        <v>2513</v>
      </c>
      <c r="AC54" s="202" t="s">
        <v>2371</v>
      </c>
      <c r="AD54" s="202"/>
      <c r="AE54" s="160" t="s">
        <v>2469</v>
      </c>
      <c r="AF54" s="202" t="s">
        <v>56</v>
      </c>
      <c r="AG54" s="202" t="s">
        <v>2526</v>
      </c>
      <c r="AH54" s="202" t="s">
        <v>2456</v>
      </c>
      <c r="AI54" s="202"/>
      <c r="AJ54" s="156" t="s">
        <v>2533</v>
      </c>
      <c r="AK54" s="156" t="s">
        <v>53</v>
      </c>
      <c r="AL54" s="160" t="s">
        <v>2173</v>
      </c>
      <c r="AM54" s="202" t="s">
        <v>2456</v>
      </c>
      <c r="AN54" s="202"/>
      <c r="AO54" s="156" t="s">
        <v>1215</v>
      </c>
      <c r="AP54" s="65" t="s">
        <v>53</v>
      </c>
      <c r="AQ54" s="202" t="s">
        <v>2174</v>
      </c>
      <c r="AR54" s="202" t="s">
        <v>2529</v>
      </c>
      <c r="AS54" s="202" t="s">
        <v>2534</v>
      </c>
      <c r="AT54" s="275" t="s">
        <v>1327</v>
      </c>
      <c r="AU54" s="160" t="s">
        <v>54</v>
      </c>
      <c r="AV54" s="65" t="s">
        <v>2054</v>
      </c>
      <c r="AW54" s="65" t="s">
        <v>2178</v>
      </c>
      <c r="AX54" s="268"/>
      <c r="AY54" s="275" t="s">
        <v>1257</v>
      </c>
      <c r="AZ54" s="199" t="s">
        <v>54</v>
      </c>
      <c r="BA54" s="65" t="s">
        <v>2053</v>
      </c>
      <c r="BB54" s="65" t="s">
        <v>2460</v>
      </c>
      <c r="BC54" s="317"/>
      <c r="BD54" s="65" t="s">
        <v>1398</v>
      </c>
      <c r="BE54" s="65" t="s">
        <v>53</v>
      </c>
      <c r="BF54" s="65" t="s">
        <v>1709</v>
      </c>
      <c r="BG54" s="65"/>
      <c r="BH54" s="65"/>
      <c r="BI54" s="65" t="s">
        <v>1397</v>
      </c>
      <c r="BJ54" s="65" t="s">
        <v>53</v>
      </c>
      <c r="BK54" s="65" t="s">
        <v>1696</v>
      </c>
      <c r="BL54" s="65" t="s">
        <v>2506</v>
      </c>
      <c r="BM54" s="65"/>
      <c r="BN54" s="65" t="s">
        <v>1396</v>
      </c>
      <c r="BO54" s="65" t="s">
        <v>53</v>
      </c>
      <c r="BP54" s="65" t="s">
        <v>1683</v>
      </c>
      <c r="BQ54" s="65"/>
      <c r="BR54" s="65"/>
      <c r="BS54" s="65" t="s">
        <v>1395</v>
      </c>
      <c r="BT54" s="65" t="s">
        <v>53</v>
      </c>
      <c r="BU54" s="65" t="s">
        <v>1670</v>
      </c>
      <c r="BV54" s="65"/>
      <c r="BW54" s="65"/>
      <c r="BX54" s="65" t="s">
        <v>1394</v>
      </c>
      <c r="BY54" s="65" t="s">
        <v>53</v>
      </c>
      <c r="BZ54" s="65" t="s">
        <v>1657</v>
      </c>
      <c r="CA54" s="65"/>
      <c r="CB54" s="65"/>
      <c r="CC54" s="65" t="s">
        <v>1393</v>
      </c>
      <c r="CD54" s="65" t="s">
        <v>53</v>
      </c>
      <c r="CE54" s="65" t="s">
        <v>1644</v>
      </c>
      <c r="CF54" s="65"/>
      <c r="CG54" s="65"/>
      <c r="CH54" s="65" t="s">
        <v>1392</v>
      </c>
      <c r="CI54" s="65" t="s">
        <v>53</v>
      </c>
      <c r="CJ54" s="65" t="s">
        <v>1631</v>
      </c>
      <c r="CK54" s="65"/>
      <c r="CL54" s="65"/>
      <c r="CM54" s="65" t="s">
        <v>1391</v>
      </c>
      <c r="CN54" s="65" t="s">
        <v>53</v>
      </c>
      <c r="CO54" s="65" t="s">
        <v>1618</v>
      </c>
      <c r="CP54" s="65"/>
      <c r="CQ54" s="65"/>
      <c r="CR54" s="65" t="s">
        <v>1390</v>
      </c>
      <c r="CS54" s="65" t="s">
        <v>53</v>
      </c>
      <c r="CT54" s="65" t="s">
        <v>1605</v>
      </c>
      <c r="CU54" s="65"/>
      <c r="CV54" s="65"/>
      <c r="CW54" s="65" t="s">
        <v>1389</v>
      </c>
      <c r="CX54" s="65" t="s">
        <v>53</v>
      </c>
      <c r="CY54" s="65" t="s">
        <v>1592</v>
      </c>
      <c r="CZ54" s="65"/>
      <c r="DA54" s="65"/>
      <c r="DB54" s="65" t="s">
        <v>1388</v>
      </c>
      <c r="DC54" s="65" t="s">
        <v>53</v>
      </c>
      <c r="DD54" s="65" t="s">
        <v>1579</v>
      </c>
      <c r="DE54" s="65"/>
      <c r="DF54" s="65"/>
      <c r="DG54" s="65" t="s">
        <v>1387</v>
      </c>
      <c r="DH54" s="65" t="s">
        <v>53</v>
      </c>
      <c r="DI54" s="65" t="s">
        <v>1566</v>
      </c>
      <c r="DJ54" s="202"/>
      <c r="DK54" s="202"/>
      <c r="DL54" s="65" t="s">
        <v>1386</v>
      </c>
      <c r="DM54" s="65" t="s">
        <v>53</v>
      </c>
      <c r="DN54" s="65" t="s">
        <v>1553</v>
      </c>
      <c r="DO54" s="202"/>
      <c r="DP54" s="202"/>
      <c r="DQ54" s="65" t="s">
        <v>2216</v>
      </c>
      <c r="DR54" s="65" t="s">
        <v>53</v>
      </c>
      <c r="DS54" s="65" t="s">
        <v>2248</v>
      </c>
      <c r="DT54" s="202"/>
      <c r="DU54" s="202"/>
      <c r="DV54" s="202"/>
      <c r="DW54" s="421"/>
      <c r="DX54" s="303" t="s">
        <v>2462</v>
      </c>
      <c r="DY54" s="421"/>
      <c r="DZ54" s="303" t="s">
        <v>2462</v>
      </c>
      <c r="EA54" s="154"/>
      <c r="EB54" s="154"/>
      <c r="EC54" s="154"/>
    </row>
    <row r="55" spans="1:136" s="203" customFormat="1">
      <c r="A55" s="202" t="s">
        <v>2473</v>
      </c>
      <c r="B55" s="202" t="s">
        <v>2464</v>
      </c>
      <c r="C55" s="202" t="s">
        <v>2464</v>
      </c>
      <c r="D55" s="202" t="s">
        <v>2464</v>
      </c>
      <c r="E55" s="202" t="s">
        <v>2465</v>
      </c>
      <c r="F55" s="156" t="s">
        <v>1228</v>
      </c>
      <c r="G55" s="44" t="s">
        <v>3100</v>
      </c>
      <c r="H55" s="44" t="s">
        <v>3100</v>
      </c>
      <c r="I55" s="65" t="s">
        <v>3100</v>
      </c>
      <c r="J55" s="344" t="s">
        <v>3101</v>
      </c>
      <c r="K55" s="344" t="s">
        <v>3101</v>
      </c>
      <c r="L55" s="160" t="s">
        <v>52</v>
      </c>
      <c r="M55" s="65" t="s">
        <v>2460</v>
      </c>
      <c r="N55" s="202" t="s">
        <v>1113</v>
      </c>
      <c r="O55" s="160" t="s">
        <v>182</v>
      </c>
      <c r="P55" s="202" t="s">
        <v>183</v>
      </c>
      <c r="Q55" s="202" t="s">
        <v>2446</v>
      </c>
      <c r="R55" s="202" t="s">
        <v>68</v>
      </c>
      <c r="S55" s="202" t="s">
        <v>2362</v>
      </c>
      <c r="T55" s="202" t="s">
        <v>1123</v>
      </c>
      <c r="U55" s="156" t="s">
        <v>1042</v>
      </c>
      <c r="V55" s="202" t="s">
        <v>2359</v>
      </c>
      <c r="W55" s="202" t="s">
        <v>2535</v>
      </c>
      <c r="X55" s="202" t="s">
        <v>2183</v>
      </c>
      <c r="Y55" s="313"/>
      <c r="Z55" s="160" t="s">
        <v>2479</v>
      </c>
      <c r="AA55" s="202" t="s">
        <v>53</v>
      </c>
      <c r="AB55" s="202" t="s">
        <v>1370</v>
      </c>
      <c r="AC55" s="202" t="s">
        <v>2177</v>
      </c>
      <c r="AD55" s="314"/>
      <c r="AE55" s="160" t="s">
        <v>2499</v>
      </c>
      <c r="AF55" s="202" t="s">
        <v>56</v>
      </c>
      <c r="AG55" s="202" t="s">
        <v>2536</v>
      </c>
      <c r="AH55" s="202" t="s">
        <v>2176</v>
      </c>
      <c r="AI55" s="316"/>
      <c r="AJ55" s="271" t="s">
        <v>2537</v>
      </c>
      <c r="AK55" s="65" t="s">
        <v>53</v>
      </c>
      <c r="AL55" s="279" t="s">
        <v>2538</v>
      </c>
      <c r="AM55" s="65" t="s">
        <v>2183</v>
      </c>
      <c r="AN55" s="202"/>
      <c r="AO55" s="156" t="s">
        <v>1216</v>
      </c>
      <c r="AP55" s="65" t="s">
        <v>53</v>
      </c>
      <c r="AQ55" s="202" t="s">
        <v>2174</v>
      </c>
      <c r="AR55" s="202" t="s">
        <v>2529</v>
      </c>
      <c r="AS55" s="202" t="s">
        <v>2539</v>
      </c>
      <c r="AT55" s="275" t="s">
        <v>1328</v>
      </c>
      <c r="AU55" s="160" t="s">
        <v>54</v>
      </c>
      <c r="AV55" s="65" t="s">
        <v>2054</v>
      </c>
      <c r="AW55" s="65" t="s">
        <v>2178</v>
      </c>
      <c r="AX55" s="268"/>
      <c r="AY55" s="275" t="s">
        <v>1256</v>
      </c>
      <c r="AZ55" s="199" t="s">
        <v>54</v>
      </c>
      <c r="BA55" s="65" t="s">
        <v>2053</v>
      </c>
      <c r="BB55" s="65" t="s">
        <v>2460</v>
      </c>
      <c r="BC55" s="317"/>
      <c r="BD55" s="65" t="s">
        <v>1385</v>
      </c>
      <c r="BE55" s="65" t="s">
        <v>53</v>
      </c>
      <c r="BF55" s="65" t="s">
        <v>1710</v>
      </c>
      <c r="BG55" s="65"/>
      <c r="BH55" s="65"/>
      <c r="BI55" s="65" t="s">
        <v>1384</v>
      </c>
      <c r="BJ55" s="65" t="s">
        <v>53</v>
      </c>
      <c r="BK55" s="65" t="s">
        <v>1697</v>
      </c>
      <c r="BL55" s="65" t="s">
        <v>2506</v>
      </c>
      <c r="BM55" s="65"/>
      <c r="BN55" s="65" t="s">
        <v>1383</v>
      </c>
      <c r="BO55" s="65" t="s">
        <v>53</v>
      </c>
      <c r="BP55" s="65" t="s">
        <v>1684</v>
      </c>
      <c r="BQ55" s="65"/>
      <c r="BR55" s="65"/>
      <c r="BS55" s="65" t="s">
        <v>1382</v>
      </c>
      <c r="BT55" s="65" t="s">
        <v>53</v>
      </c>
      <c r="BU55" s="65" t="s">
        <v>1671</v>
      </c>
      <c r="BV55" s="65"/>
      <c r="BW55" s="65"/>
      <c r="BX55" s="65" t="s">
        <v>1381</v>
      </c>
      <c r="BY55" s="65" t="s">
        <v>53</v>
      </c>
      <c r="BZ55" s="65" t="s">
        <v>1658</v>
      </c>
      <c r="CA55" s="65"/>
      <c r="CB55" s="65"/>
      <c r="CC55" s="65" t="s">
        <v>1380</v>
      </c>
      <c r="CD55" s="65" t="s">
        <v>53</v>
      </c>
      <c r="CE55" s="65" t="s">
        <v>1645</v>
      </c>
      <c r="CF55" s="65"/>
      <c r="CG55" s="65"/>
      <c r="CH55" s="65" t="s">
        <v>1379</v>
      </c>
      <c r="CI55" s="65" t="s">
        <v>53</v>
      </c>
      <c r="CJ55" s="65" t="s">
        <v>1632</v>
      </c>
      <c r="CK55" s="65"/>
      <c r="CL55" s="65"/>
      <c r="CM55" s="65" t="s">
        <v>1378</v>
      </c>
      <c r="CN55" s="65" t="s">
        <v>53</v>
      </c>
      <c r="CO55" s="65" t="s">
        <v>1619</v>
      </c>
      <c r="CP55" s="65"/>
      <c r="CQ55" s="65"/>
      <c r="CR55" s="65" t="s">
        <v>1377</v>
      </c>
      <c r="CS55" s="65" t="s">
        <v>53</v>
      </c>
      <c r="CT55" s="65" t="s">
        <v>1606</v>
      </c>
      <c r="CU55" s="65"/>
      <c r="CV55" s="65"/>
      <c r="CW55" s="65" t="s">
        <v>1376</v>
      </c>
      <c r="CX55" s="65" t="s">
        <v>53</v>
      </c>
      <c r="CY55" s="65" t="s">
        <v>1593</v>
      </c>
      <c r="CZ55" s="65"/>
      <c r="DA55" s="65"/>
      <c r="DB55" s="65" t="s">
        <v>1375</v>
      </c>
      <c r="DC55" s="65" t="s">
        <v>53</v>
      </c>
      <c r="DD55" s="65" t="s">
        <v>1580</v>
      </c>
      <c r="DE55" s="65"/>
      <c r="DF55" s="65"/>
      <c r="DG55" s="65" t="s">
        <v>1374</v>
      </c>
      <c r="DH55" s="65" t="s">
        <v>53</v>
      </c>
      <c r="DI55" s="65" t="s">
        <v>1567</v>
      </c>
      <c r="DJ55" s="202"/>
      <c r="DK55" s="202"/>
      <c r="DL55" s="65" t="s">
        <v>1373</v>
      </c>
      <c r="DM55" s="65" t="s">
        <v>53</v>
      </c>
      <c r="DN55" s="65" t="s">
        <v>1554</v>
      </c>
      <c r="DO55" s="202"/>
      <c r="DP55" s="202"/>
      <c r="DQ55" s="65" t="s">
        <v>2217</v>
      </c>
      <c r="DR55" s="65" t="s">
        <v>53</v>
      </c>
      <c r="DS55" s="65" t="s">
        <v>2249</v>
      </c>
      <c r="DT55" s="202"/>
      <c r="DU55" s="202"/>
      <c r="DV55" s="202"/>
      <c r="DW55" s="421"/>
      <c r="DX55" s="303" t="s">
        <v>2462</v>
      </c>
      <c r="DY55" s="421"/>
      <c r="DZ55" s="303" t="s">
        <v>2462</v>
      </c>
      <c r="EA55" s="154"/>
      <c r="EB55" s="154"/>
      <c r="EC55" s="154"/>
    </row>
    <row r="56" spans="1:136" s="203" customFormat="1">
      <c r="A56" s="202" t="s">
        <v>2473</v>
      </c>
      <c r="B56" s="202" t="s">
        <v>2464</v>
      </c>
      <c r="C56" s="202" t="s">
        <v>2464</v>
      </c>
      <c r="D56" s="202" t="s">
        <v>2464</v>
      </c>
      <c r="E56" s="202" t="s">
        <v>2465</v>
      </c>
      <c r="F56" s="156" t="s">
        <v>1229</v>
      </c>
      <c r="G56" s="44" t="s">
        <v>3100</v>
      </c>
      <c r="H56" s="44" t="s">
        <v>509</v>
      </c>
      <c r="I56" s="65" t="s">
        <v>3100</v>
      </c>
      <c r="J56" s="344" t="s">
        <v>3101</v>
      </c>
      <c r="K56" s="344" t="s">
        <v>3101</v>
      </c>
      <c r="L56" s="160" t="s">
        <v>52</v>
      </c>
      <c r="M56" s="65" t="s">
        <v>2460</v>
      </c>
      <c r="N56" s="202" t="s">
        <v>1113</v>
      </c>
      <c r="O56" s="160" t="s">
        <v>182</v>
      </c>
      <c r="P56" s="202" t="s">
        <v>183</v>
      </c>
      <c r="Q56" s="202" t="s">
        <v>2446</v>
      </c>
      <c r="R56" s="202" t="s">
        <v>1355</v>
      </c>
      <c r="S56" s="202" t="s">
        <v>2362</v>
      </c>
      <c r="T56" s="202" t="s">
        <v>1123</v>
      </c>
      <c r="U56" s="156" t="s">
        <v>1074</v>
      </c>
      <c r="V56" s="202" t="s">
        <v>2359</v>
      </c>
      <c r="W56" s="202" t="s">
        <v>2540</v>
      </c>
      <c r="X56" s="202" t="s">
        <v>2183</v>
      </c>
      <c r="Y56" s="313"/>
      <c r="Z56" s="160" t="s">
        <v>1277</v>
      </c>
      <c r="AA56" s="202" t="s">
        <v>53</v>
      </c>
      <c r="AB56" s="202" t="s">
        <v>1370</v>
      </c>
      <c r="AC56" s="202" t="s">
        <v>2177</v>
      </c>
      <c r="AD56" s="314"/>
      <c r="AE56" s="160" t="s">
        <v>2508</v>
      </c>
      <c r="AF56" s="202" t="s">
        <v>56</v>
      </c>
      <c r="AG56" s="202" t="s">
        <v>2536</v>
      </c>
      <c r="AH56" s="202" t="s">
        <v>2176</v>
      </c>
      <c r="AI56" s="318"/>
      <c r="AJ56" s="65" t="s">
        <v>2541</v>
      </c>
      <c r="AK56" s="160" t="s">
        <v>54</v>
      </c>
      <c r="AL56" s="65" t="s">
        <v>2542</v>
      </c>
      <c r="AM56" s="65" t="s">
        <v>2183</v>
      </c>
      <c r="AN56" s="314"/>
      <c r="AO56" s="156" t="s">
        <v>1217</v>
      </c>
      <c r="AP56" s="65" t="s">
        <v>53</v>
      </c>
      <c r="AQ56" s="202" t="s">
        <v>2174</v>
      </c>
      <c r="AR56" s="202" t="s">
        <v>2529</v>
      </c>
      <c r="AS56" s="202" t="s">
        <v>2543</v>
      </c>
      <c r="AT56" s="275" t="s">
        <v>1329</v>
      </c>
      <c r="AU56" s="160" t="s">
        <v>54</v>
      </c>
      <c r="AV56" s="65" t="s">
        <v>2054</v>
      </c>
      <c r="AW56" s="65" t="s">
        <v>2178</v>
      </c>
      <c r="AX56" s="268"/>
      <c r="AY56" s="275" t="s">
        <v>1255</v>
      </c>
      <c r="AZ56" s="199" t="s">
        <v>54</v>
      </c>
      <c r="BA56" s="65" t="s">
        <v>2053</v>
      </c>
      <c r="BB56" s="65" t="s">
        <v>2460</v>
      </c>
      <c r="BC56" s="202"/>
      <c r="BD56" s="202" t="s">
        <v>2093</v>
      </c>
      <c r="BE56" s="160" t="s">
        <v>53</v>
      </c>
      <c r="BF56" s="160" t="s">
        <v>1945</v>
      </c>
      <c r="BG56" s="160"/>
      <c r="BH56" s="160"/>
      <c r="BI56" s="160" t="s">
        <v>2094</v>
      </c>
      <c r="BJ56" s="160" t="s">
        <v>53</v>
      </c>
      <c r="BK56" s="160" t="s">
        <v>1946</v>
      </c>
      <c r="BL56" s="160"/>
      <c r="BM56" s="160"/>
      <c r="BN56" s="160" t="s">
        <v>2095</v>
      </c>
      <c r="BO56" s="160" t="s">
        <v>53</v>
      </c>
      <c r="BP56" s="160" t="s">
        <v>1947</v>
      </c>
      <c r="BQ56" s="160"/>
      <c r="BR56" s="160"/>
      <c r="BS56" s="160" t="s">
        <v>2096</v>
      </c>
      <c r="BT56" s="160" t="s">
        <v>53</v>
      </c>
      <c r="BU56" s="160" t="s">
        <v>1948</v>
      </c>
      <c r="BV56" s="160"/>
      <c r="BW56" s="160"/>
      <c r="BX56" s="160" t="s">
        <v>2097</v>
      </c>
      <c r="BY56" s="160" t="s">
        <v>53</v>
      </c>
      <c r="BZ56" s="160" t="s">
        <v>1949</v>
      </c>
      <c r="CA56" s="160"/>
      <c r="CB56" s="160"/>
      <c r="CC56" s="160" t="s">
        <v>2098</v>
      </c>
      <c r="CD56" s="160" t="s">
        <v>53</v>
      </c>
      <c r="CE56" s="160" t="s">
        <v>1950</v>
      </c>
      <c r="CF56" s="160"/>
      <c r="CG56" s="160"/>
      <c r="CH56" s="160" t="s">
        <v>2099</v>
      </c>
      <c r="CI56" s="160" t="s">
        <v>53</v>
      </c>
      <c r="CJ56" s="160" t="s">
        <v>1951</v>
      </c>
      <c r="CK56" s="160"/>
      <c r="CL56" s="160"/>
      <c r="CM56" s="160" t="s">
        <v>2100</v>
      </c>
      <c r="CN56" s="160" t="s">
        <v>53</v>
      </c>
      <c r="CO56" s="160" t="s">
        <v>1952</v>
      </c>
      <c r="CP56" s="160"/>
      <c r="CQ56" s="160"/>
      <c r="CR56" s="160" t="s">
        <v>2101</v>
      </c>
      <c r="CS56" s="160" t="s">
        <v>53</v>
      </c>
      <c r="CT56" s="160" t="s">
        <v>1953</v>
      </c>
      <c r="CU56" s="160"/>
      <c r="CV56" s="160"/>
      <c r="CW56" s="160" t="s">
        <v>2102</v>
      </c>
      <c r="CX56" s="160" t="s">
        <v>53</v>
      </c>
      <c r="CY56" s="160" t="s">
        <v>1954</v>
      </c>
      <c r="CZ56" s="160"/>
      <c r="DA56" s="160"/>
      <c r="DB56" s="160" t="s">
        <v>2103</v>
      </c>
      <c r="DC56" s="160" t="s">
        <v>53</v>
      </c>
      <c r="DD56" s="160" t="s">
        <v>1955</v>
      </c>
      <c r="DE56" s="160"/>
      <c r="DF56" s="160"/>
      <c r="DG56" s="160" t="s">
        <v>2104</v>
      </c>
      <c r="DH56" s="160" t="s">
        <v>53</v>
      </c>
      <c r="DI56" s="160" t="s">
        <v>1956</v>
      </c>
      <c r="DJ56" s="202"/>
      <c r="DK56" s="202"/>
      <c r="DL56" s="160" t="s">
        <v>2105</v>
      </c>
      <c r="DM56" s="160" t="s">
        <v>53</v>
      </c>
      <c r="DN56" s="160" t="s">
        <v>1957</v>
      </c>
      <c r="DO56" s="202"/>
      <c r="DP56" s="202"/>
      <c r="DQ56" s="160" t="s">
        <v>2218</v>
      </c>
      <c r="DR56" s="160" t="s">
        <v>53</v>
      </c>
      <c r="DS56" s="160" t="s">
        <v>2250</v>
      </c>
      <c r="DT56" s="202"/>
      <c r="DU56" s="202"/>
      <c r="DV56" s="202"/>
      <c r="DW56" s="421"/>
      <c r="DX56" s="303" t="s">
        <v>2462</v>
      </c>
      <c r="DY56" s="421"/>
      <c r="DZ56" s="303" t="s">
        <v>2462</v>
      </c>
      <c r="EA56" s="154"/>
      <c r="EB56" s="154"/>
      <c r="EC56" s="154"/>
    </row>
    <row r="57" spans="1:136" s="44" customFormat="1">
      <c r="A57" s="160" t="s">
        <v>2473</v>
      </c>
      <c r="B57" s="65" t="s">
        <v>58</v>
      </c>
      <c r="C57" s="65" t="s">
        <v>58</v>
      </c>
      <c r="D57" s="65" t="s">
        <v>58</v>
      </c>
      <c r="E57" s="65" t="s">
        <v>48</v>
      </c>
      <c r="F57" s="156" t="s">
        <v>1230</v>
      </c>
      <c r="G57" s="44" t="s">
        <v>3138</v>
      </c>
      <c r="H57" s="44" t="s">
        <v>3124</v>
      </c>
      <c r="I57" s="65" t="s">
        <v>3100</v>
      </c>
      <c r="J57" s="344" t="s">
        <v>3101</v>
      </c>
      <c r="K57" s="344" t="s">
        <v>3101</v>
      </c>
      <c r="L57" s="156" t="s">
        <v>2544</v>
      </c>
      <c r="M57" s="65" t="s">
        <v>2460</v>
      </c>
      <c r="N57" s="65" t="s">
        <v>1113</v>
      </c>
      <c r="O57" s="65" t="s">
        <v>182</v>
      </c>
      <c r="P57" s="65" t="s">
        <v>183</v>
      </c>
      <c r="Q57" s="65" t="s">
        <v>86</v>
      </c>
      <c r="R57" s="202" t="s">
        <v>1267</v>
      </c>
      <c r="S57" s="65" t="s">
        <v>2362</v>
      </c>
      <c r="T57" s="202" t="s">
        <v>1123</v>
      </c>
      <c r="U57" s="156" t="s">
        <v>1043</v>
      </c>
      <c r="V57" s="65" t="s">
        <v>2359</v>
      </c>
      <c r="W57" s="202" t="s">
        <v>2545</v>
      </c>
      <c r="X57" s="65" t="s">
        <v>2183</v>
      </c>
      <c r="Y57" s="157"/>
      <c r="Z57" s="160" t="s">
        <v>1278</v>
      </c>
      <c r="AA57" s="202" t="s">
        <v>2359</v>
      </c>
      <c r="AB57" s="202" t="s">
        <v>1370</v>
      </c>
      <c r="AC57" s="202" t="s">
        <v>2177</v>
      </c>
      <c r="AD57" s="314"/>
      <c r="AE57" s="160" t="s">
        <v>701</v>
      </c>
      <c r="AF57" s="202" t="s">
        <v>53</v>
      </c>
      <c r="AG57" s="202" t="s">
        <v>2546</v>
      </c>
      <c r="AH57" s="202" t="s">
        <v>2377</v>
      </c>
      <c r="AI57" s="319"/>
      <c r="AJ57" s="271" t="s">
        <v>2306</v>
      </c>
      <c r="AK57" s="65" t="s">
        <v>53</v>
      </c>
      <c r="AL57" s="279" t="s">
        <v>2547</v>
      </c>
      <c r="AM57" s="65" t="s">
        <v>2183</v>
      </c>
      <c r="AN57" s="65"/>
      <c r="AO57" s="156" t="s">
        <v>1218</v>
      </c>
      <c r="AP57" s="65" t="s">
        <v>53</v>
      </c>
      <c r="AQ57" s="202" t="s">
        <v>2174</v>
      </c>
      <c r="AR57" s="202" t="s">
        <v>2548</v>
      </c>
      <c r="AS57" s="202" t="s">
        <v>2549</v>
      </c>
      <c r="AT57" s="275" t="s">
        <v>1330</v>
      </c>
      <c r="AU57" s="160" t="s">
        <v>54</v>
      </c>
      <c r="AV57" s="65" t="s">
        <v>2054</v>
      </c>
      <c r="AW57" s="65" t="s">
        <v>2178</v>
      </c>
      <c r="AX57" s="202"/>
      <c r="AY57" s="65" t="s">
        <v>2550</v>
      </c>
      <c r="AZ57" s="65" t="s">
        <v>52</v>
      </c>
      <c r="BA57" s="65" t="s">
        <v>2053</v>
      </c>
      <c r="BB57" s="65" t="s">
        <v>2277</v>
      </c>
      <c r="BC57" s="65"/>
      <c r="BD57" s="202" t="s">
        <v>2106</v>
      </c>
      <c r="BE57" s="160" t="s">
        <v>53</v>
      </c>
      <c r="BF57" s="160" t="s">
        <v>1932</v>
      </c>
      <c r="BG57" s="160"/>
      <c r="BH57" s="160"/>
      <c r="BI57" s="160" t="s">
        <v>2107</v>
      </c>
      <c r="BJ57" s="160" t="s">
        <v>53</v>
      </c>
      <c r="BK57" s="160" t="s">
        <v>1933</v>
      </c>
      <c r="BL57" s="160"/>
      <c r="BM57" s="160"/>
      <c r="BN57" s="160" t="s">
        <v>2108</v>
      </c>
      <c r="BO57" s="160" t="s">
        <v>53</v>
      </c>
      <c r="BP57" s="160" t="s">
        <v>1934</v>
      </c>
      <c r="BQ57" s="160"/>
      <c r="BR57" s="160"/>
      <c r="BS57" s="160" t="s">
        <v>2109</v>
      </c>
      <c r="BT57" s="160" t="s">
        <v>53</v>
      </c>
      <c r="BU57" s="160" t="s">
        <v>1935</v>
      </c>
      <c r="BV57" s="160"/>
      <c r="BW57" s="160"/>
      <c r="BX57" s="160" t="s">
        <v>2110</v>
      </c>
      <c r="BY57" s="160" t="s">
        <v>53</v>
      </c>
      <c r="BZ57" s="160" t="s">
        <v>1936</v>
      </c>
      <c r="CA57" s="160"/>
      <c r="CB57" s="160"/>
      <c r="CC57" s="160" t="s">
        <v>2111</v>
      </c>
      <c r="CD57" s="160" t="s">
        <v>53</v>
      </c>
      <c r="CE57" s="160" t="s">
        <v>1937</v>
      </c>
      <c r="CF57" s="160"/>
      <c r="CG57" s="160"/>
      <c r="CH57" s="160" t="s">
        <v>2112</v>
      </c>
      <c r="CI57" s="160" t="s">
        <v>53</v>
      </c>
      <c r="CJ57" s="160" t="s">
        <v>1938</v>
      </c>
      <c r="CK57" s="160"/>
      <c r="CL57" s="160"/>
      <c r="CM57" s="160" t="s">
        <v>2113</v>
      </c>
      <c r="CN57" s="160" t="s">
        <v>53</v>
      </c>
      <c r="CO57" s="160" t="s">
        <v>1939</v>
      </c>
      <c r="CP57" s="160"/>
      <c r="CQ57" s="160"/>
      <c r="CR57" s="160" t="s">
        <v>2114</v>
      </c>
      <c r="CS57" s="160" t="s">
        <v>53</v>
      </c>
      <c r="CT57" s="160" t="s">
        <v>1940</v>
      </c>
      <c r="CU57" s="160"/>
      <c r="CV57" s="160"/>
      <c r="CW57" s="160" t="s">
        <v>2115</v>
      </c>
      <c r="CX57" s="160" t="s">
        <v>53</v>
      </c>
      <c r="CY57" s="160" t="s">
        <v>1941</v>
      </c>
      <c r="CZ57" s="160"/>
      <c r="DA57" s="160"/>
      <c r="DB57" s="160" t="s">
        <v>2116</v>
      </c>
      <c r="DC57" s="160" t="s">
        <v>53</v>
      </c>
      <c r="DD57" s="160" t="s">
        <v>1942</v>
      </c>
      <c r="DE57" s="160"/>
      <c r="DF57" s="160"/>
      <c r="DG57" s="160" t="s">
        <v>2117</v>
      </c>
      <c r="DH57" s="160" t="s">
        <v>53</v>
      </c>
      <c r="DI57" s="160" t="s">
        <v>1943</v>
      </c>
      <c r="DJ57" s="202"/>
      <c r="DK57" s="202"/>
      <c r="DL57" s="160" t="s">
        <v>2118</v>
      </c>
      <c r="DM57" s="160" t="s">
        <v>53</v>
      </c>
      <c r="DN57" s="160" t="s">
        <v>1944</v>
      </c>
      <c r="DO57" s="65"/>
      <c r="DP57" s="65"/>
      <c r="DQ57" s="160" t="s">
        <v>2219</v>
      </c>
      <c r="DR57" s="160" t="s">
        <v>53</v>
      </c>
      <c r="DS57" s="160" t="s">
        <v>2251</v>
      </c>
      <c r="DT57" s="65"/>
      <c r="DU57" s="65"/>
      <c r="DV57" s="65"/>
      <c r="DW57" s="421"/>
      <c r="DX57" s="303" t="s">
        <v>2279</v>
      </c>
      <c r="DY57" s="421"/>
      <c r="DZ57" s="303" t="s">
        <v>2279</v>
      </c>
    </row>
    <row r="58" spans="1:136" s="44" customFormat="1">
      <c r="A58" s="160" t="s">
        <v>2281</v>
      </c>
      <c r="B58" s="65" t="s">
        <v>58</v>
      </c>
      <c r="C58" s="65" t="s">
        <v>58</v>
      </c>
      <c r="D58" s="65" t="s">
        <v>58</v>
      </c>
      <c r="E58" s="65" t="s">
        <v>48</v>
      </c>
      <c r="F58" s="156" t="s">
        <v>3140</v>
      </c>
      <c r="G58" s="44" t="s">
        <v>1020</v>
      </c>
      <c r="H58" s="44" t="s">
        <v>3124</v>
      </c>
      <c r="I58" s="65" t="s">
        <v>3100</v>
      </c>
      <c r="J58" s="344" t="s">
        <v>3101</v>
      </c>
      <c r="K58" s="344" t="s">
        <v>3101</v>
      </c>
      <c r="L58" s="156" t="s">
        <v>2359</v>
      </c>
      <c r="M58" s="65" t="s">
        <v>2277</v>
      </c>
      <c r="N58" s="65" t="s">
        <v>1113</v>
      </c>
      <c r="O58" s="65" t="s">
        <v>182</v>
      </c>
      <c r="P58" s="65" t="s">
        <v>183</v>
      </c>
      <c r="Q58" s="65" t="s">
        <v>86</v>
      </c>
      <c r="R58" s="202" t="s">
        <v>1091</v>
      </c>
      <c r="S58" s="65" t="s">
        <v>2362</v>
      </c>
      <c r="T58" s="202" t="s">
        <v>1123</v>
      </c>
      <c r="U58" s="156" t="s">
        <v>1044</v>
      </c>
      <c r="V58" s="65" t="s">
        <v>2359</v>
      </c>
      <c r="W58" s="202" t="s">
        <v>2551</v>
      </c>
      <c r="X58" s="65" t="s">
        <v>2183</v>
      </c>
      <c r="Y58" s="157"/>
      <c r="Z58" s="160" t="s">
        <v>1279</v>
      </c>
      <c r="AA58" s="202" t="s">
        <v>53</v>
      </c>
      <c r="AB58" s="202" t="s">
        <v>1371</v>
      </c>
      <c r="AC58" s="202" t="s">
        <v>2177</v>
      </c>
      <c r="AD58" s="314"/>
      <c r="AE58" s="160" t="s">
        <v>1020</v>
      </c>
      <c r="AF58" s="202" t="s">
        <v>53</v>
      </c>
      <c r="AG58" s="202" t="s">
        <v>2552</v>
      </c>
      <c r="AH58" s="202" t="s">
        <v>2377</v>
      </c>
      <c r="AI58" s="65"/>
      <c r="AJ58" s="65"/>
      <c r="AK58" s="65"/>
      <c r="AL58" s="65"/>
      <c r="AM58" s="65"/>
      <c r="AN58" s="271"/>
      <c r="AO58" s="156" t="s">
        <v>1219</v>
      </c>
      <c r="AP58" s="65" t="s">
        <v>53</v>
      </c>
      <c r="AQ58" s="202" t="s">
        <v>2174</v>
      </c>
      <c r="AR58" s="202" t="s">
        <v>2548</v>
      </c>
      <c r="AS58" s="202" t="s">
        <v>2553</v>
      </c>
      <c r="AT58" s="275" t="s">
        <v>1331</v>
      </c>
      <c r="AU58" s="160" t="s">
        <v>54</v>
      </c>
      <c r="AV58" s="65" t="s">
        <v>2054</v>
      </c>
      <c r="AW58" s="65" t="s">
        <v>2178</v>
      </c>
      <c r="AX58" s="202"/>
      <c r="AY58" s="65" t="s">
        <v>2554</v>
      </c>
      <c r="AZ58" s="65" t="s">
        <v>52</v>
      </c>
      <c r="BA58" s="65" t="s">
        <v>2053</v>
      </c>
      <c r="BB58" s="65" t="s">
        <v>2277</v>
      </c>
      <c r="BC58" s="65"/>
      <c r="BD58" s="202" t="s">
        <v>2119</v>
      </c>
      <c r="BE58" s="160" t="s">
        <v>53</v>
      </c>
      <c r="BF58" s="160" t="s">
        <v>1919</v>
      </c>
      <c r="BG58" s="160"/>
      <c r="BH58" s="160"/>
      <c r="BI58" s="160" t="s">
        <v>2120</v>
      </c>
      <c r="BJ58" s="160" t="s">
        <v>53</v>
      </c>
      <c r="BK58" s="160" t="s">
        <v>1920</v>
      </c>
      <c r="BL58" s="160"/>
      <c r="BM58" s="160"/>
      <c r="BN58" s="160" t="s">
        <v>2121</v>
      </c>
      <c r="BO58" s="160" t="s">
        <v>53</v>
      </c>
      <c r="BP58" s="160" t="s">
        <v>1921</v>
      </c>
      <c r="BQ58" s="160"/>
      <c r="BR58" s="160"/>
      <c r="BS58" s="160" t="s">
        <v>2122</v>
      </c>
      <c r="BT58" s="160" t="s">
        <v>53</v>
      </c>
      <c r="BU58" s="160" t="s">
        <v>1922</v>
      </c>
      <c r="BV58" s="160"/>
      <c r="BW58" s="160"/>
      <c r="BX58" s="160" t="s">
        <v>2123</v>
      </c>
      <c r="BY58" s="160" t="s">
        <v>53</v>
      </c>
      <c r="BZ58" s="160" t="s">
        <v>1923</v>
      </c>
      <c r="CA58" s="160"/>
      <c r="CB58" s="160"/>
      <c r="CC58" s="160" t="s">
        <v>2124</v>
      </c>
      <c r="CD58" s="160" t="s">
        <v>53</v>
      </c>
      <c r="CE58" s="160" t="s">
        <v>1924</v>
      </c>
      <c r="CF58" s="160"/>
      <c r="CG58" s="160"/>
      <c r="CH58" s="160" t="s">
        <v>2125</v>
      </c>
      <c r="CI58" s="160" t="s">
        <v>53</v>
      </c>
      <c r="CJ58" s="160" t="s">
        <v>1925</v>
      </c>
      <c r="CK58" s="160"/>
      <c r="CL58" s="160"/>
      <c r="CM58" s="160" t="s">
        <v>2126</v>
      </c>
      <c r="CN58" s="160" t="s">
        <v>53</v>
      </c>
      <c r="CO58" s="160" t="s">
        <v>1926</v>
      </c>
      <c r="CP58" s="160"/>
      <c r="CQ58" s="160"/>
      <c r="CR58" s="160" t="s">
        <v>2127</v>
      </c>
      <c r="CS58" s="160" t="s">
        <v>53</v>
      </c>
      <c r="CT58" s="160" t="s">
        <v>1927</v>
      </c>
      <c r="CU58" s="160"/>
      <c r="CV58" s="160"/>
      <c r="CW58" s="160" t="s">
        <v>2128</v>
      </c>
      <c r="CX58" s="160" t="s">
        <v>53</v>
      </c>
      <c r="CY58" s="160" t="s">
        <v>1928</v>
      </c>
      <c r="CZ58" s="160"/>
      <c r="DA58" s="160"/>
      <c r="DB58" s="160" t="s">
        <v>2129</v>
      </c>
      <c r="DC58" s="160" t="s">
        <v>53</v>
      </c>
      <c r="DD58" s="160" t="s">
        <v>1929</v>
      </c>
      <c r="DE58" s="160"/>
      <c r="DF58" s="160"/>
      <c r="DG58" s="160" t="s">
        <v>2130</v>
      </c>
      <c r="DH58" s="160" t="s">
        <v>53</v>
      </c>
      <c r="DI58" s="160" t="s">
        <v>1930</v>
      </c>
      <c r="DJ58" s="202"/>
      <c r="DK58" s="202"/>
      <c r="DL58" s="160" t="s">
        <v>2131</v>
      </c>
      <c r="DM58" s="160" t="s">
        <v>53</v>
      </c>
      <c r="DN58" s="160" t="s">
        <v>1931</v>
      </c>
      <c r="DO58" s="65"/>
      <c r="DP58" s="65"/>
      <c r="DQ58" s="160" t="s">
        <v>2220</v>
      </c>
      <c r="DR58" s="160" t="s">
        <v>53</v>
      </c>
      <c r="DS58" s="160" t="s">
        <v>2252</v>
      </c>
      <c r="DT58" s="65"/>
      <c r="DU58" s="65"/>
      <c r="DV58" s="65"/>
      <c r="DW58" s="422"/>
      <c r="DX58" s="303" t="s">
        <v>2279</v>
      </c>
      <c r="DY58" s="422"/>
      <c r="DZ58" s="303" t="s">
        <v>2279</v>
      </c>
    </row>
    <row r="59" spans="1:136" s="277" customFormat="1">
      <c r="A59" s="218" t="s">
        <v>2555</v>
      </c>
      <c r="B59" s="150"/>
      <c r="C59" s="150"/>
      <c r="D59" s="150"/>
      <c r="E59" s="150"/>
      <c r="F59" s="150"/>
      <c r="G59" s="150"/>
      <c r="H59" s="150"/>
      <c r="I59" s="150"/>
      <c r="J59" s="150"/>
      <c r="K59" s="150"/>
      <c r="L59" s="38"/>
      <c r="M59" s="38"/>
      <c r="N59" s="38"/>
      <c r="O59" s="38"/>
      <c r="P59" s="38"/>
      <c r="Q59" s="38"/>
      <c r="R59" s="38"/>
      <c r="S59" s="38"/>
      <c r="T59" s="36"/>
      <c r="U59" s="36"/>
      <c r="V59" s="36"/>
      <c r="W59" s="36"/>
      <c r="X59" s="36"/>
      <c r="Y59" s="36"/>
      <c r="Z59" s="300"/>
      <c r="AA59" s="300"/>
      <c r="AB59" s="300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  <c r="DW59" s="36"/>
      <c r="DX59" s="36"/>
      <c r="DY59" s="36"/>
      <c r="DZ59" s="36"/>
      <c r="EA59" s="36"/>
      <c r="EB59" s="36"/>
      <c r="EC59" s="36"/>
      <c r="ED59" s="36"/>
      <c r="EE59" s="36"/>
      <c r="EF59" s="36"/>
    </row>
    <row r="60" spans="1:136" s="44" customFormat="1" ht="13.5">
      <c r="A60" s="160" t="s">
        <v>2281</v>
      </c>
      <c r="B60" s="65" t="s">
        <v>58</v>
      </c>
      <c r="C60" s="65" t="s">
        <v>58</v>
      </c>
      <c r="D60" s="65" t="s">
        <v>58</v>
      </c>
      <c r="E60" s="65" t="s">
        <v>48</v>
      </c>
      <c r="F60" s="156" t="s">
        <v>2556</v>
      </c>
      <c r="G60" s="44" t="s">
        <v>3130</v>
      </c>
      <c r="H60" s="44" t="s">
        <v>3124</v>
      </c>
      <c r="I60" s="65" t="s">
        <v>3100</v>
      </c>
      <c r="J60" s="344" t="s">
        <v>3101</v>
      </c>
      <c r="K60" s="344" t="s">
        <v>3101</v>
      </c>
      <c r="L60" s="156" t="s">
        <v>2359</v>
      </c>
      <c r="M60" s="65" t="s">
        <v>2277</v>
      </c>
      <c r="N60" s="65" t="s">
        <v>1113</v>
      </c>
      <c r="O60" s="65" t="s">
        <v>182</v>
      </c>
      <c r="P60" s="65" t="s">
        <v>183</v>
      </c>
      <c r="Q60" s="65" t="s">
        <v>86</v>
      </c>
      <c r="R60" s="202" t="s">
        <v>2557</v>
      </c>
      <c r="S60" s="65" t="s">
        <v>2362</v>
      </c>
      <c r="T60" s="202" t="s">
        <v>1123</v>
      </c>
      <c r="U60" s="156" t="s">
        <v>2558</v>
      </c>
      <c r="V60" s="65" t="s">
        <v>2359</v>
      </c>
      <c r="W60" s="202" t="s">
        <v>2559</v>
      </c>
      <c r="X60" s="65" t="s">
        <v>2183</v>
      </c>
      <c r="Y60" s="157"/>
      <c r="Z60" s="160" t="s">
        <v>2560</v>
      </c>
      <c r="AA60" s="202" t="s">
        <v>53</v>
      </c>
      <c r="AB60" s="202" t="s">
        <v>2561</v>
      </c>
      <c r="AC60" s="202" t="s">
        <v>2371</v>
      </c>
      <c r="AD60" s="65"/>
      <c r="AE60" s="65" t="s">
        <v>2562</v>
      </c>
      <c r="AF60" s="65" t="s">
        <v>54</v>
      </c>
      <c r="AG60" s="202" t="s">
        <v>2563</v>
      </c>
      <c r="AH60" s="65" t="s">
        <v>2325</v>
      </c>
      <c r="AI60" s="65"/>
      <c r="AJ60" s="271" t="s">
        <v>2564</v>
      </c>
      <c r="AK60" s="65" t="s">
        <v>53</v>
      </c>
      <c r="AL60" s="279" t="s">
        <v>2565</v>
      </c>
      <c r="AM60" s="65" t="s">
        <v>2377</v>
      </c>
      <c r="AN60" s="157" t="s">
        <v>2566</v>
      </c>
      <c r="AO60" s="156" t="s">
        <v>2516</v>
      </c>
      <c r="AP60" s="156" t="s">
        <v>53</v>
      </c>
      <c r="AQ60" s="160" t="s">
        <v>2567</v>
      </c>
      <c r="AR60" s="65" t="s">
        <v>2325</v>
      </c>
      <c r="AS60" s="65"/>
      <c r="AT60" s="275"/>
      <c r="AU60" s="160"/>
      <c r="AV60" s="160"/>
      <c r="AW60" s="65"/>
      <c r="AX60" s="160"/>
      <c r="AY60" s="65" t="s">
        <v>2568</v>
      </c>
      <c r="AZ60" s="65" t="s">
        <v>52</v>
      </c>
      <c r="BA60" s="65" t="s">
        <v>2053</v>
      </c>
      <c r="BB60" s="65" t="s">
        <v>2277</v>
      </c>
      <c r="BC60" s="65"/>
      <c r="BD60" s="202" t="s">
        <v>2132</v>
      </c>
      <c r="BE60" s="160" t="s">
        <v>53</v>
      </c>
      <c r="BF60" s="160" t="s">
        <v>1906</v>
      </c>
      <c r="BG60" s="160"/>
      <c r="BH60" s="160"/>
      <c r="BI60" s="160" t="s">
        <v>2133</v>
      </c>
      <c r="BJ60" s="160" t="s">
        <v>53</v>
      </c>
      <c r="BK60" s="160" t="s">
        <v>1907</v>
      </c>
      <c r="BL60" s="160"/>
      <c r="BM60" s="160"/>
      <c r="BN60" s="160" t="s">
        <v>2134</v>
      </c>
      <c r="BO60" s="160" t="s">
        <v>53</v>
      </c>
      <c r="BP60" s="160" t="s">
        <v>1908</v>
      </c>
      <c r="BQ60" s="160"/>
      <c r="BR60" s="160"/>
      <c r="BS60" s="160" t="s">
        <v>2135</v>
      </c>
      <c r="BT60" s="160" t="s">
        <v>53</v>
      </c>
      <c r="BU60" s="160" t="s">
        <v>1909</v>
      </c>
      <c r="BV60" s="160"/>
      <c r="BW60" s="160"/>
      <c r="BX60" s="160" t="s">
        <v>2136</v>
      </c>
      <c r="BY60" s="160" t="s">
        <v>53</v>
      </c>
      <c r="BZ60" s="160" t="s">
        <v>1910</v>
      </c>
      <c r="CA60" s="160"/>
      <c r="CB60" s="160"/>
      <c r="CC60" s="160" t="s">
        <v>2137</v>
      </c>
      <c r="CD60" s="160" t="s">
        <v>53</v>
      </c>
      <c r="CE60" s="160" t="s">
        <v>1911</v>
      </c>
      <c r="CF60" s="160"/>
      <c r="CG60" s="160"/>
      <c r="CH60" s="160" t="s">
        <v>2138</v>
      </c>
      <c r="CI60" s="160" t="s">
        <v>53</v>
      </c>
      <c r="CJ60" s="160" t="s">
        <v>1912</v>
      </c>
      <c r="CK60" s="160"/>
      <c r="CL60" s="160"/>
      <c r="CM60" s="160" t="s">
        <v>2139</v>
      </c>
      <c r="CN60" s="160" t="s">
        <v>53</v>
      </c>
      <c r="CO60" s="160" t="s">
        <v>1913</v>
      </c>
      <c r="CP60" s="160"/>
      <c r="CQ60" s="160"/>
      <c r="CR60" s="160" t="s">
        <v>2140</v>
      </c>
      <c r="CS60" s="160" t="s">
        <v>53</v>
      </c>
      <c r="CT60" s="160" t="s">
        <v>1914</v>
      </c>
      <c r="CU60" s="160"/>
      <c r="CV60" s="160"/>
      <c r="CW60" s="160" t="s">
        <v>2141</v>
      </c>
      <c r="CX60" s="160" t="s">
        <v>53</v>
      </c>
      <c r="CY60" s="160" t="s">
        <v>1915</v>
      </c>
      <c r="CZ60" s="160"/>
      <c r="DA60" s="160"/>
      <c r="DB60" s="160" t="s">
        <v>2142</v>
      </c>
      <c r="DC60" s="160" t="s">
        <v>53</v>
      </c>
      <c r="DD60" s="160" t="s">
        <v>1916</v>
      </c>
      <c r="DE60" s="160"/>
      <c r="DF60" s="160"/>
      <c r="DG60" s="160" t="s">
        <v>2143</v>
      </c>
      <c r="DH60" s="160" t="s">
        <v>53</v>
      </c>
      <c r="DI60" s="160" t="s">
        <v>1917</v>
      </c>
      <c r="DJ60" s="202"/>
      <c r="DK60" s="202"/>
      <c r="DL60" s="160" t="s">
        <v>2144</v>
      </c>
      <c r="DM60" s="160" t="s">
        <v>53</v>
      </c>
      <c r="DN60" s="160" t="s">
        <v>1918</v>
      </c>
      <c r="DO60" s="65"/>
      <c r="DP60" s="65"/>
      <c r="DQ60" s="160" t="s">
        <v>2221</v>
      </c>
      <c r="DR60" s="160" t="s">
        <v>53</v>
      </c>
      <c r="DS60" s="160" t="s">
        <v>2253</v>
      </c>
      <c r="DT60" s="65"/>
      <c r="DU60" s="65"/>
      <c r="DV60" s="65"/>
      <c r="DW60" s="406" t="s">
        <v>2569</v>
      </c>
      <c r="DX60" s="303" t="s">
        <v>2279</v>
      </c>
      <c r="DY60" s="412" t="s">
        <v>2570</v>
      </c>
      <c r="DZ60" s="303" t="s">
        <v>2279</v>
      </c>
    </row>
    <row r="61" spans="1:136" s="44" customFormat="1" ht="12.75">
      <c r="A61" s="160" t="s">
        <v>2281</v>
      </c>
      <c r="B61" s="65" t="s">
        <v>58</v>
      </c>
      <c r="C61" s="65" t="s">
        <v>58</v>
      </c>
      <c r="D61" s="65" t="s">
        <v>58</v>
      </c>
      <c r="E61" s="65" t="s">
        <v>48</v>
      </c>
      <c r="F61" s="156" t="s">
        <v>1979</v>
      </c>
      <c r="G61" s="44" t="s">
        <v>1288</v>
      </c>
      <c r="H61" s="44" t="s">
        <v>3124</v>
      </c>
      <c r="I61" s="65" t="s">
        <v>3100</v>
      </c>
      <c r="J61" s="344" t="s">
        <v>3101</v>
      </c>
      <c r="K61" s="344" t="s">
        <v>3101</v>
      </c>
      <c r="L61" s="156" t="s">
        <v>2359</v>
      </c>
      <c r="M61" s="65" t="s">
        <v>2371</v>
      </c>
      <c r="N61" s="65" t="s">
        <v>1113</v>
      </c>
      <c r="O61" s="65" t="s">
        <v>182</v>
      </c>
      <c r="P61" s="65" t="s">
        <v>183</v>
      </c>
      <c r="Q61" s="65" t="s">
        <v>86</v>
      </c>
      <c r="R61" s="202" t="s">
        <v>768</v>
      </c>
      <c r="S61" s="65" t="s">
        <v>2362</v>
      </c>
      <c r="T61" s="202" t="s">
        <v>1123</v>
      </c>
      <c r="U61" s="156" t="s">
        <v>1075</v>
      </c>
      <c r="V61" s="65" t="s">
        <v>2359</v>
      </c>
      <c r="W61" s="202" t="s">
        <v>2571</v>
      </c>
      <c r="X61" s="65" t="s">
        <v>2183</v>
      </c>
      <c r="Y61" s="157"/>
      <c r="Z61" s="160" t="s">
        <v>1003</v>
      </c>
      <c r="AA61" s="202" t="s">
        <v>53</v>
      </c>
      <c r="AB61" s="202" t="s">
        <v>2561</v>
      </c>
      <c r="AC61" s="202" t="s">
        <v>2371</v>
      </c>
      <c r="AD61" s="65"/>
      <c r="AE61" s="156" t="s">
        <v>2572</v>
      </c>
      <c r="AF61" s="160" t="s">
        <v>54</v>
      </c>
      <c r="AG61" s="202" t="s">
        <v>2563</v>
      </c>
      <c r="AH61" s="65" t="s">
        <v>2325</v>
      </c>
      <c r="AI61" s="65"/>
      <c r="AJ61" s="202" t="s">
        <v>2573</v>
      </c>
      <c r="AK61" s="202" t="s">
        <v>52</v>
      </c>
      <c r="AL61" s="202" t="s">
        <v>2574</v>
      </c>
      <c r="AM61" s="65" t="s">
        <v>2575</v>
      </c>
      <c r="AN61" s="65"/>
      <c r="AO61" s="156" t="s">
        <v>1288</v>
      </c>
      <c r="AP61" s="156" t="s">
        <v>53</v>
      </c>
      <c r="AQ61" s="160" t="s">
        <v>2576</v>
      </c>
      <c r="AR61" s="65" t="s">
        <v>2325</v>
      </c>
      <c r="AS61" s="65"/>
      <c r="AT61" s="160" t="s">
        <v>1296</v>
      </c>
      <c r="AU61" s="160" t="s">
        <v>54</v>
      </c>
      <c r="AV61" s="160" t="s">
        <v>2342</v>
      </c>
      <c r="AW61" s="65" t="s">
        <v>2178</v>
      </c>
      <c r="AX61" s="160" t="s">
        <v>2577</v>
      </c>
      <c r="AY61" s="199" t="s">
        <v>2578</v>
      </c>
      <c r="AZ61" s="199" t="s">
        <v>54</v>
      </c>
      <c r="BA61" s="160" t="s">
        <v>2053</v>
      </c>
      <c r="BB61" s="312" t="s">
        <v>2374</v>
      </c>
      <c r="BC61" s="65"/>
      <c r="BD61" s="202" t="s">
        <v>2145</v>
      </c>
      <c r="BE61" s="160" t="s">
        <v>53</v>
      </c>
      <c r="BF61" s="160" t="s">
        <v>1893</v>
      </c>
      <c r="BG61" s="160"/>
      <c r="BH61" s="160"/>
      <c r="BI61" s="160" t="s">
        <v>2146</v>
      </c>
      <c r="BJ61" s="160" t="s">
        <v>53</v>
      </c>
      <c r="BK61" s="160" t="s">
        <v>1894</v>
      </c>
      <c r="BL61" s="160"/>
      <c r="BM61" s="160"/>
      <c r="BN61" s="160" t="s">
        <v>2147</v>
      </c>
      <c r="BO61" s="160" t="s">
        <v>53</v>
      </c>
      <c r="BP61" s="160" t="s">
        <v>1895</v>
      </c>
      <c r="BQ61" s="160"/>
      <c r="BR61" s="160"/>
      <c r="BS61" s="160" t="s">
        <v>2148</v>
      </c>
      <c r="BT61" s="160" t="s">
        <v>53</v>
      </c>
      <c r="BU61" s="160" t="s">
        <v>1896</v>
      </c>
      <c r="BV61" s="160"/>
      <c r="BW61" s="160"/>
      <c r="BX61" s="160" t="s">
        <v>2149</v>
      </c>
      <c r="BY61" s="160" t="s">
        <v>53</v>
      </c>
      <c r="BZ61" s="160" t="s">
        <v>1897</v>
      </c>
      <c r="CA61" s="160"/>
      <c r="CB61" s="160"/>
      <c r="CC61" s="160" t="s">
        <v>2150</v>
      </c>
      <c r="CD61" s="160" t="s">
        <v>53</v>
      </c>
      <c r="CE61" s="160" t="s">
        <v>1898</v>
      </c>
      <c r="CF61" s="160"/>
      <c r="CG61" s="160"/>
      <c r="CH61" s="160" t="s">
        <v>2151</v>
      </c>
      <c r="CI61" s="160" t="s">
        <v>53</v>
      </c>
      <c r="CJ61" s="160" t="s">
        <v>1899</v>
      </c>
      <c r="CK61" s="160"/>
      <c r="CL61" s="160"/>
      <c r="CM61" s="160" t="s">
        <v>2152</v>
      </c>
      <c r="CN61" s="160" t="s">
        <v>53</v>
      </c>
      <c r="CO61" s="160" t="s">
        <v>1900</v>
      </c>
      <c r="CP61" s="160"/>
      <c r="CQ61" s="160"/>
      <c r="CR61" s="160" t="s">
        <v>2153</v>
      </c>
      <c r="CS61" s="160" t="s">
        <v>53</v>
      </c>
      <c r="CT61" s="160" t="s">
        <v>1901</v>
      </c>
      <c r="CU61" s="160"/>
      <c r="CV61" s="160"/>
      <c r="CW61" s="160" t="s">
        <v>2154</v>
      </c>
      <c r="CX61" s="160" t="s">
        <v>53</v>
      </c>
      <c r="CY61" s="160" t="s">
        <v>1902</v>
      </c>
      <c r="CZ61" s="160"/>
      <c r="DA61" s="160"/>
      <c r="DB61" s="160" t="s">
        <v>2155</v>
      </c>
      <c r="DC61" s="160" t="s">
        <v>53</v>
      </c>
      <c r="DD61" s="160" t="s">
        <v>1903</v>
      </c>
      <c r="DE61" s="160"/>
      <c r="DF61" s="160"/>
      <c r="DG61" s="160" t="s">
        <v>2156</v>
      </c>
      <c r="DH61" s="160" t="s">
        <v>53</v>
      </c>
      <c r="DI61" s="160" t="s">
        <v>1904</v>
      </c>
      <c r="DJ61" s="202"/>
      <c r="DK61" s="202"/>
      <c r="DL61" s="160" t="s">
        <v>2157</v>
      </c>
      <c r="DM61" s="160" t="s">
        <v>53</v>
      </c>
      <c r="DN61" s="160" t="s">
        <v>1905</v>
      </c>
      <c r="DO61" s="65"/>
      <c r="DP61" s="65"/>
      <c r="DQ61" s="160" t="s">
        <v>2222</v>
      </c>
      <c r="DR61" s="160" t="s">
        <v>53</v>
      </c>
      <c r="DS61" s="160" t="s">
        <v>2254</v>
      </c>
      <c r="DT61" s="65"/>
      <c r="DU61" s="65"/>
      <c r="DV61" s="65"/>
      <c r="DW61" s="407"/>
      <c r="DX61" s="303" t="s">
        <v>2279</v>
      </c>
      <c r="DY61" s="407"/>
      <c r="DZ61" s="303" t="s">
        <v>2279</v>
      </c>
    </row>
    <row r="62" spans="1:136" s="44" customFormat="1" ht="12.75">
      <c r="A62" s="160" t="s">
        <v>2281</v>
      </c>
      <c r="B62" s="65" t="s">
        <v>58</v>
      </c>
      <c r="C62" s="65" t="s">
        <v>58</v>
      </c>
      <c r="D62" s="65" t="s">
        <v>58</v>
      </c>
      <c r="E62" s="65" t="s">
        <v>48</v>
      </c>
      <c r="F62" s="156" t="s">
        <v>1980</v>
      </c>
      <c r="G62" s="44" t="s">
        <v>1289</v>
      </c>
      <c r="H62" s="44" t="s">
        <v>3124</v>
      </c>
      <c r="I62" s="65" t="s">
        <v>3100</v>
      </c>
      <c r="J62" s="344" t="s">
        <v>3101</v>
      </c>
      <c r="K62" s="344" t="s">
        <v>3101</v>
      </c>
      <c r="L62" s="156" t="s">
        <v>2359</v>
      </c>
      <c r="M62" s="65" t="s">
        <v>2371</v>
      </c>
      <c r="N62" s="65" t="s">
        <v>1113</v>
      </c>
      <c r="O62" s="65" t="s">
        <v>182</v>
      </c>
      <c r="P62" s="65" t="s">
        <v>183</v>
      </c>
      <c r="Q62" s="65" t="s">
        <v>86</v>
      </c>
      <c r="R62" s="202" t="s">
        <v>708</v>
      </c>
      <c r="S62" s="65" t="s">
        <v>2362</v>
      </c>
      <c r="T62" s="202" t="s">
        <v>1123</v>
      </c>
      <c r="U62" s="156" t="s">
        <v>1045</v>
      </c>
      <c r="V62" s="65" t="s">
        <v>2359</v>
      </c>
      <c r="W62" s="202" t="s">
        <v>2579</v>
      </c>
      <c r="X62" s="65" t="s">
        <v>2183</v>
      </c>
      <c r="Y62" s="157"/>
      <c r="Z62" s="160" t="s">
        <v>1004</v>
      </c>
      <c r="AA62" s="202" t="s">
        <v>2359</v>
      </c>
      <c r="AB62" s="202" t="s">
        <v>2561</v>
      </c>
      <c r="AC62" s="202" t="s">
        <v>2177</v>
      </c>
      <c r="AD62" s="65"/>
      <c r="AE62" s="156" t="s">
        <v>1998</v>
      </c>
      <c r="AF62" s="160" t="s">
        <v>53</v>
      </c>
      <c r="AG62" s="202" t="s">
        <v>2563</v>
      </c>
      <c r="AH62" s="65" t="s">
        <v>2325</v>
      </c>
      <c r="AI62" s="65"/>
      <c r="AJ62" s="202" t="s">
        <v>2580</v>
      </c>
      <c r="AK62" s="202" t="s">
        <v>52</v>
      </c>
      <c r="AL62" s="202" t="s">
        <v>2574</v>
      </c>
      <c r="AM62" s="65" t="s">
        <v>2575</v>
      </c>
      <c r="AN62" s="65"/>
      <c r="AO62" s="156" t="s">
        <v>1289</v>
      </c>
      <c r="AP62" s="156" t="s">
        <v>53</v>
      </c>
      <c r="AQ62" s="160" t="s">
        <v>2581</v>
      </c>
      <c r="AR62" s="65" t="s">
        <v>2325</v>
      </c>
      <c r="AS62" s="65"/>
      <c r="AT62" s="160" t="s">
        <v>1297</v>
      </c>
      <c r="AU62" s="160" t="s">
        <v>54</v>
      </c>
      <c r="AV62" s="160" t="s">
        <v>2054</v>
      </c>
      <c r="AW62" s="65" t="s">
        <v>2178</v>
      </c>
      <c r="AX62" s="272" t="s">
        <v>2582</v>
      </c>
      <c r="AY62" s="199" t="s">
        <v>2583</v>
      </c>
      <c r="AZ62" s="199" t="s">
        <v>54</v>
      </c>
      <c r="BA62" s="160" t="s">
        <v>2053</v>
      </c>
      <c r="BB62" s="312" t="s">
        <v>2374</v>
      </c>
      <c r="BC62" s="65"/>
      <c r="BD62" s="202" t="s">
        <v>2158</v>
      </c>
      <c r="BE62" s="160" t="s">
        <v>53</v>
      </c>
      <c r="BF62" s="160" t="s">
        <v>1880</v>
      </c>
      <c r="BG62" s="160"/>
      <c r="BH62" s="160"/>
      <c r="BI62" s="160" t="s">
        <v>2159</v>
      </c>
      <c r="BJ62" s="160" t="s">
        <v>53</v>
      </c>
      <c r="BK62" s="160" t="s">
        <v>1881</v>
      </c>
      <c r="BL62" s="160"/>
      <c r="BM62" s="160"/>
      <c r="BN62" s="160" t="s">
        <v>2160</v>
      </c>
      <c r="BO62" s="160" t="s">
        <v>53</v>
      </c>
      <c r="BP62" s="160" t="s">
        <v>1882</v>
      </c>
      <c r="BQ62" s="160"/>
      <c r="BR62" s="160"/>
      <c r="BS62" s="160" t="s">
        <v>2161</v>
      </c>
      <c r="BT62" s="160" t="s">
        <v>53</v>
      </c>
      <c r="BU62" s="160" t="s">
        <v>1883</v>
      </c>
      <c r="BV62" s="160"/>
      <c r="BW62" s="160"/>
      <c r="BX62" s="160" t="s">
        <v>2162</v>
      </c>
      <c r="BY62" s="160" t="s">
        <v>53</v>
      </c>
      <c r="BZ62" s="160" t="s">
        <v>1884</v>
      </c>
      <c r="CA62" s="160"/>
      <c r="CB62" s="160"/>
      <c r="CC62" s="160" t="s">
        <v>2163</v>
      </c>
      <c r="CD62" s="160" t="s">
        <v>53</v>
      </c>
      <c r="CE62" s="160" t="s">
        <v>1885</v>
      </c>
      <c r="CF62" s="160"/>
      <c r="CG62" s="160"/>
      <c r="CH62" s="160" t="s">
        <v>2164</v>
      </c>
      <c r="CI62" s="160" t="s">
        <v>53</v>
      </c>
      <c r="CJ62" s="160" t="s">
        <v>1886</v>
      </c>
      <c r="CK62" s="160"/>
      <c r="CL62" s="160"/>
      <c r="CM62" s="160" t="s">
        <v>2165</v>
      </c>
      <c r="CN62" s="160" t="s">
        <v>53</v>
      </c>
      <c r="CO62" s="160" t="s">
        <v>1887</v>
      </c>
      <c r="CP62" s="160"/>
      <c r="CQ62" s="160"/>
      <c r="CR62" s="160" t="s">
        <v>2166</v>
      </c>
      <c r="CS62" s="160" t="s">
        <v>53</v>
      </c>
      <c r="CT62" s="160" t="s">
        <v>1888</v>
      </c>
      <c r="CU62" s="160"/>
      <c r="CV62" s="160"/>
      <c r="CW62" s="160" t="s">
        <v>2167</v>
      </c>
      <c r="CX62" s="160" t="s">
        <v>53</v>
      </c>
      <c r="CY62" s="160" t="s">
        <v>1889</v>
      </c>
      <c r="CZ62" s="160"/>
      <c r="DA62" s="160"/>
      <c r="DB62" s="160" t="s">
        <v>2168</v>
      </c>
      <c r="DC62" s="160" t="s">
        <v>53</v>
      </c>
      <c r="DD62" s="160" t="s">
        <v>1890</v>
      </c>
      <c r="DE62" s="160"/>
      <c r="DF62" s="160"/>
      <c r="DG62" s="160" t="s">
        <v>2169</v>
      </c>
      <c r="DH62" s="160" t="s">
        <v>53</v>
      </c>
      <c r="DI62" s="160" t="s">
        <v>1891</v>
      </c>
      <c r="DJ62" s="202"/>
      <c r="DK62" s="202"/>
      <c r="DL62" s="160" t="s">
        <v>2170</v>
      </c>
      <c r="DM62" s="160" t="s">
        <v>53</v>
      </c>
      <c r="DN62" s="160" t="s">
        <v>1892</v>
      </c>
      <c r="DO62" s="65"/>
      <c r="DP62" s="65"/>
      <c r="DQ62" s="160" t="s">
        <v>2223</v>
      </c>
      <c r="DR62" s="160" t="s">
        <v>53</v>
      </c>
      <c r="DS62" s="160" t="s">
        <v>2255</v>
      </c>
      <c r="DT62" s="65"/>
      <c r="DU62" s="65"/>
      <c r="DV62" s="65"/>
      <c r="DW62" s="407"/>
      <c r="DX62" s="303" t="s">
        <v>2279</v>
      </c>
      <c r="DY62" s="407"/>
      <c r="DZ62" s="303" t="s">
        <v>2279</v>
      </c>
    </row>
    <row r="63" spans="1:136" s="65" customFormat="1" ht="12.75">
      <c r="A63" s="160" t="s">
        <v>2281</v>
      </c>
      <c r="B63" s="65" t="s">
        <v>58</v>
      </c>
      <c r="C63" s="65" t="s">
        <v>58</v>
      </c>
      <c r="D63" s="65" t="s">
        <v>58</v>
      </c>
      <c r="E63" s="65" t="s">
        <v>48</v>
      </c>
      <c r="F63" s="156" t="s">
        <v>1981</v>
      </c>
      <c r="G63" s="44" t="s">
        <v>3131</v>
      </c>
      <c r="H63" s="44" t="s">
        <v>3124</v>
      </c>
      <c r="I63" s="65" t="s">
        <v>3100</v>
      </c>
      <c r="J63" s="344" t="s">
        <v>3101</v>
      </c>
      <c r="K63" s="344" t="s">
        <v>3101</v>
      </c>
      <c r="L63" s="65" t="s">
        <v>52</v>
      </c>
      <c r="M63" s="65" t="s">
        <v>2371</v>
      </c>
      <c r="N63" s="65" t="s">
        <v>1113</v>
      </c>
      <c r="O63" s="65" t="s">
        <v>182</v>
      </c>
      <c r="P63" s="65" t="s">
        <v>2321</v>
      </c>
      <c r="Q63" s="65" t="s">
        <v>86</v>
      </c>
      <c r="R63" s="202" t="s">
        <v>1064</v>
      </c>
      <c r="S63" s="65" t="s">
        <v>46</v>
      </c>
      <c r="T63" s="65" t="s">
        <v>1123</v>
      </c>
      <c r="U63" s="156" t="s">
        <v>1046</v>
      </c>
      <c r="V63" s="65" t="s">
        <v>52</v>
      </c>
      <c r="W63" s="202" t="s">
        <v>2584</v>
      </c>
      <c r="X63" s="65" t="s">
        <v>2190</v>
      </c>
      <c r="Z63" s="160" t="s">
        <v>1005</v>
      </c>
      <c r="AA63" s="202" t="s">
        <v>53</v>
      </c>
      <c r="AB63" s="202" t="s">
        <v>2585</v>
      </c>
      <c r="AC63" s="202" t="s">
        <v>2371</v>
      </c>
      <c r="AD63" s="157"/>
      <c r="AE63" s="204" t="s">
        <v>1999</v>
      </c>
      <c r="AF63" s="160" t="s">
        <v>54</v>
      </c>
      <c r="AG63" s="202" t="s">
        <v>2563</v>
      </c>
      <c r="AH63" s="65" t="s">
        <v>2325</v>
      </c>
      <c r="AI63" s="314"/>
      <c r="AJ63" s="160" t="s">
        <v>1021</v>
      </c>
      <c r="AK63" s="202" t="s">
        <v>53</v>
      </c>
      <c r="AL63" s="202" t="s">
        <v>2586</v>
      </c>
      <c r="AM63" s="65" t="s">
        <v>2377</v>
      </c>
      <c r="AN63" s="319"/>
      <c r="AO63" s="156" t="s">
        <v>2587</v>
      </c>
      <c r="AP63" s="156" t="s">
        <v>53</v>
      </c>
      <c r="AQ63" s="160" t="s">
        <v>2588</v>
      </c>
      <c r="AR63" s="65" t="s">
        <v>2325</v>
      </c>
      <c r="AT63" s="160" t="s">
        <v>1298</v>
      </c>
      <c r="AU63" s="199" t="s">
        <v>54</v>
      </c>
      <c r="AV63" s="160" t="s">
        <v>2054</v>
      </c>
      <c r="AW63" s="65" t="s">
        <v>2178</v>
      </c>
      <c r="AX63" s="160" t="s">
        <v>2589</v>
      </c>
      <c r="AY63" s="65" t="s">
        <v>1234</v>
      </c>
      <c r="AZ63" s="65" t="s">
        <v>54</v>
      </c>
      <c r="BA63" s="160" t="s">
        <v>2053</v>
      </c>
      <c r="BB63" s="312" t="s">
        <v>2374</v>
      </c>
      <c r="BD63" s="160" t="s">
        <v>917</v>
      </c>
      <c r="BE63" s="160" t="s">
        <v>53</v>
      </c>
      <c r="BF63" s="160" t="s">
        <v>1867</v>
      </c>
      <c r="BG63" s="160"/>
      <c r="BH63" s="160"/>
      <c r="BI63" s="160" t="s">
        <v>918</v>
      </c>
      <c r="BJ63" s="160" t="s">
        <v>53</v>
      </c>
      <c r="BK63" s="160" t="s">
        <v>1868</v>
      </c>
      <c r="BL63" s="160"/>
      <c r="BM63" s="160"/>
      <c r="BN63" s="160" t="s">
        <v>919</v>
      </c>
      <c r="BO63" s="160" t="s">
        <v>53</v>
      </c>
      <c r="BP63" s="160" t="s">
        <v>1869</v>
      </c>
      <c r="BQ63" s="160"/>
      <c r="BR63" s="160"/>
      <c r="BS63" s="160" t="s">
        <v>920</v>
      </c>
      <c r="BT63" s="160" t="s">
        <v>53</v>
      </c>
      <c r="BU63" s="160" t="s">
        <v>1870</v>
      </c>
      <c r="BV63" s="160"/>
      <c r="BW63" s="160"/>
      <c r="BX63" s="160" t="s">
        <v>921</v>
      </c>
      <c r="BY63" s="160" t="s">
        <v>53</v>
      </c>
      <c r="BZ63" s="160" t="s">
        <v>1871</v>
      </c>
      <c r="CA63" s="160"/>
      <c r="CB63" s="160"/>
      <c r="CC63" s="160" t="s">
        <v>922</v>
      </c>
      <c r="CD63" s="160" t="s">
        <v>53</v>
      </c>
      <c r="CE63" s="160" t="s">
        <v>1872</v>
      </c>
      <c r="CF63" s="160"/>
      <c r="CG63" s="160"/>
      <c r="CH63" s="160" t="s">
        <v>923</v>
      </c>
      <c r="CI63" s="160" t="s">
        <v>53</v>
      </c>
      <c r="CJ63" s="160" t="s">
        <v>1873</v>
      </c>
      <c r="CK63" s="160"/>
      <c r="CL63" s="160"/>
      <c r="CM63" s="160" t="s">
        <v>924</v>
      </c>
      <c r="CN63" s="160" t="s">
        <v>53</v>
      </c>
      <c r="CO63" s="160" t="s">
        <v>1874</v>
      </c>
      <c r="CP63" s="160"/>
      <c r="CQ63" s="160"/>
      <c r="CR63" s="160" t="s">
        <v>925</v>
      </c>
      <c r="CS63" s="160" t="s">
        <v>53</v>
      </c>
      <c r="CT63" s="160" t="s">
        <v>1875</v>
      </c>
      <c r="CU63" s="160"/>
      <c r="CV63" s="160"/>
      <c r="CW63" s="160" t="s">
        <v>926</v>
      </c>
      <c r="CX63" s="160" t="s">
        <v>53</v>
      </c>
      <c r="CY63" s="160" t="s">
        <v>1876</v>
      </c>
      <c r="CZ63" s="160"/>
      <c r="DA63" s="160"/>
      <c r="DB63" s="160" t="s">
        <v>927</v>
      </c>
      <c r="DC63" s="160" t="s">
        <v>53</v>
      </c>
      <c r="DD63" s="160" t="s">
        <v>1877</v>
      </c>
      <c r="DE63" s="160"/>
      <c r="DF63" s="160"/>
      <c r="DG63" s="160" t="s">
        <v>928</v>
      </c>
      <c r="DH63" s="160" t="s">
        <v>53</v>
      </c>
      <c r="DI63" s="160" t="s">
        <v>1878</v>
      </c>
      <c r="DJ63" s="202"/>
      <c r="DK63" s="202"/>
      <c r="DL63" s="160" t="s">
        <v>929</v>
      </c>
      <c r="DM63" s="160" t="s">
        <v>53</v>
      </c>
      <c r="DN63" s="160" t="s">
        <v>1879</v>
      </c>
      <c r="DQ63" s="160" t="s">
        <v>2224</v>
      </c>
      <c r="DR63" s="160" t="s">
        <v>53</v>
      </c>
      <c r="DS63" s="160" t="s">
        <v>2256</v>
      </c>
      <c r="DW63" s="407"/>
      <c r="DX63" s="303" t="s">
        <v>2279</v>
      </c>
      <c r="DY63" s="407"/>
      <c r="DZ63" s="303" t="s">
        <v>2279</v>
      </c>
    </row>
    <row r="64" spans="1:136" s="44" customFormat="1">
      <c r="A64" s="160" t="s">
        <v>2281</v>
      </c>
      <c r="B64" s="65" t="s">
        <v>58</v>
      </c>
      <c r="C64" s="65" t="s">
        <v>58</v>
      </c>
      <c r="D64" s="65" t="s">
        <v>58</v>
      </c>
      <c r="E64" s="65" t="s">
        <v>48</v>
      </c>
      <c r="F64" s="156" t="s">
        <v>1982</v>
      </c>
      <c r="G64" s="44" t="s">
        <v>3132</v>
      </c>
      <c r="H64" s="44" t="s">
        <v>3124</v>
      </c>
      <c r="I64" s="65" t="s">
        <v>3100</v>
      </c>
      <c r="J64" s="344" t="s">
        <v>3101</v>
      </c>
      <c r="K64" s="344" t="s">
        <v>3101</v>
      </c>
      <c r="L64" s="156" t="s">
        <v>2359</v>
      </c>
      <c r="M64" s="65" t="s">
        <v>2180</v>
      </c>
      <c r="N64" s="65" t="s">
        <v>1113</v>
      </c>
      <c r="O64" s="65" t="s">
        <v>182</v>
      </c>
      <c r="P64" s="65" t="s">
        <v>183</v>
      </c>
      <c r="Q64" s="65" t="s">
        <v>86</v>
      </c>
      <c r="R64" s="202" t="s">
        <v>1022</v>
      </c>
      <c r="S64" s="65" t="s">
        <v>2362</v>
      </c>
      <c r="T64" s="65" t="s">
        <v>1123</v>
      </c>
      <c r="U64" s="156" t="s">
        <v>1047</v>
      </c>
      <c r="V64" s="65" t="s">
        <v>2359</v>
      </c>
      <c r="W64" s="202" t="s">
        <v>2590</v>
      </c>
      <c r="X64" s="65" t="s">
        <v>2183</v>
      </c>
      <c r="Y64" s="157"/>
      <c r="Z64" s="160" t="s">
        <v>2514</v>
      </c>
      <c r="AA64" s="202" t="s">
        <v>53</v>
      </c>
      <c r="AB64" s="202" t="s">
        <v>2591</v>
      </c>
      <c r="AC64" s="202" t="s">
        <v>2371</v>
      </c>
      <c r="AD64" s="157"/>
      <c r="AE64" s="160" t="s">
        <v>2592</v>
      </c>
      <c r="AF64" s="202" t="s">
        <v>54</v>
      </c>
      <c r="AG64" s="202" t="s">
        <v>2593</v>
      </c>
      <c r="AH64" s="65" t="s">
        <v>2325</v>
      </c>
      <c r="AI64" s="157" t="s">
        <v>2594</v>
      </c>
      <c r="AJ64" s="271" t="s">
        <v>2303</v>
      </c>
      <c r="AK64" s="65" t="s">
        <v>53</v>
      </c>
      <c r="AL64" s="279" t="s">
        <v>2595</v>
      </c>
      <c r="AM64" s="65" t="s">
        <v>2183</v>
      </c>
      <c r="AN64" s="157"/>
      <c r="AO64" s="156" t="s">
        <v>1220</v>
      </c>
      <c r="AP64" s="65" t="s">
        <v>53</v>
      </c>
      <c r="AQ64" s="202" t="s">
        <v>2174</v>
      </c>
      <c r="AR64" s="202" t="s">
        <v>2548</v>
      </c>
      <c r="AS64" s="202" t="s">
        <v>2596</v>
      </c>
      <c r="AT64" s="160" t="s">
        <v>1293</v>
      </c>
      <c r="AU64" s="160" t="s">
        <v>54</v>
      </c>
      <c r="AV64" s="160" t="s">
        <v>2054</v>
      </c>
      <c r="AW64" s="65" t="s">
        <v>2178</v>
      </c>
      <c r="AX64" s="160" t="s">
        <v>2597</v>
      </c>
      <c r="AY64" s="65" t="s">
        <v>1233</v>
      </c>
      <c r="AZ64" s="65" t="s">
        <v>54</v>
      </c>
      <c r="BA64" s="65" t="s">
        <v>2053</v>
      </c>
      <c r="BB64" s="312" t="s">
        <v>2374</v>
      </c>
      <c r="BC64" s="65"/>
      <c r="BD64" s="160" t="s">
        <v>930</v>
      </c>
      <c r="BE64" s="160" t="s">
        <v>53</v>
      </c>
      <c r="BF64" s="160" t="s">
        <v>1854</v>
      </c>
      <c r="BG64" s="160"/>
      <c r="BH64" s="160"/>
      <c r="BI64" s="160" t="s">
        <v>931</v>
      </c>
      <c r="BJ64" s="160" t="s">
        <v>53</v>
      </c>
      <c r="BK64" s="160" t="s">
        <v>1855</v>
      </c>
      <c r="BL64" s="160"/>
      <c r="BM64" s="160"/>
      <c r="BN64" s="160" t="s">
        <v>932</v>
      </c>
      <c r="BO64" s="160" t="s">
        <v>53</v>
      </c>
      <c r="BP64" s="160" t="s">
        <v>1856</v>
      </c>
      <c r="BQ64" s="160"/>
      <c r="BR64" s="160"/>
      <c r="BS64" s="160" t="s">
        <v>933</v>
      </c>
      <c r="BT64" s="160" t="s">
        <v>53</v>
      </c>
      <c r="BU64" s="160" t="s">
        <v>1857</v>
      </c>
      <c r="BV64" s="160"/>
      <c r="BW64" s="160"/>
      <c r="BX64" s="160" t="s">
        <v>934</v>
      </c>
      <c r="BY64" s="160" t="s">
        <v>53</v>
      </c>
      <c r="BZ64" s="160" t="s">
        <v>1858</v>
      </c>
      <c r="CA64" s="160"/>
      <c r="CB64" s="160"/>
      <c r="CC64" s="160" t="s">
        <v>935</v>
      </c>
      <c r="CD64" s="160" t="s">
        <v>53</v>
      </c>
      <c r="CE64" s="160" t="s">
        <v>1859</v>
      </c>
      <c r="CF64" s="160"/>
      <c r="CG64" s="160"/>
      <c r="CH64" s="160" t="s">
        <v>936</v>
      </c>
      <c r="CI64" s="160" t="s">
        <v>53</v>
      </c>
      <c r="CJ64" s="160" t="s">
        <v>1860</v>
      </c>
      <c r="CK64" s="160"/>
      <c r="CL64" s="160"/>
      <c r="CM64" s="160" t="s">
        <v>937</v>
      </c>
      <c r="CN64" s="160" t="s">
        <v>53</v>
      </c>
      <c r="CO64" s="160" t="s">
        <v>1861</v>
      </c>
      <c r="CP64" s="160"/>
      <c r="CQ64" s="160"/>
      <c r="CR64" s="160" t="s">
        <v>938</v>
      </c>
      <c r="CS64" s="160" t="s">
        <v>53</v>
      </c>
      <c r="CT64" s="160" t="s">
        <v>1862</v>
      </c>
      <c r="CU64" s="160"/>
      <c r="CV64" s="160"/>
      <c r="CW64" s="160" t="s">
        <v>939</v>
      </c>
      <c r="CX64" s="160" t="s">
        <v>53</v>
      </c>
      <c r="CY64" s="160" t="s">
        <v>1863</v>
      </c>
      <c r="CZ64" s="160"/>
      <c r="DA64" s="160"/>
      <c r="DB64" s="160" t="s">
        <v>940</v>
      </c>
      <c r="DC64" s="160" t="s">
        <v>53</v>
      </c>
      <c r="DD64" s="160" t="s">
        <v>1864</v>
      </c>
      <c r="DE64" s="160"/>
      <c r="DF64" s="160"/>
      <c r="DG64" s="160" t="s">
        <v>941</v>
      </c>
      <c r="DH64" s="160" t="s">
        <v>53</v>
      </c>
      <c r="DI64" s="160" t="s">
        <v>1865</v>
      </c>
      <c r="DJ64" s="202"/>
      <c r="DK64" s="202"/>
      <c r="DL64" s="160" t="s">
        <v>942</v>
      </c>
      <c r="DM64" s="160" t="s">
        <v>53</v>
      </c>
      <c r="DN64" s="160" t="s">
        <v>1866</v>
      </c>
      <c r="DO64" s="65"/>
      <c r="DP64" s="65"/>
      <c r="DQ64" s="160" t="s">
        <v>2225</v>
      </c>
      <c r="DR64" s="160" t="s">
        <v>53</v>
      </c>
      <c r="DS64" s="160" t="s">
        <v>2257</v>
      </c>
      <c r="DT64" s="65"/>
      <c r="DU64" s="65"/>
      <c r="DV64" s="65"/>
      <c r="DW64" s="407"/>
      <c r="DX64" s="303" t="s">
        <v>2279</v>
      </c>
      <c r="DY64" s="407"/>
      <c r="DZ64" s="303" t="s">
        <v>2279</v>
      </c>
    </row>
    <row r="65" spans="1:134" s="44" customFormat="1">
      <c r="A65" s="160" t="s">
        <v>2281</v>
      </c>
      <c r="B65" s="65" t="s">
        <v>58</v>
      </c>
      <c r="C65" s="65" t="s">
        <v>58</v>
      </c>
      <c r="D65" s="65" t="s">
        <v>58</v>
      </c>
      <c r="E65" s="65" t="s">
        <v>48</v>
      </c>
      <c r="F65" s="156" t="s">
        <v>1983</v>
      </c>
      <c r="G65" s="44" t="s">
        <v>3146</v>
      </c>
      <c r="H65" s="44" t="s">
        <v>3100</v>
      </c>
      <c r="I65" s="65" t="s">
        <v>3100</v>
      </c>
      <c r="J65" s="344" t="s">
        <v>3101</v>
      </c>
      <c r="K65" s="344" t="s">
        <v>3101</v>
      </c>
      <c r="L65" s="156" t="s">
        <v>2359</v>
      </c>
      <c r="M65" s="65" t="s">
        <v>2180</v>
      </c>
      <c r="N65" s="65" t="s">
        <v>1113</v>
      </c>
      <c r="O65" s="65" t="s">
        <v>182</v>
      </c>
      <c r="P65" s="65" t="s">
        <v>183</v>
      </c>
      <c r="Q65" s="65" t="s">
        <v>86</v>
      </c>
      <c r="R65" s="202" t="s">
        <v>1023</v>
      </c>
      <c r="S65" s="65" t="s">
        <v>2362</v>
      </c>
      <c r="T65" s="65" t="s">
        <v>1123</v>
      </c>
      <c r="U65" s="156" t="s">
        <v>1048</v>
      </c>
      <c r="V65" s="65" t="s">
        <v>2359</v>
      </c>
      <c r="W65" s="202" t="s">
        <v>2598</v>
      </c>
      <c r="X65" s="65" t="s">
        <v>2183</v>
      </c>
      <c r="Y65" s="157"/>
      <c r="Z65" s="160" t="s">
        <v>2521</v>
      </c>
      <c r="AA65" s="202" t="s">
        <v>53</v>
      </c>
      <c r="AB65" s="202" t="s">
        <v>2599</v>
      </c>
      <c r="AC65" s="202" t="s">
        <v>2371</v>
      </c>
      <c r="AD65" s="157"/>
      <c r="AE65" s="65" t="s">
        <v>2600</v>
      </c>
      <c r="AF65" s="65" t="s">
        <v>53</v>
      </c>
      <c r="AG65" s="202" t="s">
        <v>2593</v>
      </c>
      <c r="AH65" s="65" t="s">
        <v>2325</v>
      </c>
      <c r="AI65" s="272" t="s">
        <v>2594</v>
      </c>
      <c r="AJ65" s="65" t="s">
        <v>2308</v>
      </c>
      <c r="AK65" s="160" t="s">
        <v>54</v>
      </c>
      <c r="AL65" s="65" t="s">
        <v>2601</v>
      </c>
      <c r="AM65" s="65" t="s">
        <v>2183</v>
      </c>
      <c r="AN65" s="157"/>
      <c r="AO65" s="156" t="s">
        <v>1221</v>
      </c>
      <c r="AP65" s="65" t="s">
        <v>53</v>
      </c>
      <c r="AQ65" s="202" t="s">
        <v>2174</v>
      </c>
      <c r="AR65" s="202" t="s">
        <v>2548</v>
      </c>
      <c r="AS65" s="202" t="s">
        <v>2602</v>
      </c>
      <c r="AT65" s="160" t="s">
        <v>1300</v>
      </c>
      <c r="AU65" s="199" t="s">
        <v>54</v>
      </c>
      <c r="AV65" s="160" t="s">
        <v>2054</v>
      </c>
      <c r="AW65" s="65" t="s">
        <v>2178</v>
      </c>
      <c r="AX65" s="272" t="s">
        <v>2603</v>
      </c>
      <c r="AY65" s="199" t="s">
        <v>2604</v>
      </c>
      <c r="AZ65" s="199" t="s">
        <v>54</v>
      </c>
      <c r="BA65" s="160" t="s">
        <v>2053</v>
      </c>
      <c r="BB65" s="312" t="s">
        <v>2374</v>
      </c>
      <c r="BC65" s="65"/>
      <c r="BD65" s="160" t="s">
        <v>1089</v>
      </c>
      <c r="BE65" s="160" t="s">
        <v>53</v>
      </c>
      <c r="BF65" s="160" t="s">
        <v>1841</v>
      </c>
      <c r="BG65" s="160"/>
      <c r="BH65" s="160"/>
      <c r="BI65" s="160" t="s">
        <v>810</v>
      </c>
      <c r="BJ65" s="160" t="s">
        <v>53</v>
      </c>
      <c r="BK65" s="160" t="s">
        <v>1842</v>
      </c>
      <c r="BL65" s="160"/>
      <c r="BM65" s="160"/>
      <c r="BN65" s="160" t="s">
        <v>818</v>
      </c>
      <c r="BO65" s="160" t="s">
        <v>53</v>
      </c>
      <c r="BP65" s="160" t="s">
        <v>1843</v>
      </c>
      <c r="BQ65" s="160"/>
      <c r="BR65" s="160"/>
      <c r="BS65" s="160" t="s">
        <v>826</v>
      </c>
      <c r="BT65" s="160" t="s">
        <v>53</v>
      </c>
      <c r="BU65" s="160" t="s">
        <v>1844</v>
      </c>
      <c r="BV65" s="160"/>
      <c r="BW65" s="160"/>
      <c r="BX65" s="160" t="s">
        <v>834</v>
      </c>
      <c r="BY65" s="160" t="s">
        <v>53</v>
      </c>
      <c r="BZ65" s="160" t="s">
        <v>1845</v>
      </c>
      <c r="CA65" s="160"/>
      <c r="CB65" s="160"/>
      <c r="CC65" s="160" t="s">
        <v>842</v>
      </c>
      <c r="CD65" s="160" t="s">
        <v>53</v>
      </c>
      <c r="CE65" s="160" t="s">
        <v>1846</v>
      </c>
      <c r="CF65" s="160"/>
      <c r="CG65" s="160"/>
      <c r="CH65" s="160" t="s">
        <v>850</v>
      </c>
      <c r="CI65" s="160" t="s">
        <v>53</v>
      </c>
      <c r="CJ65" s="160" t="s">
        <v>1847</v>
      </c>
      <c r="CK65" s="160"/>
      <c r="CL65" s="160"/>
      <c r="CM65" s="160" t="s">
        <v>851</v>
      </c>
      <c r="CN65" s="160" t="s">
        <v>53</v>
      </c>
      <c r="CO65" s="160" t="s">
        <v>1848</v>
      </c>
      <c r="CP65" s="160"/>
      <c r="CQ65" s="160"/>
      <c r="CR65" s="160" t="s">
        <v>852</v>
      </c>
      <c r="CS65" s="160" t="s">
        <v>53</v>
      </c>
      <c r="CT65" s="160" t="s">
        <v>1849</v>
      </c>
      <c r="CU65" s="160"/>
      <c r="CV65" s="160"/>
      <c r="CW65" s="160" t="s">
        <v>853</v>
      </c>
      <c r="CX65" s="160" t="s">
        <v>53</v>
      </c>
      <c r="CY65" s="160" t="s">
        <v>1850</v>
      </c>
      <c r="CZ65" s="160"/>
      <c r="DA65" s="160"/>
      <c r="DB65" s="160" t="s">
        <v>893</v>
      </c>
      <c r="DC65" s="160" t="s">
        <v>53</v>
      </c>
      <c r="DD65" s="160" t="s">
        <v>1851</v>
      </c>
      <c r="DE65" s="160"/>
      <c r="DF65" s="160"/>
      <c r="DG65" s="160" t="s">
        <v>901</v>
      </c>
      <c r="DH65" s="160" t="s">
        <v>53</v>
      </c>
      <c r="DI65" s="160" t="s">
        <v>1852</v>
      </c>
      <c r="DJ65" s="202"/>
      <c r="DK65" s="202"/>
      <c r="DL65" s="160" t="s">
        <v>909</v>
      </c>
      <c r="DM65" s="160" t="s">
        <v>53</v>
      </c>
      <c r="DN65" s="160" t="s">
        <v>1853</v>
      </c>
      <c r="DO65" s="65"/>
      <c r="DP65" s="65"/>
      <c r="DQ65" s="160" t="s">
        <v>2226</v>
      </c>
      <c r="DR65" s="160" t="s">
        <v>53</v>
      </c>
      <c r="DS65" s="160" t="s">
        <v>2258</v>
      </c>
      <c r="DT65" s="65"/>
      <c r="DU65" s="65"/>
      <c r="DV65" s="65"/>
      <c r="DW65" s="407"/>
      <c r="DX65" s="303" t="s">
        <v>2279</v>
      </c>
      <c r="DY65" s="407"/>
      <c r="DZ65" s="303" t="s">
        <v>2279</v>
      </c>
    </row>
    <row r="66" spans="1:134" s="44" customFormat="1" ht="12.75">
      <c r="A66" s="160" t="s">
        <v>2281</v>
      </c>
      <c r="B66" s="65" t="s">
        <v>58</v>
      </c>
      <c r="C66" s="65" t="s">
        <v>58</v>
      </c>
      <c r="D66" s="65" t="s">
        <v>58</v>
      </c>
      <c r="E66" s="65" t="s">
        <v>48</v>
      </c>
      <c r="F66" s="156" t="s">
        <v>1984</v>
      </c>
      <c r="G66" s="44" t="s">
        <v>3145</v>
      </c>
      <c r="H66" s="44" t="s">
        <v>3124</v>
      </c>
      <c r="I66" s="65" t="s">
        <v>3100</v>
      </c>
      <c r="J66" s="344" t="s">
        <v>3101</v>
      </c>
      <c r="K66" s="344" t="s">
        <v>3101</v>
      </c>
      <c r="L66" s="156" t="s">
        <v>2359</v>
      </c>
      <c r="M66" s="65" t="s">
        <v>2183</v>
      </c>
      <c r="N66" s="65" t="s">
        <v>1113</v>
      </c>
      <c r="O66" s="65" t="s">
        <v>182</v>
      </c>
      <c r="P66" s="65" t="s">
        <v>183</v>
      </c>
      <c r="Q66" s="65" t="s">
        <v>86</v>
      </c>
      <c r="R66" s="202" t="s">
        <v>1024</v>
      </c>
      <c r="S66" s="65" t="s">
        <v>2362</v>
      </c>
      <c r="T66" s="65" t="s">
        <v>1123</v>
      </c>
      <c r="U66" s="156" t="s">
        <v>1049</v>
      </c>
      <c r="V66" s="65" t="s">
        <v>2359</v>
      </c>
      <c r="W66" s="202" t="s">
        <v>2605</v>
      </c>
      <c r="X66" s="65" t="s">
        <v>2183</v>
      </c>
      <c r="Y66" s="157"/>
      <c r="Z66" s="160" t="s">
        <v>2606</v>
      </c>
      <c r="AA66" s="202" t="s">
        <v>53</v>
      </c>
      <c r="AB66" s="202" t="s">
        <v>2607</v>
      </c>
      <c r="AC66" s="202" t="s">
        <v>2377</v>
      </c>
      <c r="AD66" s="157"/>
      <c r="AE66" s="271" t="s">
        <v>2608</v>
      </c>
      <c r="AF66" s="65" t="s">
        <v>53</v>
      </c>
      <c r="AG66" s="279" t="s">
        <v>2609</v>
      </c>
      <c r="AH66" s="65" t="s">
        <v>2377</v>
      </c>
      <c r="AI66" s="157" t="s">
        <v>2566</v>
      </c>
      <c r="AJ66" s="271" t="s">
        <v>2304</v>
      </c>
      <c r="AK66" s="65" t="s">
        <v>53</v>
      </c>
      <c r="AL66" s="279" t="s">
        <v>2610</v>
      </c>
      <c r="AM66" s="65" t="s">
        <v>2183</v>
      </c>
      <c r="AN66" s="157"/>
      <c r="AO66" s="65" t="s">
        <v>2611</v>
      </c>
      <c r="AP66" s="65" t="s">
        <v>52</v>
      </c>
      <c r="AQ66" s="202" t="s">
        <v>2612</v>
      </c>
      <c r="AR66" s="65" t="s">
        <v>2377</v>
      </c>
      <c r="AS66" s="65"/>
      <c r="AT66" s="160" t="s">
        <v>1294</v>
      </c>
      <c r="AU66" s="160" t="s">
        <v>54</v>
      </c>
      <c r="AV66" s="160" t="s">
        <v>2342</v>
      </c>
      <c r="AW66" s="65" t="s">
        <v>2178</v>
      </c>
      <c r="AX66" s="160" t="s">
        <v>2613</v>
      </c>
      <c r="AY66" s="156" t="s">
        <v>2614</v>
      </c>
      <c r="AZ66" s="160" t="s">
        <v>53</v>
      </c>
      <c r="BA66" s="160" t="s">
        <v>2053</v>
      </c>
      <c r="BB66" s="65" t="s">
        <v>2377</v>
      </c>
      <c r="BC66" s="65"/>
      <c r="BD66" s="160" t="s">
        <v>803</v>
      </c>
      <c r="BE66" s="160" t="s">
        <v>53</v>
      </c>
      <c r="BF66" s="160" t="s">
        <v>1828</v>
      </c>
      <c r="BG66" s="160"/>
      <c r="BH66" s="160"/>
      <c r="BI66" s="160" t="s">
        <v>811</v>
      </c>
      <c r="BJ66" s="160" t="s">
        <v>53</v>
      </c>
      <c r="BK66" s="160" t="s">
        <v>1829</v>
      </c>
      <c r="BL66" s="160"/>
      <c r="BM66" s="160"/>
      <c r="BN66" s="160" t="s">
        <v>819</v>
      </c>
      <c r="BO66" s="160" t="s">
        <v>53</v>
      </c>
      <c r="BP66" s="160" t="s">
        <v>1830</v>
      </c>
      <c r="BQ66" s="160"/>
      <c r="BR66" s="160"/>
      <c r="BS66" s="160" t="s">
        <v>827</v>
      </c>
      <c r="BT66" s="160" t="s">
        <v>53</v>
      </c>
      <c r="BU66" s="160" t="s">
        <v>1831</v>
      </c>
      <c r="BV66" s="160"/>
      <c r="BW66" s="160"/>
      <c r="BX66" s="160" t="s">
        <v>835</v>
      </c>
      <c r="BY66" s="160" t="s">
        <v>53</v>
      </c>
      <c r="BZ66" s="160" t="s">
        <v>1832</v>
      </c>
      <c r="CA66" s="160"/>
      <c r="CB66" s="160"/>
      <c r="CC66" s="160" t="s">
        <v>843</v>
      </c>
      <c r="CD66" s="160" t="s">
        <v>53</v>
      </c>
      <c r="CE66" s="160" t="s">
        <v>1833</v>
      </c>
      <c r="CF66" s="160"/>
      <c r="CG66" s="160"/>
      <c r="CH66" s="160" t="s">
        <v>854</v>
      </c>
      <c r="CI66" s="160" t="s">
        <v>53</v>
      </c>
      <c r="CJ66" s="160" t="s">
        <v>1834</v>
      </c>
      <c r="CK66" s="160"/>
      <c r="CL66" s="160"/>
      <c r="CM66" s="160" t="s">
        <v>855</v>
      </c>
      <c r="CN66" s="160" t="s">
        <v>53</v>
      </c>
      <c r="CO66" s="160" t="s">
        <v>1835</v>
      </c>
      <c r="CP66" s="160"/>
      <c r="CQ66" s="160"/>
      <c r="CR66" s="160" t="s">
        <v>856</v>
      </c>
      <c r="CS66" s="160" t="s">
        <v>53</v>
      </c>
      <c r="CT66" s="160" t="s">
        <v>1836</v>
      </c>
      <c r="CU66" s="160"/>
      <c r="CV66" s="160"/>
      <c r="CW66" s="160" t="s">
        <v>857</v>
      </c>
      <c r="CX66" s="160" t="s">
        <v>53</v>
      </c>
      <c r="CY66" s="160" t="s">
        <v>1837</v>
      </c>
      <c r="CZ66" s="160"/>
      <c r="DA66" s="160"/>
      <c r="DB66" s="160" t="s">
        <v>894</v>
      </c>
      <c r="DC66" s="160" t="s">
        <v>53</v>
      </c>
      <c r="DD66" s="160" t="s">
        <v>1838</v>
      </c>
      <c r="DE66" s="160"/>
      <c r="DF66" s="160"/>
      <c r="DG66" s="160" t="s">
        <v>902</v>
      </c>
      <c r="DH66" s="160" t="s">
        <v>53</v>
      </c>
      <c r="DI66" s="160" t="s">
        <v>1839</v>
      </c>
      <c r="DJ66" s="202"/>
      <c r="DK66" s="202"/>
      <c r="DL66" s="160" t="s">
        <v>910</v>
      </c>
      <c r="DM66" s="160" t="s">
        <v>53</v>
      </c>
      <c r="DN66" s="160" t="s">
        <v>1840</v>
      </c>
      <c r="DO66" s="65"/>
      <c r="DP66" s="65"/>
      <c r="DQ66" s="160" t="s">
        <v>2227</v>
      </c>
      <c r="DR66" s="160" t="s">
        <v>53</v>
      </c>
      <c r="DS66" s="160" t="s">
        <v>2259</v>
      </c>
      <c r="DT66" s="65"/>
      <c r="DU66" s="65"/>
      <c r="DV66" s="65"/>
      <c r="DW66" s="408"/>
      <c r="DX66" s="303" t="s">
        <v>2279</v>
      </c>
      <c r="DY66" s="408"/>
      <c r="DZ66" s="303" t="s">
        <v>2279</v>
      </c>
    </row>
    <row r="67" spans="1:134" s="180" customFormat="1">
      <c r="A67" s="218" t="s">
        <v>2615</v>
      </c>
      <c r="B67" s="150"/>
      <c r="C67" s="150"/>
      <c r="D67" s="150"/>
      <c r="E67" s="150"/>
      <c r="F67" s="150"/>
      <c r="G67" s="343"/>
      <c r="H67" s="343"/>
      <c r="I67" s="343"/>
      <c r="J67" s="343"/>
      <c r="K67" s="343"/>
      <c r="L67" s="38"/>
      <c r="M67" s="38"/>
      <c r="N67" s="38"/>
      <c r="O67" s="38"/>
      <c r="P67" s="38"/>
      <c r="Q67" s="38"/>
      <c r="R67" s="38"/>
      <c r="S67" s="38"/>
      <c r="T67" s="36"/>
      <c r="U67" s="36"/>
      <c r="V67" s="36"/>
      <c r="W67" s="36"/>
      <c r="X67" s="36"/>
      <c r="Y67" s="148"/>
      <c r="Z67" s="300"/>
      <c r="AA67" s="300"/>
      <c r="AB67" s="300"/>
      <c r="AC67" s="36"/>
      <c r="AD67" s="36"/>
      <c r="AE67" s="300"/>
      <c r="AF67" s="300"/>
      <c r="AG67" s="300"/>
      <c r="AH67" s="300"/>
      <c r="AI67" s="300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  <c r="BL67" s="36"/>
      <c r="BM67" s="36"/>
      <c r="BN67" s="36"/>
      <c r="BO67" s="36"/>
      <c r="BP67" s="36"/>
      <c r="BQ67" s="36"/>
      <c r="BR67" s="36"/>
      <c r="BS67" s="36"/>
      <c r="BT67" s="36"/>
      <c r="BU67" s="36"/>
      <c r="BV67" s="36"/>
      <c r="BW67" s="36"/>
      <c r="BX67" s="36"/>
      <c r="BY67" s="36"/>
      <c r="BZ67" s="36"/>
      <c r="CA67" s="36"/>
      <c r="CB67" s="36"/>
      <c r="CC67" s="36"/>
      <c r="CD67" s="36"/>
      <c r="CE67" s="36"/>
      <c r="CF67" s="36"/>
      <c r="CG67" s="36"/>
      <c r="CH67" s="36"/>
      <c r="CI67" s="36"/>
      <c r="CJ67" s="36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/>
      <c r="CV67" s="36"/>
      <c r="CW67" s="36"/>
      <c r="CX67" s="36"/>
      <c r="CY67" s="36"/>
      <c r="CZ67" s="36"/>
      <c r="DA67" s="36"/>
      <c r="DB67" s="36"/>
      <c r="DC67" s="36"/>
      <c r="DD67" s="36"/>
      <c r="DE67" s="36"/>
      <c r="DF67" s="36"/>
      <c r="DG67" s="36"/>
      <c r="DH67" s="36"/>
      <c r="DI67" s="36"/>
      <c r="DJ67" s="36"/>
      <c r="DK67" s="36"/>
      <c r="DL67" s="36"/>
      <c r="DM67" s="36"/>
      <c r="DN67" s="36"/>
      <c r="DO67" s="36"/>
      <c r="DP67" s="36"/>
      <c r="DQ67" s="36"/>
      <c r="DR67" s="36"/>
      <c r="DS67" s="36"/>
      <c r="DT67" s="36"/>
      <c r="DU67" s="36"/>
      <c r="DV67" s="36"/>
      <c r="DW67" s="300"/>
      <c r="DX67" s="300"/>
      <c r="DY67" s="300"/>
      <c r="DZ67" s="300"/>
    </row>
    <row r="68" spans="1:134" s="156" customFormat="1" ht="12.75">
      <c r="A68" s="156" t="s">
        <v>2281</v>
      </c>
      <c r="B68" s="156" t="s">
        <v>58</v>
      </c>
      <c r="C68" s="156" t="s">
        <v>58</v>
      </c>
      <c r="D68" s="156" t="s">
        <v>58</v>
      </c>
      <c r="E68" s="160" t="s">
        <v>48</v>
      </c>
      <c r="F68" s="156" t="s">
        <v>2616</v>
      </c>
      <c r="G68" s="44" t="s">
        <v>3100</v>
      </c>
      <c r="H68" s="44" t="s">
        <v>3100</v>
      </c>
      <c r="I68" s="65" t="s">
        <v>3100</v>
      </c>
      <c r="J68" s="344" t="s">
        <v>3101</v>
      </c>
      <c r="K68" s="344" t="s">
        <v>3101</v>
      </c>
      <c r="L68" s="160" t="s">
        <v>52</v>
      </c>
      <c r="M68" s="65" t="s">
        <v>2277</v>
      </c>
      <c r="N68" s="156" t="s">
        <v>1113</v>
      </c>
      <c r="O68" s="156" t="s">
        <v>2617</v>
      </c>
      <c r="P68" s="156" t="s">
        <v>183</v>
      </c>
      <c r="Q68" s="274" t="s">
        <v>272</v>
      </c>
      <c r="R68" s="156" t="s">
        <v>2618</v>
      </c>
      <c r="S68" s="156" t="s">
        <v>2362</v>
      </c>
      <c r="T68" s="156" t="s">
        <v>1122</v>
      </c>
      <c r="U68" s="156" t="str">
        <f>LOWER(F68)</f>
        <v>ch0_rf_resetn</v>
      </c>
      <c r="V68" s="160" t="s">
        <v>53</v>
      </c>
      <c r="W68" s="156" t="s">
        <v>2619</v>
      </c>
      <c r="X68" s="156" t="s">
        <v>2176</v>
      </c>
      <c r="Y68" s="205" t="s">
        <v>2620</v>
      </c>
      <c r="Z68" s="156" t="s">
        <v>2621</v>
      </c>
      <c r="AA68" s="160" t="s">
        <v>52</v>
      </c>
      <c r="AB68" s="156" t="s">
        <v>2622</v>
      </c>
      <c r="AC68" s="156" t="s">
        <v>2183</v>
      </c>
      <c r="AJ68" s="204" t="s">
        <v>2307</v>
      </c>
      <c r="AK68" s="160" t="s">
        <v>53</v>
      </c>
      <c r="AL68" s="266" t="s">
        <v>2623</v>
      </c>
      <c r="AM68" s="156" t="s">
        <v>2183</v>
      </c>
      <c r="AO68" s="204" t="s">
        <v>2624</v>
      </c>
      <c r="AP68" s="160" t="s">
        <v>53</v>
      </c>
      <c r="AQ68" s="266" t="s">
        <v>2625</v>
      </c>
      <c r="AR68" s="156" t="s">
        <v>2325</v>
      </c>
      <c r="AS68" s="156" t="s">
        <v>2626</v>
      </c>
      <c r="AT68" s="275" t="s">
        <v>2627</v>
      </c>
      <c r="AU68" s="65" t="s">
        <v>53</v>
      </c>
      <c r="AV68" s="65" t="s">
        <v>2054</v>
      </c>
      <c r="AW68" s="65" t="s">
        <v>2178</v>
      </c>
      <c r="AX68" s="275"/>
      <c r="AY68" s="199" t="s">
        <v>2628</v>
      </c>
      <c r="AZ68" s="199" t="s">
        <v>53</v>
      </c>
      <c r="BA68" s="65" t="s">
        <v>2053</v>
      </c>
      <c r="BB68" s="65" t="s">
        <v>2277</v>
      </c>
      <c r="CN68" s="160"/>
      <c r="CQ68" s="205"/>
      <c r="CV68" s="205"/>
      <c r="CW68" s="204"/>
      <c r="CX68" s="160"/>
      <c r="CY68" s="266"/>
      <c r="DW68" s="413" t="s">
        <v>2629</v>
      </c>
      <c r="DY68" s="413" t="s">
        <v>2630</v>
      </c>
      <c r="ED68" s="288"/>
    </row>
    <row r="69" spans="1:134" s="156" customFormat="1" ht="13.5">
      <c r="A69" s="156" t="s">
        <v>2281</v>
      </c>
      <c r="B69" s="156" t="s">
        <v>58</v>
      </c>
      <c r="C69" s="156" t="s">
        <v>58</v>
      </c>
      <c r="D69" s="156" t="s">
        <v>58</v>
      </c>
      <c r="E69" s="160" t="s">
        <v>48</v>
      </c>
      <c r="F69" s="156" t="s">
        <v>2631</v>
      </c>
      <c r="G69" s="44" t="s">
        <v>3100</v>
      </c>
      <c r="H69" s="44" t="s">
        <v>3100</v>
      </c>
      <c r="I69" s="65" t="s">
        <v>3100</v>
      </c>
      <c r="J69" s="344" t="s">
        <v>3101</v>
      </c>
      <c r="K69" s="344" t="s">
        <v>3101</v>
      </c>
      <c r="L69" s="160" t="s">
        <v>52</v>
      </c>
      <c r="M69" s="65" t="s">
        <v>2277</v>
      </c>
      <c r="N69" s="156" t="s">
        <v>1113</v>
      </c>
      <c r="O69" s="156" t="s">
        <v>2617</v>
      </c>
      <c r="P69" s="156" t="s">
        <v>2321</v>
      </c>
      <c r="Q69" s="274" t="s">
        <v>272</v>
      </c>
      <c r="R69" s="156" t="s">
        <v>1025</v>
      </c>
      <c r="S69" s="156" t="s">
        <v>2362</v>
      </c>
      <c r="T69" s="156" t="s">
        <v>1122</v>
      </c>
      <c r="U69" s="156" t="str">
        <f>LOWER(F69)</f>
        <v>ch0_rf_ssi</v>
      </c>
      <c r="V69" s="160" t="s">
        <v>52</v>
      </c>
      <c r="W69" s="156" t="s">
        <v>2619</v>
      </c>
      <c r="X69" s="156" t="s">
        <v>2191</v>
      </c>
      <c r="Y69" s="205" t="s">
        <v>2632</v>
      </c>
      <c r="Z69" s="156" t="s">
        <v>1067</v>
      </c>
      <c r="AA69" s="160" t="s">
        <v>52</v>
      </c>
      <c r="AB69" s="156" t="s">
        <v>2633</v>
      </c>
      <c r="AC69" s="156" t="s">
        <v>2183</v>
      </c>
      <c r="AJ69" s="204"/>
      <c r="AK69" s="160"/>
      <c r="AL69" s="266"/>
      <c r="AO69" s="204" t="s">
        <v>2634</v>
      </c>
      <c r="AP69" s="160" t="s">
        <v>53</v>
      </c>
      <c r="AQ69" s="266" t="s">
        <v>2635</v>
      </c>
      <c r="AR69" s="156" t="s">
        <v>2325</v>
      </c>
      <c r="AS69" s="156" t="s">
        <v>770</v>
      </c>
      <c r="AT69" s="275" t="s">
        <v>1301</v>
      </c>
      <c r="AU69" s="65" t="s">
        <v>53</v>
      </c>
      <c r="AV69" s="65" t="s">
        <v>2054</v>
      </c>
      <c r="AW69" s="65" t="s">
        <v>2178</v>
      </c>
      <c r="AX69" s="275"/>
      <c r="AY69" s="199" t="s">
        <v>2636</v>
      </c>
      <c r="AZ69" s="199" t="s">
        <v>53</v>
      </c>
      <c r="BA69" s="65" t="s">
        <v>2053</v>
      </c>
      <c r="BB69" s="65" t="s">
        <v>2277</v>
      </c>
      <c r="CN69" s="160"/>
      <c r="CQ69" s="205"/>
      <c r="CV69" s="205"/>
      <c r="CW69" s="204"/>
      <c r="CX69" s="160"/>
      <c r="CY69" s="266"/>
      <c r="DW69" s="413"/>
      <c r="DY69" s="413"/>
      <c r="ED69" s="288"/>
    </row>
    <row r="70" spans="1:134" s="156" customFormat="1" ht="12.75">
      <c r="A70" s="156" t="s">
        <v>2281</v>
      </c>
      <c r="B70" s="156" t="s">
        <v>58</v>
      </c>
      <c r="C70" s="156" t="s">
        <v>58</v>
      </c>
      <c r="D70" s="156" t="s">
        <v>58</v>
      </c>
      <c r="E70" s="160" t="s">
        <v>48</v>
      </c>
      <c r="F70" s="156" t="s">
        <v>2637</v>
      </c>
      <c r="G70" s="44" t="s">
        <v>3100</v>
      </c>
      <c r="H70" s="44" t="s">
        <v>3100</v>
      </c>
      <c r="I70" s="65" t="s">
        <v>3100</v>
      </c>
      <c r="J70" s="344" t="s">
        <v>3101</v>
      </c>
      <c r="K70" s="344" t="s">
        <v>3101</v>
      </c>
      <c r="L70" s="160" t="s">
        <v>52</v>
      </c>
      <c r="M70" s="65" t="s">
        <v>2277</v>
      </c>
      <c r="N70" s="156" t="s">
        <v>1113</v>
      </c>
      <c r="O70" s="156" t="s">
        <v>2617</v>
      </c>
      <c r="P70" s="156" t="s">
        <v>2321</v>
      </c>
      <c r="Q70" s="274" t="s">
        <v>272</v>
      </c>
      <c r="R70" s="156" t="s">
        <v>1026</v>
      </c>
      <c r="S70" s="156" t="s">
        <v>2362</v>
      </c>
      <c r="T70" s="156" t="s">
        <v>1122</v>
      </c>
      <c r="U70" s="156" t="str">
        <f>LOWER(F70)</f>
        <v>ch0_rf_tcvr_on</v>
      </c>
      <c r="V70" s="160" t="s">
        <v>53</v>
      </c>
      <c r="W70" s="156" t="s">
        <v>2619</v>
      </c>
      <c r="X70" s="156" t="s">
        <v>2176</v>
      </c>
      <c r="Y70" s="205" t="s">
        <v>2638</v>
      </c>
      <c r="Z70" s="156" t="s">
        <v>1223</v>
      </c>
      <c r="AA70" s="160" t="s">
        <v>52</v>
      </c>
      <c r="AB70" s="156" t="s">
        <v>2639</v>
      </c>
      <c r="AC70" s="156" t="s">
        <v>2183</v>
      </c>
      <c r="AJ70" s="204" t="s">
        <v>2306</v>
      </c>
      <c r="AK70" s="160" t="s">
        <v>53</v>
      </c>
      <c r="AL70" s="266" t="s">
        <v>2640</v>
      </c>
      <c r="AM70" s="156" t="s">
        <v>2183</v>
      </c>
      <c r="AT70" s="275" t="s">
        <v>1302</v>
      </c>
      <c r="AU70" s="65" t="s">
        <v>53</v>
      </c>
      <c r="AV70" s="65" t="s">
        <v>2054</v>
      </c>
      <c r="AW70" s="65" t="s">
        <v>2178</v>
      </c>
      <c r="AX70" s="275"/>
      <c r="AY70" s="65" t="s">
        <v>2068</v>
      </c>
      <c r="AZ70" s="65" t="s">
        <v>53</v>
      </c>
      <c r="BA70" s="65" t="s">
        <v>2053</v>
      </c>
      <c r="BB70" s="65" t="s">
        <v>2277</v>
      </c>
      <c r="CN70" s="160"/>
      <c r="CQ70" s="205"/>
      <c r="CV70" s="205"/>
      <c r="CW70" s="204"/>
      <c r="CX70" s="160"/>
      <c r="CY70" s="266"/>
      <c r="DW70" s="413"/>
      <c r="DY70" s="413"/>
      <c r="ED70" s="288"/>
    </row>
    <row r="71" spans="1:134" s="156" customFormat="1" ht="24.75">
      <c r="A71" s="156" t="s">
        <v>2281</v>
      </c>
      <c r="B71" s="156" t="s">
        <v>2298</v>
      </c>
      <c r="C71" s="156" t="s">
        <v>2298</v>
      </c>
      <c r="D71" s="156" t="s">
        <v>2298</v>
      </c>
      <c r="E71" s="160" t="s">
        <v>48</v>
      </c>
      <c r="F71" s="156" t="s">
        <v>1959</v>
      </c>
      <c r="G71" s="44" t="s">
        <v>3127</v>
      </c>
      <c r="H71" s="44" t="s">
        <v>3124</v>
      </c>
      <c r="I71" s="65" t="s">
        <v>3100</v>
      </c>
      <c r="J71" s="344" t="s">
        <v>3101</v>
      </c>
      <c r="K71" s="344" t="s">
        <v>3101</v>
      </c>
      <c r="L71" s="160" t="s">
        <v>52</v>
      </c>
      <c r="M71" s="65" t="s">
        <v>2277</v>
      </c>
      <c r="N71" s="156" t="s">
        <v>1113</v>
      </c>
      <c r="O71" s="156" t="s">
        <v>2617</v>
      </c>
      <c r="P71" s="156" t="s">
        <v>2321</v>
      </c>
      <c r="Q71" s="202" t="s">
        <v>86</v>
      </c>
      <c r="R71" s="156" t="s">
        <v>1027</v>
      </c>
      <c r="S71" s="156" t="s">
        <v>2362</v>
      </c>
      <c r="T71" s="156" t="s">
        <v>1122</v>
      </c>
      <c r="U71" s="156" t="s">
        <v>714</v>
      </c>
      <c r="V71" s="160" t="s">
        <v>52</v>
      </c>
      <c r="W71" s="156" t="s">
        <v>2641</v>
      </c>
      <c r="X71" s="156" t="s">
        <v>2183</v>
      </c>
      <c r="Z71" s="156" t="s">
        <v>2642</v>
      </c>
      <c r="AA71" s="160" t="s">
        <v>53</v>
      </c>
      <c r="AB71" s="156" t="s">
        <v>2643</v>
      </c>
      <c r="AC71" s="156" t="s">
        <v>2176</v>
      </c>
      <c r="AD71" s="160" t="s">
        <v>2644</v>
      </c>
      <c r="AE71" s="156" t="s">
        <v>2645</v>
      </c>
      <c r="AF71" s="160" t="s">
        <v>53</v>
      </c>
      <c r="AG71" s="156" t="s">
        <v>2646</v>
      </c>
      <c r="AH71" s="156" t="s">
        <v>2277</v>
      </c>
      <c r="AI71" s="205" t="s">
        <v>2647</v>
      </c>
      <c r="AJ71" s="204" t="s">
        <v>2303</v>
      </c>
      <c r="AK71" s="160" t="s">
        <v>53</v>
      </c>
      <c r="AL71" s="266" t="s">
        <v>2648</v>
      </c>
      <c r="AM71" s="156" t="s">
        <v>2183</v>
      </c>
      <c r="AO71" s="156" t="s">
        <v>2516</v>
      </c>
      <c r="AP71" s="156" t="s">
        <v>53</v>
      </c>
      <c r="AQ71" s="156" t="s">
        <v>2649</v>
      </c>
      <c r="AR71" s="156" t="s">
        <v>2176</v>
      </c>
      <c r="AS71" s="156" t="s">
        <v>643</v>
      </c>
      <c r="AT71" s="275" t="s">
        <v>1303</v>
      </c>
      <c r="AU71" s="65" t="s">
        <v>53</v>
      </c>
      <c r="AV71" s="65" t="s">
        <v>2054</v>
      </c>
      <c r="AW71" s="65" t="s">
        <v>2178</v>
      </c>
      <c r="AX71" s="275"/>
      <c r="AY71" s="65" t="s">
        <v>2067</v>
      </c>
      <c r="AZ71" s="65" t="s">
        <v>53</v>
      </c>
      <c r="BA71" s="65" t="s">
        <v>2053</v>
      </c>
      <c r="BB71" s="65" t="s">
        <v>2277</v>
      </c>
      <c r="CM71" s="182"/>
      <c r="CN71" s="160"/>
      <c r="CQ71" s="160"/>
      <c r="CS71" s="160"/>
      <c r="CV71" s="205"/>
      <c r="CW71" s="204"/>
      <c r="CX71" s="160"/>
      <c r="CY71" s="266"/>
      <c r="DW71" s="413"/>
      <c r="DY71" s="413"/>
      <c r="ED71" s="288"/>
    </row>
    <row r="72" spans="1:134" s="156" customFormat="1">
      <c r="A72" s="156" t="s">
        <v>2281</v>
      </c>
      <c r="B72" s="156" t="s">
        <v>2298</v>
      </c>
      <c r="C72" s="156" t="s">
        <v>2298</v>
      </c>
      <c r="D72" s="156" t="s">
        <v>2298</v>
      </c>
      <c r="E72" s="160" t="s">
        <v>48</v>
      </c>
      <c r="F72" s="156" t="s">
        <v>1960</v>
      </c>
      <c r="G72" s="44" t="s">
        <v>3128</v>
      </c>
      <c r="H72" s="44" t="s">
        <v>3124</v>
      </c>
      <c r="I72" s="65" t="s">
        <v>3100</v>
      </c>
      <c r="J72" s="344" t="s">
        <v>3101</v>
      </c>
      <c r="K72" s="344" t="s">
        <v>3101</v>
      </c>
      <c r="L72" s="160" t="s">
        <v>52</v>
      </c>
      <c r="M72" s="65" t="s">
        <v>2277</v>
      </c>
      <c r="N72" s="156" t="s">
        <v>1113</v>
      </c>
      <c r="O72" s="156" t="s">
        <v>2617</v>
      </c>
      <c r="P72" s="156" t="s">
        <v>2321</v>
      </c>
      <c r="Q72" s="202" t="s">
        <v>86</v>
      </c>
      <c r="R72" s="156" t="s">
        <v>1028</v>
      </c>
      <c r="S72" s="156" t="s">
        <v>2362</v>
      </c>
      <c r="T72" s="156" t="s">
        <v>1122</v>
      </c>
      <c r="U72" s="156" t="s">
        <v>715</v>
      </c>
      <c r="V72" s="160" t="s">
        <v>52</v>
      </c>
      <c r="W72" s="156" t="s">
        <v>2650</v>
      </c>
      <c r="X72" s="156" t="s">
        <v>2183</v>
      </c>
      <c r="Z72" s="156" t="s">
        <v>2651</v>
      </c>
      <c r="AA72" s="160" t="s">
        <v>53</v>
      </c>
      <c r="AB72" s="156" t="s">
        <v>2652</v>
      </c>
      <c r="AC72" s="156" t="s">
        <v>2195</v>
      </c>
      <c r="AD72" s="205"/>
      <c r="AF72" s="160"/>
      <c r="AI72" s="205"/>
      <c r="AJ72" s="204" t="s">
        <v>2308</v>
      </c>
      <c r="AK72" s="160" t="s">
        <v>54</v>
      </c>
      <c r="AL72" s="266" t="s">
        <v>2653</v>
      </c>
      <c r="AM72" s="156" t="s">
        <v>2183</v>
      </c>
      <c r="AO72" s="156" t="s">
        <v>1288</v>
      </c>
      <c r="AP72" s="156" t="s">
        <v>53</v>
      </c>
      <c r="AQ72" s="156" t="s">
        <v>2654</v>
      </c>
      <c r="AR72" s="156" t="s">
        <v>2176</v>
      </c>
      <c r="AS72" s="156" t="s">
        <v>644</v>
      </c>
      <c r="AT72" s="275" t="s">
        <v>1304</v>
      </c>
      <c r="AU72" s="65" t="s">
        <v>53</v>
      </c>
      <c r="AV72" s="65" t="s">
        <v>2054</v>
      </c>
      <c r="AW72" s="65" t="s">
        <v>2178</v>
      </c>
      <c r="AX72" s="275"/>
      <c r="AY72" s="65" t="s">
        <v>2066</v>
      </c>
      <c r="AZ72" s="65" t="s">
        <v>53</v>
      </c>
      <c r="BA72" s="65" t="s">
        <v>2053</v>
      </c>
      <c r="BB72" s="65" t="s">
        <v>2277</v>
      </c>
      <c r="CM72" s="182"/>
      <c r="CN72" s="160"/>
      <c r="CQ72" s="205"/>
      <c r="CS72" s="160"/>
      <c r="CV72" s="205"/>
      <c r="CW72" s="204"/>
      <c r="CX72" s="160"/>
      <c r="CY72" s="266"/>
      <c r="DW72" s="413"/>
      <c r="DY72" s="413"/>
      <c r="ED72" s="288"/>
    </row>
    <row r="73" spans="1:134" s="206" customFormat="1">
      <c r="A73" s="156" t="s">
        <v>2281</v>
      </c>
      <c r="B73" s="156" t="s">
        <v>2298</v>
      </c>
      <c r="C73" s="156" t="s">
        <v>2298</v>
      </c>
      <c r="D73" s="156" t="s">
        <v>2298</v>
      </c>
      <c r="E73" s="160" t="s">
        <v>48</v>
      </c>
      <c r="F73" s="156" t="s">
        <v>1961</v>
      </c>
      <c r="G73" s="44" t="s">
        <v>3129</v>
      </c>
      <c r="H73" s="44" t="s">
        <v>3100</v>
      </c>
      <c r="I73" s="65" t="s">
        <v>3100</v>
      </c>
      <c r="J73" s="344" t="s">
        <v>3101</v>
      </c>
      <c r="K73" s="344" t="s">
        <v>3101</v>
      </c>
      <c r="L73" s="160" t="s">
        <v>52</v>
      </c>
      <c r="M73" s="65" t="s">
        <v>2277</v>
      </c>
      <c r="N73" s="156" t="s">
        <v>1113</v>
      </c>
      <c r="O73" s="156" t="s">
        <v>2617</v>
      </c>
      <c r="P73" s="156" t="s">
        <v>183</v>
      </c>
      <c r="Q73" s="202" t="s">
        <v>86</v>
      </c>
      <c r="R73" s="156" t="s">
        <v>1029</v>
      </c>
      <c r="S73" s="156" t="s">
        <v>2362</v>
      </c>
      <c r="T73" s="156" t="s">
        <v>1125</v>
      </c>
      <c r="U73" s="156" t="s">
        <v>1962</v>
      </c>
      <c r="V73" s="160" t="s">
        <v>52</v>
      </c>
      <c r="W73" s="156" t="s">
        <v>2655</v>
      </c>
      <c r="X73" s="156" t="s">
        <v>2183</v>
      </c>
      <c r="Y73" s="156"/>
      <c r="Z73" s="156" t="s">
        <v>2656</v>
      </c>
      <c r="AA73" s="160" t="s">
        <v>52</v>
      </c>
      <c r="AB73" s="156" t="s">
        <v>2652</v>
      </c>
      <c r="AC73" s="156" t="s">
        <v>2195</v>
      </c>
      <c r="AD73" s="205"/>
      <c r="AE73" s="156"/>
      <c r="AF73" s="160"/>
      <c r="AG73" s="156"/>
      <c r="AH73" s="156"/>
      <c r="AI73" s="205"/>
      <c r="AJ73" s="204" t="s">
        <v>2304</v>
      </c>
      <c r="AK73" s="160" t="s">
        <v>53</v>
      </c>
      <c r="AL73" s="266" t="s">
        <v>2657</v>
      </c>
      <c r="AM73" s="156" t="s">
        <v>2183</v>
      </c>
      <c r="AN73" s="156"/>
      <c r="AO73" s="156" t="s">
        <v>1289</v>
      </c>
      <c r="AP73" s="156" t="s">
        <v>53</v>
      </c>
      <c r="AQ73" s="156" t="s">
        <v>2658</v>
      </c>
      <c r="AR73" s="156" t="s">
        <v>2176</v>
      </c>
      <c r="AS73" s="156" t="s">
        <v>645</v>
      </c>
      <c r="AT73" s="275" t="s">
        <v>2659</v>
      </c>
      <c r="AU73" s="65" t="s">
        <v>53</v>
      </c>
      <c r="AV73" s="65" t="s">
        <v>2054</v>
      </c>
      <c r="AW73" s="65" t="s">
        <v>2178</v>
      </c>
      <c r="AX73" s="275"/>
      <c r="AY73" s="65" t="s">
        <v>2065</v>
      </c>
      <c r="AZ73" s="65" t="s">
        <v>53</v>
      </c>
      <c r="BA73" s="65" t="s">
        <v>2053</v>
      </c>
      <c r="BB73" s="65" t="s">
        <v>2277</v>
      </c>
      <c r="BC73" s="156"/>
      <c r="BD73" s="156"/>
      <c r="BE73" s="156"/>
      <c r="BF73" s="156"/>
      <c r="BG73" s="156"/>
      <c r="BH73" s="156"/>
      <c r="BI73" s="156"/>
      <c r="BJ73" s="156"/>
      <c r="BK73" s="156"/>
      <c r="BL73" s="156"/>
      <c r="BM73" s="156"/>
      <c r="BN73" s="156"/>
      <c r="BO73" s="156"/>
      <c r="BP73" s="156"/>
      <c r="BQ73" s="156"/>
      <c r="BR73" s="156"/>
      <c r="BS73" s="156"/>
      <c r="BT73" s="156"/>
      <c r="BU73" s="156"/>
      <c r="BV73" s="156"/>
      <c r="BW73" s="156"/>
      <c r="BX73" s="156"/>
      <c r="BY73" s="156"/>
      <c r="BZ73" s="156"/>
      <c r="CA73" s="156"/>
      <c r="CB73" s="156"/>
      <c r="CC73" s="156"/>
      <c r="CD73" s="156"/>
      <c r="CE73" s="156"/>
      <c r="CF73" s="156"/>
      <c r="CG73" s="156"/>
      <c r="CH73" s="156"/>
      <c r="CI73" s="156"/>
      <c r="CJ73" s="156"/>
      <c r="CK73" s="156"/>
      <c r="CL73" s="156"/>
      <c r="CM73" s="182"/>
      <c r="CN73" s="160"/>
      <c r="CO73" s="156"/>
      <c r="CP73" s="156"/>
      <c r="CQ73" s="205"/>
      <c r="CR73" s="156"/>
      <c r="CS73" s="160"/>
      <c r="CT73" s="156"/>
      <c r="CU73" s="156"/>
      <c r="CV73" s="205"/>
      <c r="CW73" s="204"/>
      <c r="CX73" s="160"/>
      <c r="CY73" s="266"/>
      <c r="CZ73" s="156"/>
      <c r="DA73" s="156"/>
      <c r="DB73" s="156"/>
      <c r="DC73" s="156"/>
      <c r="DD73" s="156"/>
      <c r="DE73" s="156"/>
      <c r="DF73" s="156"/>
      <c r="DG73" s="156"/>
      <c r="DH73" s="156"/>
      <c r="DI73" s="156"/>
      <c r="DJ73" s="156"/>
      <c r="DK73" s="156"/>
      <c r="DL73" s="156"/>
      <c r="DM73" s="156"/>
      <c r="DN73" s="156"/>
      <c r="DO73" s="156"/>
      <c r="DP73" s="156"/>
      <c r="DQ73" s="156"/>
      <c r="DR73" s="156"/>
      <c r="DS73" s="156"/>
      <c r="DT73" s="156"/>
      <c r="DU73" s="156"/>
      <c r="DV73" s="156"/>
      <c r="DW73" s="413"/>
      <c r="DX73" s="156"/>
      <c r="DY73" s="413"/>
      <c r="DZ73" s="156"/>
      <c r="EA73" s="156"/>
      <c r="EB73" s="156"/>
      <c r="EC73" s="156"/>
    </row>
    <row r="74" spans="1:134" s="258" customFormat="1">
      <c r="A74" s="218" t="s">
        <v>2660</v>
      </c>
      <c r="B74" s="150"/>
      <c r="C74" s="150"/>
      <c r="D74" s="150"/>
      <c r="E74" s="150"/>
      <c r="F74" s="150"/>
      <c r="G74" s="343"/>
      <c r="H74" s="343"/>
      <c r="I74" s="343"/>
      <c r="J74" s="343"/>
      <c r="K74" s="343"/>
      <c r="L74" s="38"/>
      <c r="M74" s="38"/>
      <c r="N74" s="38"/>
      <c r="O74" s="38"/>
      <c r="P74" s="38"/>
      <c r="Q74" s="38"/>
      <c r="R74" s="38"/>
      <c r="S74" s="38"/>
      <c r="T74" s="36"/>
      <c r="U74" s="36"/>
      <c r="V74" s="36"/>
      <c r="W74" s="36"/>
      <c r="X74" s="36"/>
      <c r="Y74" s="148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6"/>
      <c r="CP74" s="36"/>
      <c r="CQ74" s="36"/>
      <c r="CR74" s="36"/>
      <c r="CS74" s="36"/>
      <c r="CT74" s="36"/>
      <c r="CU74" s="36"/>
      <c r="CV74" s="36"/>
      <c r="CW74" s="36"/>
      <c r="CX74" s="36"/>
      <c r="CY74" s="36"/>
      <c r="CZ74" s="36"/>
      <c r="DA74" s="36"/>
      <c r="DB74" s="36"/>
      <c r="DC74" s="36"/>
      <c r="DD74" s="36"/>
      <c r="DE74" s="36"/>
      <c r="DF74" s="36"/>
      <c r="DG74" s="36"/>
      <c r="DH74" s="36"/>
      <c r="DI74" s="36"/>
      <c r="DJ74" s="36"/>
      <c r="DK74" s="36"/>
      <c r="DL74" s="36"/>
      <c r="DM74" s="36"/>
      <c r="DN74" s="36"/>
      <c r="DO74" s="36"/>
      <c r="DP74" s="36"/>
      <c r="DQ74" s="36"/>
      <c r="DR74" s="36"/>
      <c r="DS74" s="36"/>
      <c r="DT74" s="36"/>
      <c r="DU74" s="36"/>
      <c r="DV74" s="289"/>
      <c r="DW74" s="300"/>
      <c r="DX74" s="300"/>
      <c r="DY74" s="300"/>
      <c r="DZ74" s="300"/>
    </row>
    <row r="75" spans="1:134" s="156" customFormat="1" ht="12.75">
      <c r="A75" s="156" t="s">
        <v>2281</v>
      </c>
      <c r="B75" s="156" t="s">
        <v>58</v>
      </c>
      <c r="C75" s="156" t="s">
        <v>58</v>
      </c>
      <c r="D75" s="156" t="s">
        <v>58</v>
      </c>
      <c r="E75" s="160" t="s">
        <v>48</v>
      </c>
      <c r="F75" s="156" t="s">
        <v>2057</v>
      </c>
      <c r="G75" s="44" t="s">
        <v>3100</v>
      </c>
      <c r="H75" s="44" t="s">
        <v>3100</v>
      </c>
      <c r="I75" s="65" t="s">
        <v>3100</v>
      </c>
      <c r="J75" s="344" t="s">
        <v>3101</v>
      </c>
      <c r="K75" s="344" t="s">
        <v>3101</v>
      </c>
      <c r="L75" s="160" t="s">
        <v>52</v>
      </c>
      <c r="M75" s="65" t="s">
        <v>2277</v>
      </c>
      <c r="N75" s="156" t="s">
        <v>1113</v>
      </c>
      <c r="O75" s="156" t="s">
        <v>2617</v>
      </c>
      <c r="P75" s="156" t="s">
        <v>2321</v>
      </c>
      <c r="Q75" s="274" t="s">
        <v>272</v>
      </c>
      <c r="R75" s="156" t="s">
        <v>2661</v>
      </c>
      <c r="S75" s="156" t="s">
        <v>2362</v>
      </c>
      <c r="T75" s="156" t="s">
        <v>1123</v>
      </c>
      <c r="U75" s="156" t="str">
        <f>LOWER(F75)</f>
        <v>ch1_rf_resetn</v>
      </c>
      <c r="V75" s="160" t="s">
        <v>53</v>
      </c>
      <c r="W75" s="156" t="s">
        <v>2662</v>
      </c>
      <c r="X75" s="156" t="s">
        <v>2176</v>
      </c>
      <c r="Y75" s="205" t="s">
        <v>2663</v>
      </c>
      <c r="Z75" s="156" t="s">
        <v>2664</v>
      </c>
      <c r="AA75" s="160" t="s">
        <v>52</v>
      </c>
      <c r="AB75" s="156" t="s">
        <v>2060</v>
      </c>
      <c r="AC75" s="156" t="s">
        <v>2183</v>
      </c>
      <c r="AJ75" s="204" t="s">
        <v>2307</v>
      </c>
      <c r="AK75" s="160" t="s">
        <v>53</v>
      </c>
      <c r="AL75" s="156" t="s">
        <v>2665</v>
      </c>
      <c r="AM75" s="156" t="s">
        <v>2183</v>
      </c>
      <c r="AO75" s="204" t="s">
        <v>2624</v>
      </c>
      <c r="AP75" s="160" t="s">
        <v>53</v>
      </c>
      <c r="AQ75" s="266" t="s">
        <v>2666</v>
      </c>
      <c r="AR75" s="156" t="s">
        <v>2325</v>
      </c>
      <c r="AS75" s="156" t="s">
        <v>2626</v>
      </c>
      <c r="AW75" s="278"/>
      <c r="AX75" s="278"/>
      <c r="AY75" s="65" t="s">
        <v>2667</v>
      </c>
      <c r="AZ75" s="65" t="s">
        <v>53</v>
      </c>
      <c r="BA75" s="65" t="s">
        <v>2053</v>
      </c>
      <c r="BB75" s="65" t="s">
        <v>2277</v>
      </c>
      <c r="CN75" s="160"/>
      <c r="CQ75" s="205"/>
      <c r="CV75" s="205"/>
      <c r="CW75" s="204"/>
      <c r="CX75" s="160"/>
      <c r="DW75" s="414" t="s">
        <v>2629</v>
      </c>
      <c r="DY75" s="414" t="s">
        <v>2630</v>
      </c>
      <c r="ED75" s="288"/>
    </row>
    <row r="76" spans="1:134" s="156" customFormat="1" ht="13.5">
      <c r="A76" s="156" t="s">
        <v>2281</v>
      </c>
      <c r="B76" s="156" t="s">
        <v>58</v>
      </c>
      <c r="C76" s="156" t="s">
        <v>58</v>
      </c>
      <c r="D76" s="156" t="s">
        <v>2298</v>
      </c>
      <c r="E76" s="160" t="s">
        <v>48</v>
      </c>
      <c r="F76" s="156" t="s">
        <v>2058</v>
      </c>
      <c r="G76" s="44" t="s">
        <v>3100</v>
      </c>
      <c r="H76" s="44" t="s">
        <v>3100</v>
      </c>
      <c r="I76" s="65" t="s">
        <v>3100</v>
      </c>
      <c r="J76" s="344" t="s">
        <v>3101</v>
      </c>
      <c r="K76" s="344" t="s">
        <v>3101</v>
      </c>
      <c r="L76" s="160" t="s">
        <v>52</v>
      </c>
      <c r="M76" s="65" t="s">
        <v>2277</v>
      </c>
      <c r="N76" s="156" t="s">
        <v>1113</v>
      </c>
      <c r="O76" s="156" t="s">
        <v>2617</v>
      </c>
      <c r="P76" s="156" t="s">
        <v>2321</v>
      </c>
      <c r="Q76" s="274" t="s">
        <v>272</v>
      </c>
      <c r="R76" s="156" t="s">
        <v>1030</v>
      </c>
      <c r="S76" s="156" t="s">
        <v>2362</v>
      </c>
      <c r="T76" s="156" t="s">
        <v>1123</v>
      </c>
      <c r="U76" s="156" t="str">
        <f>LOWER(F76)</f>
        <v>ch1_rf_ssi</v>
      </c>
      <c r="V76" s="160" t="s">
        <v>52</v>
      </c>
      <c r="W76" s="156" t="s">
        <v>2662</v>
      </c>
      <c r="X76" s="156" t="s">
        <v>2191</v>
      </c>
      <c r="Y76" s="205" t="s">
        <v>2668</v>
      </c>
      <c r="Z76" s="156" t="s">
        <v>716</v>
      </c>
      <c r="AA76" s="160" t="s">
        <v>52</v>
      </c>
      <c r="AB76" s="156" t="s">
        <v>2061</v>
      </c>
      <c r="AC76" s="156" t="s">
        <v>2183</v>
      </c>
      <c r="AJ76" s="204"/>
      <c r="AK76" s="160"/>
      <c r="AO76" s="204" t="s">
        <v>2634</v>
      </c>
      <c r="AP76" s="160" t="s">
        <v>53</v>
      </c>
      <c r="AQ76" s="266" t="s">
        <v>2669</v>
      </c>
      <c r="AR76" s="156" t="s">
        <v>2325</v>
      </c>
      <c r="AS76" s="156" t="s">
        <v>770</v>
      </c>
      <c r="AW76" s="278"/>
      <c r="AX76" s="278"/>
      <c r="AY76" s="160" t="s">
        <v>2670</v>
      </c>
      <c r="AZ76" s="160" t="s">
        <v>53</v>
      </c>
      <c r="BA76" s="65" t="s">
        <v>2053</v>
      </c>
      <c r="BB76" s="65" t="s">
        <v>2277</v>
      </c>
      <c r="CN76" s="160"/>
      <c r="CQ76" s="205"/>
      <c r="CV76" s="205"/>
      <c r="CW76" s="204"/>
      <c r="CX76" s="160"/>
      <c r="DW76" s="415"/>
      <c r="DY76" s="415"/>
      <c r="ED76" s="288"/>
    </row>
    <row r="77" spans="1:134" s="156" customFormat="1" ht="12.75">
      <c r="A77" s="156" t="s">
        <v>2281</v>
      </c>
      <c r="B77" s="156" t="s">
        <v>2298</v>
      </c>
      <c r="C77" s="156" t="s">
        <v>2298</v>
      </c>
      <c r="D77" s="156" t="s">
        <v>2298</v>
      </c>
      <c r="E77" s="160" t="s">
        <v>48</v>
      </c>
      <c r="F77" s="156" t="s">
        <v>2059</v>
      </c>
      <c r="G77" s="44" t="s">
        <v>3100</v>
      </c>
      <c r="H77" s="44" t="s">
        <v>3100</v>
      </c>
      <c r="I77" s="65" t="s">
        <v>3100</v>
      </c>
      <c r="J77" s="344" t="s">
        <v>3101</v>
      </c>
      <c r="K77" s="344" t="s">
        <v>3101</v>
      </c>
      <c r="L77" s="160" t="s">
        <v>52</v>
      </c>
      <c r="M77" s="65" t="s">
        <v>2277</v>
      </c>
      <c r="N77" s="156" t="s">
        <v>1113</v>
      </c>
      <c r="O77" s="156" t="s">
        <v>2617</v>
      </c>
      <c r="P77" s="156" t="s">
        <v>2321</v>
      </c>
      <c r="Q77" s="274" t="s">
        <v>272</v>
      </c>
      <c r="R77" s="156" t="s">
        <v>1092</v>
      </c>
      <c r="S77" s="156" t="s">
        <v>2362</v>
      </c>
      <c r="T77" s="156" t="s">
        <v>1123</v>
      </c>
      <c r="U77" s="156" t="str">
        <f>LOWER(F77)</f>
        <v>ch1_rf_tcvr_on</v>
      </c>
      <c r="V77" s="160" t="s">
        <v>53</v>
      </c>
      <c r="W77" s="156" t="s">
        <v>2662</v>
      </c>
      <c r="X77" s="156" t="s">
        <v>2176</v>
      </c>
      <c r="Y77" s="205" t="s">
        <v>2671</v>
      </c>
      <c r="Z77" s="156" t="s">
        <v>717</v>
      </c>
      <c r="AA77" s="160" t="s">
        <v>52</v>
      </c>
      <c r="AB77" s="156" t="s">
        <v>2062</v>
      </c>
      <c r="AC77" s="156" t="s">
        <v>2183</v>
      </c>
      <c r="AJ77" s="204" t="s">
        <v>2306</v>
      </c>
      <c r="AK77" s="160" t="s">
        <v>53</v>
      </c>
      <c r="AL77" s="156" t="s">
        <v>2672</v>
      </c>
      <c r="AM77" s="156" t="s">
        <v>2183</v>
      </c>
      <c r="AW77" s="199"/>
      <c r="AX77" s="275"/>
      <c r="AY77" s="160" t="s">
        <v>2673</v>
      </c>
      <c r="AZ77" s="160" t="s">
        <v>53</v>
      </c>
      <c r="BA77" s="65" t="s">
        <v>2053</v>
      </c>
      <c r="BB77" s="65" t="s">
        <v>2277</v>
      </c>
      <c r="CN77" s="160"/>
      <c r="CQ77" s="205"/>
      <c r="CV77" s="205"/>
      <c r="CW77" s="204"/>
      <c r="CX77" s="160"/>
      <c r="DW77" s="415"/>
      <c r="DY77" s="415"/>
      <c r="ED77" s="288"/>
    </row>
    <row r="78" spans="1:134" s="206" customFormat="1" ht="25.5">
      <c r="A78" s="156" t="s">
        <v>2281</v>
      </c>
      <c r="B78" s="156" t="s">
        <v>2298</v>
      </c>
      <c r="C78" s="156" t="s">
        <v>2298</v>
      </c>
      <c r="D78" s="156" t="s">
        <v>2298</v>
      </c>
      <c r="E78" s="160" t="s">
        <v>48</v>
      </c>
      <c r="F78" s="156" t="s">
        <v>1963</v>
      </c>
      <c r="G78" s="44" t="s">
        <v>1058</v>
      </c>
      <c r="H78" s="44" t="s">
        <v>3124</v>
      </c>
      <c r="I78" s="65" t="s">
        <v>3100</v>
      </c>
      <c r="J78" s="344" t="s">
        <v>3101</v>
      </c>
      <c r="K78" s="344" t="s">
        <v>3101</v>
      </c>
      <c r="L78" s="160" t="s">
        <v>52</v>
      </c>
      <c r="M78" s="65" t="s">
        <v>2277</v>
      </c>
      <c r="N78" s="156" t="s">
        <v>1113</v>
      </c>
      <c r="O78" s="156" t="s">
        <v>2617</v>
      </c>
      <c r="P78" s="156" t="s">
        <v>183</v>
      </c>
      <c r="Q78" s="202" t="s">
        <v>86</v>
      </c>
      <c r="R78" s="156" t="s">
        <v>1031</v>
      </c>
      <c r="S78" s="156" t="s">
        <v>2362</v>
      </c>
      <c r="T78" s="156" t="s">
        <v>1123</v>
      </c>
      <c r="U78" s="156" t="s">
        <v>718</v>
      </c>
      <c r="V78" s="160" t="s">
        <v>52</v>
      </c>
      <c r="W78" s="156" t="s">
        <v>3093</v>
      </c>
      <c r="X78" s="156" t="s">
        <v>2183</v>
      </c>
      <c r="Y78" s="156"/>
      <c r="Z78" s="156" t="s">
        <v>2642</v>
      </c>
      <c r="AA78" s="160" t="s">
        <v>53</v>
      </c>
      <c r="AB78" s="156" t="s">
        <v>2674</v>
      </c>
      <c r="AC78" s="156" t="s">
        <v>2176</v>
      </c>
      <c r="AD78" s="160" t="s">
        <v>2644</v>
      </c>
      <c r="AE78" s="156" t="s">
        <v>1058</v>
      </c>
      <c r="AF78" s="160" t="s">
        <v>53</v>
      </c>
      <c r="AG78" s="156" t="s">
        <v>2675</v>
      </c>
      <c r="AH78" s="156" t="s">
        <v>2277</v>
      </c>
      <c r="AI78" s="205" t="s">
        <v>769</v>
      </c>
      <c r="AJ78" s="204" t="s">
        <v>2303</v>
      </c>
      <c r="AK78" s="160" t="s">
        <v>53</v>
      </c>
      <c r="AL78" s="156" t="s">
        <v>2676</v>
      </c>
      <c r="AM78" s="156" t="s">
        <v>2183</v>
      </c>
      <c r="AN78" s="156"/>
      <c r="AO78" s="156" t="s">
        <v>2516</v>
      </c>
      <c r="AP78" s="156" t="s">
        <v>53</v>
      </c>
      <c r="AQ78" s="156" t="s">
        <v>2677</v>
      </c>
      <c r="AR78" s="156" t="s">
        <v>2176</v>
      </c>
      <c r="AS78" s="156" t="s">
        <v>643</v>
      </c>
      <c r="AT78" s="156"/>
      <c r="AU78" s="156"/>
      <c r="AV78" s="156"/>
      <c r="AW78" s="278"/>
      <c r="AX78" s="278"/>
      <c r="AY78" s="160" t="s">
        <v>2678</v>
      </c>
      <c r="AZ78" s="160" t="s">
        <v>53</v>
      </c>
      <c r="BA78" s="65" t="s">
        <v>2053</v>
      </c>
      <c r="BB78" s="65" t="s">
        <v>2277</v>
      </c>
      <c r="BC78" s="156"/>
      <c r="BD78" s="156"/>
      <c r="BE78" s="156"/>
      <c r="BF78" s="156"/>
      <c r="BG78" s="156"/>
      <c r="BH78" s="156"/>
      <c r="BI78" s="156"/>
      <c r="BJ78" s="156"/>
      <c r="BK78" s="156"/>
      <c r="BL78" s="156"/>
      <c r="BM78" s="156"/>
      <c r="BN78" s="156"/>
      <c r="BO78" s="156"/>
      <c r="BP78" s="156"/>
      <c r="BQ78" s="156"/>
      <c r="BR78" s="156"/>
      <c r="BS78" s="156"/>
      <c r="BT78" s="156"/>
      <c r="BU78" s="156"/>
      <c r="BV78" s="156"/>
      <c r="BW78" s="156"/>
      <c r="BX78" s="156"/>
      <c r="BY78" s="156"/>
      <c r="BZ78" s="156"/>
      <c r="CA78" s="156"/>
      <c r="CB78" s="156"/>
      <c r="CC78" s="156"/>
      <c r="CD78" s="156"/>
      <c r="CE78" s="156"/>
      <c r="CF78" s="156"/>
      <c r="CG78" s="156"/>
      <c r="CH78" s="156"/>
      <c r="CI78" s="156"/>
      <c r="CJ78" s="156"/>
      <c r="CK78" s="156"/>
      <c r="CL78" s="156"/>
      <c r="CM78" s="182"/>
      <c r="CN78" s="160"/>
      <c r="CO78" s="156"/>
      <c r="CP78" s="156"/>
      <c r="CQ78" s="160"/>
      <c r="CR78" s="156"/>
      <c r="CS78" s="160"/>
      <c r="CT78" s="156"/>
      <c r="CU78" s="156"/>
      <c r="CV78" s="205"/>
      <c r="CW78" s="204"/>
      <c r="CX78" s="160"/>
      <c r="CY78" s="156"/>
      <c r="CZ78" s="156"/>
      <c r="DA78" s="156"/>
      <c r="DB78" s="156"/>
      <c r="DC78" s="156"/>
      <c r="DD78" s="156"/>
      <c r="DE78" s="156"/>
      <c r="DF78" s="156"/>
      <c r="DG78" s="156"/>
      <c r="DH78" s="156"/>
      <c r="DI78" s="156"/>
      <c r="DJ78" s="156"/>
      <c r="DK78" s="156"/>
      <c r="DL78" s="156"/>
      <c r="DM78" s="156"/>
      <c r="DN78" s="156"/>
      <c r="DO78" s="156"/>
      <c r="DP78" s="156"/>
      <c r="DQ78" s="156"/>
      <c r="DR78" s="156"/>
      <c r="DS78" s="156"/>
      <c r="DT78" s="156"/>
      <c r="DU78" s="156"/>
      <c r="DV78" s="156"/>
      <c r="DW78" s="415"/>
      <c r="DX78" s="156"/>
      <c r="DY78" s="415"/>
      <c r="DZ78" s="156"/>
      <c r="EA78" s="156"/>
      <c r="EB78" s="156"/>
      <c r="EC78" s="156"/>
    </row>
    <row r="79" spans="1:134" s="206" customFormat="1">
      <c r="A79" s="156" t="s">
        <v>2281</v>
      </c>
      <c r="B79" s="156" t="s">
        <v>2298</v>
      </c>
      <c r="C79" s="156" t="s">
        <v>2298</v>
      </c>
      <c r="D79" s="156" t="s">
        <v>2298</v>
      </c>
      <c r="E79" s="160" t="s">
        <v>48</v>
      </c>
      <c r="F79" s="156" t="s">
        <v>1964</v>
      </c>
      <c r="G79" s="44" t="s">
        <v>3125</v>
      </c>
      <c r="H79" s="44" t="s">
        <v>3124</v>
      </c>
      <c r="I79" s="65" t="s">
        <v>3100</v>
      </c>
      <c r="J79" s="344" t="s">
        <v>3101</v>
      </c>
      <c r="K79" s="344" t="s">
        <v>3101</v>
      </c>
      <c r="L79" s="160" t="s">
        <v>52</v>
      </c>
      <c r="M79" s="65" t="s">
        <v>2277</v>
      </c>
      <c r="N79" s="156" t="s">
        <v>1113</v>
      </c>
      <c r="O79" s="156" t="s">
        <v>2617</v>
      </c>
      <c r="P79" s="156" t="s">
        <v>183</v>
      </c>
      <c r="Q79" s="202" t="s">
        <v>86</v>
      </c>
      <c r="R79" s="156" t="s">
        <v>1356</v>
      </c>
      <c r="S79" s="156" t="s">
        <v>2362</v>
      </c>
      <c r="T79" s="156" t="s">
        <v>1123</v>
      </c>
      <c r="U79" s="156" t="s">
        <v>719</v>
      </c>
      <c r="V79" s="160" t="s">
        <v>52</v>
      </c>
      <c r="W79" s="156" t="s">
        <v>2679</v>
      </c>
      <c r="X79" s="156" t="s">
        <v>2183</v>
      </c>
      <c r="Y79" s="156"/>
      <c r="Z79" s="156" t="s">
        <v>2680</v>
      </c>
      <c r="AA79" s="160" t="s">
        <v>53</v>
      </c>
      <c r="AB79" s="156" t="s">
        <v>2681</v>
      </c>
      <c r="AC79" s="156" t="s">
        <v>2195</v>
      </c>
      <c r="AD79" s="205"/>
      <c r="AE79" s="182"/>
      <c r="AF79" s="156"/>
      <c r="AG79" s="156"/>
      <c r="AH79" s="156"/>
      <c r="AI79" s="205"/>
      <c r="AJ79" s="204" t="s">
        <v>2308</v>
      </c>
      <c r="AK79" s="160" t="s">
        <v>54</v>
      </c>
      <c r="AL79" s="156" t="s">
        <v>2682</v>
      </c>
      <c r="AM79" s="156" t="s">
        <v>2183</v>
      </c>
      <c r="AN79" s="156"/>
      <c r="AO79" s="156" t="s">
        <v>1288</v>
      </c>
      <c r="AP79" s="156" t="s">
        <v>53</v>
      </c>
      <c r="AQ79" s="156" t="s">
        <v>2683</v>
      </c>
      <c r="AR79" s="156" t="s">
        <v>2176</v>
      </c>
      <c r="AS79" s="156" t="s">
        <v>644</v>
      </c>
      <c r="AT79" s="156"/>
      <c r="AU79" s="156"/>
      <c r="AV79" s="156"/>
      <c r="AW79" s="199"/>
      <c r="AX79" s="275"/>
      <c r="AY79" s="160" t="s">
        <v>2684</v>
      </c>
      <c r="AZ79" s="160" t="s">
        <v>53</v>
      </c>
      <c r="BA79" s="65" t="s">
        <v>2053</v>
      </c>
      <c r="BB79" s="65" t="s">
        <v>2277</v>
      </c>
      <c r="BC79" s="156"/>
      <c r="BD79" s="156"/>
      <c r="BE79" s="156"/>
      <c r="BF79" s="156"/>
      <c r="BG79" s="199"/>
      <c r="BH79" s="156"/>
      <c r="BI79" s="156"/>
      <c r="BJ79" s="156"/>
      <c r="BX79" s="156"/>
      <c r="BY79" s="156"/>
      <c r="BZ79" s="156"/>
      <c r="CA79" s="156"/>
      <c r="CB79" s="156"/>
      <c r="CC79" s="156"/>
      <c r="CD79" s="156"/>
      <c r="CE79" s="156"/>
      <c r="CF79" s="156"/>
      <c r="CG79" s="156"/>
      <c r="CH79" s="156"/>
      <c r="CI79" s="156"/>
      <c r="CJ79" s="156"/>
      <c r="CK79" s="156"/>
      <c r="CL79" s="156"/>
      <c r="CM79" s="182"/>
      <c r="CN79" s="160"/>
      <c r="CO79" s="156"/>
      <c r="CP79" s="156"/>
      <c r="CQ79" s="205"/>
      <c r="CR79" s="182"/>
      <c r="CS79" s="156"/>
      <c r="CT79" s="156"/>
      <c r="CU79" s="156"/>
      <c r="CV79" s="205"/>
      <c r="CW79" s="204"/>
      <c r="CX79" s="160"/>
      <c r="CY79" s="156"/>
      <c r="CZ79" s="156"/>
      <c r="DA79" s="156"/>
      <c r="DB79" s="156"/>
      <c r="DC79" s="156"/>
      <c r="DD79" s="156"/>
      <c r="DE79" s="156"/>
      <c r="DF79" s="156"/>
      <c r="DG79" s="156"/>
      <c r="DH79" s="156"/>
      <c r="DI79" s="156"/>
      <c r="DJ79" s="156"/>
      <c r="DK79" s="156"/>
      <c r="DL79" s="156"/>
      <c r="DM79" s="156"/>
      <c r="DN79" s="156"/>
      <c r="DO79" s="199"/>
      <c r="DP79" s="156"/>
      <c r="DQ79" s="156"/>
      <c r="DR79" s="156"/>
      <c r="DS79" s="156"/>
      <c r="DT79" s="199"/>
      <c r="DU79" s="156"/>
      <c r="DV79" s="156"/>
      <c r="DW79" s="415"/>
      <c r="DX79" s="156"/>
      <c r="DY79" s="415"/>
      <c r="DZ79" s="156"/>
      <c r="EA79" s="156"/>
      <c r="EB79" s="156"/>
      <c r="EC79" s="156"/>
    </row>
    <row r="80" spans="1:134" s="206" customFormat="1">
      <c r="A80" s="156" t="s">
        <v>2281</v>
      </c>
      <c r="B80" s="156" t="s">
        <v>2298</v>
      </c>
      <c r="C80" s="156" t="s">
        <v>2298</v>
      </c>
      <c r="D80" s="278" t="s">
        <v>58</v>
      </c>
      <c r="E80" s="160" t="s">
        <v>48</v>
      </c>
      <c r="F80" s="156" t="s">
        <v>1965</v>
      </c>
      <c r="G80" s="44" t="s">
        <v>3126</v>
      </c>
      <c r="H80" s="44" t="s">
        <v>3100</v>
      </c>
      <c r="I80" s="65" t="s">
        <v>3100</v>
      </c>
      <c r="J80" s="344" t="s">
        <v>3101</v>
      </c>
      <c r="K80" s="344" t="s">
        <v>3101</v>
      </c>
      <c r="L80" s="160" t="s">
        <v>52</v>
      </c>
      <c r="M80" s="65" t="s">
        <v>2277</v>
      </c>
      <c r="N80" s="156" t="s">
        <v>1113</v>
      </c>
      <c r="O80" s="156" t="s">
        <v>2617</v>
      </c>
      <c r="P80" s="156" t="s">
        <v>183</v>
      </c>
      <c r="Q80" s="202" t="s">
        <v>86</v>
      </c>
      <c r="R80" s="156" t="s">
        <v>1032</v>
      </c>
      <c r="S80" s="156" t="s">
        <v>2362</v>
      </c>
      <c r="T80" s="156" t="s">
        <v>1124</v>
      </c>
      <c r="U80" s="156" t="s">
        <v>1966</v>
      </c>
      <c r="V80" s="160" t="s">
        <v>52</v>
      </c>
      <c r="W80" s="156" t="s">
        <v>2685</v>
      </c>
      <c r="X80" s="156" t="s">
        <v>2183</v>
      </c>
      <c r="Y80" s="156"/>
      <c r="Z80" s="156" t="s">
        <v>2686</v>
      </c>
      <c r="AA80" s="160" t="s">
        <v>52</v>
      </c>
      <c r="AB80" s="156" t="s">
        <v>2681</v>
      </c>
      <c r="AC80" s="156" t="s">
        <v>2195</v>
      </c>
      <c r="AD80" s="205"/>
      <c r="AE80" s="182"/>
      <c r="AF80" s="156"/>
      <c r="AG80" s="156"/>
      <c r="AH80" s="156"/>
      <c r="AI80" s="205"/>
      <c r="AJ80" s="204" t="s">
        <v>2304</v>
      </c>
      <c r="AK80" s="160" t="s">
        <v>53</v>
      </c>
      <c r="AL80" s="156" t="s">
        <v>2687</v>
      </c>
      <c r="AM80" s="156" t="s">
        <v>2183</v>
      </c>
      <c r="AN80" s="156"/>
      <c r="AO80" s="156" t="s">
        <v>1289</v>
      </c>
      <c r="AP80" s="156" t="s">
        <v>53</v>
      </c>
      <c r="AQ80" s="156" t="s">
        <v>2688</v>
      </c>
      <c r="AR80" s="156" t="s">
        <v>2176</v>
      </c>
      <c r="AS80" s="156" t="s">
        <v>645</v>
      </c>
      <c r="AT80" s="156"/>
      <c r="AU80" s="156"/>
      <c r="AV80" s="156"/>
      <c r="AW80" s="199"/>
      <c r="AX80" s="275"/>
      <c r="AY80" s="160" t="s">
        <v>2689</v>
      </c>
      <c r="AZ80" s="160" t="s">
        <v>53</v>
      </c>
      <c r="BA80" s="65" t="s">
        <v>2053</v>
      </c>
      <c r="BB80" s="65" t="s">
        <v>2277</v>
      </c>
      <c r="BC80" s="156"/>
      <c r="BD80" s="156"/>
      <c r="BE80" s="156"/>
      <c r="BF80" s="156"/>
      <c r="BG80" s="199"/>
      <c r="BH80" s="156"/>
      <c r="BI80" s="156"/>
      <c r="BJ80" s="156"/>
      <c r="BX80" s="156"/>
      <c r="BY80" s="156"/>
      <c r="BZ80" s="156"/>
      <c r="CA80" s="156"/>
      <c r="CB80" s="156"/>
      <c r="CC80" s="156"/>
      <c r="CD80" s="156"/>
      <c r="CE80" s="156"/>
      <c r="CF80" s="156"/>
      <c r="CG80" s="156"/>
      <c r="CH80" s="156"/>
      <c r="CI80" s="156"/>
      <c r="CJ80" s="156"/>
      <c r="CK80" s="156"/>
      <c r="CL80" s="156"/>
      <c r="CM80" s="182"/>
      <c r="CN80" s="160"/>
      <c r="CO80" s="156"/>
      <c r="CP80" s="156"/>
      <c r="CQ80" s="205"/>
      <c r="CR80" s="182"/>
      <c r="CS80" s="156"/>
      <c r="CT80" s="156"/>
      <c r="CU80" s="156"/>
      <c r="CV80" s="205"/>
      <c r="CW80" s="204"/>
      <c r="CX80" s="160"/>
      <c r="CY80" s="156"/>
      <c r="CZ80" s="156"/>
      <c r="DA80" s="156"/>
      <c r="DB80" s="156"/>
      <c r="DC80" s="156"/>
      <c r="DD80" s="156"/>
      <c r="DE80" s="156"/>
      <c r="DF80" s="156"/>
      <c r="DG80" s="156"/>
      <c r="DH80" s="156"/>
      <c r="DI80" s="156"/>
      <c r="DJ80" s="156"/>
      <c r="DK80" s="156"/>
      <c r="DL80" s="156"/>
      <c r="DM80" s="156"/>
      <c r="DN80" s="156"/>
      <c r="DO80" s="199"/>
      <c r="DP80" s="156"/>
      <c r="DQ80" s="156"/>
      <c r="DR80" s="156"/>
      <c r="DS80" s="156"/>
      <c r="DT80" s="199"/>
      <c r="DU80" s="156"/>
      <c r="DV80" s="156"/>
      <c r="DW80" s="416"/>
      <c r="DX80" s="156"/>
      <c r="DY80" s="416"/>
      <c r="DZ80" s="156"/>
      <c r="EA80" s="156"/>
      <c r="EB80" s="156"/>
      <c r="EC80" s="156"/>
    </row>
    <row r="81" spans="1:133" s="265" customFormat="1">
      <c r="A81" s="218" t="s">
        <v>2690</v>
      </c>
      <c r="B81" s="150"/>
      <c r="C81" s="150"/>
      <c r="D81" s="150"/>
      <c r="E81" s="150"/>
      <c r="F81" s="150"/>
      <c r="G81" s="343"/>
      <c r="H81" s="343"/>
      <c r="I81" s="343"/>
      <c r="J81" s="343"/>
      <c r="K81" s="343"/>
      <c r="L81" s="38"/>
      <c r="M81" s="38"/>
      <c r="N81" s="38"/>
      <c r="O81" s="38"/>
      <c r="P81" s="38"/>
      <c r="Q81" s="38"/>
      <c r="R81" s="38"/>
      <c r="S81" s="38"/>
      <c r="T81" s="36"/>
      <c r="U81" s="36"/>
      <c r="V81" s="36"/>
      <c r="W81" s="36"/>
      <c r="X81" s="36"/>
      <c r="Y81" s="148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20"/>
      <c r="AZ81" s="320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6"/>
      <c r="CK81" s="36"/>
      <c r="CL81" s="36"/>
      <c r="CM81" s="36"/>
      <c r="CN81" s="36"/>
      <c r="CO81" s="36"/>
      <c r="CP81" s="36"/>
      <c r="CQ81" s="36"/>
      <c r="CR81" s="36"/>
      <c r="CS81" s="36"/>
      <c r="CT81" s="36"/>
      <c r="CU81" s="36"/>
      <c r="CV81" s="36"/>
      <c r="CW81" s="36"/>
      <c r="CX81" s="36"/>
      <c r="CY81" s="36"/>
      <c r="CZ81" s="36"/>
      <c r="DA81" s="36"/>
      <c r="DB81" s="36"/>
      <c r="DC81" s="36"/>
      <c r="DD81" s="36"/>
      <c r="DE81" s="36"/>
      <c r="DF81" s="36"/>
      <c r="DG81" s="36"/>
      <c r="DH81" s="36"/>
      <c r="DI81" s="36"/>
      <c r="DJ81" s="36"/>
      <c r="DK81" s="36"/>
      <c r="DL81" s="36"/>
      <c r="DM81" s="36"/>
      <c r="DN81" s="36"/>
      <c r="DO81" s="36"/>
      <c r="DP81" s="36"/>
      <c r="DQ81" s="36"/>
      <c r="DR81" s="36"/>
      <c r="DS81" s="36"/>
      <c r="DT81" s="36"/>
      <c r="DU81" s="36"/>
      <c r="DV81" s="290"/>
      <c r="DW81" s="300"/>
      <c r="DX81" s="300"/>
      <c r="DY81" s="300"/>
      <c r="DZ81" s="300"/>
    </row>
    <row r="82" spans="1:133" s="270" customFormat="1">
      <c r="A82" s="156" t="s">
        <v>2281</v>
      </c>
      <c r="B82" s="156" t="s">
        <v>58</v>
      </c>
      <c r="C82" s="156" t="s">
        <v>58</v>
      </c>
      <c r="D82" s="156" t="s">
        <v>58</v>
      </c>
      <c r="E82" s="160" t="s">
        <v>48</v>
      </c>
      <c r="F82" s="199" t="s">
        <v>2691</v>
      </c>
      <c r="G82" s="44" t="s">
        <v>3100</v>
      </c>
      <c r="H82" s="44" t="s">
        <v>3100</v>
      </c>
      <c r="I82" s="65" t="s">
        <v>3100</v>
      </c>
      <c r="J82" s="344" t="s">
        <v>3101</v>
      </c>
      <c r="K82" s="344" t="s">
        <v>3101</v>
      </c>
      <c r="L82" s="160" t="s">
        <v>52</v>
      </c>
      <c r="M82" s="156" t="s">
        <v>2277</v>
      </c>
      <c r="N82" s="156" t="s">
        <v>1113</v>
      </c>
      <c r="O82" s="156" t="s">
        <v>2617</v>
      </c>
      <c r="P82" s="156" t="s">
        <v>183</v>
      </c>
      <c r="Q82" s="274" t="s">
        <v>272</v>
      </c>
      <c r="R82" s="160" t="s">
        <v>2692</v>
      </c>
      <c r="S82" s="156" t="s">
        <v>46</v>
      </c>
      <c r="T82" s="156" t="s">
        <v>2425</v>
      </c>
      <c r="U82" s="199" t="str">
        <f>LOWER(F82)</f>
        <v>ch0_afc_pdm</v>
      </c>
      <c r="V82" s="202" t="s">
        <v>53</v>
      </c>
      <c r="W82" s="202" t="s">
        <v>2693</v>
      </c>
      <c r="X82" s="156" t="s">
        <v>2277</v>
      </c>
      <c r="Y82" s="182"/>
      <c r="Z82" s="199" t="s">
        <v>2694</v>
      </c>
      <c r="AA82" s="160" t="s">
        <v>2359</v>
      </c>
      <c r="AB82" s="156" t="s">
        <v>2695</v>
      </c>
      <c r="AC82" s="156" t="s">
        <v>2196</v>
      </c>
      <c r="AD82" s="205" t="s">
        <v>2696</v>
      </c>
      <c r="AE82" s="156" t="str">
        <f>LOWER(F83)</f>
        <v>ch1_afc_pdm</v>
      </c>
      <c r="AF82" s="160" t="s">
        <v>53</v>
      </c>
      <c r="AG82" s="156" t="s">
        <v>2697</v>
      </c>
      <c r="AH82" s="156" t="s">
        <v>2277</v>
      </c>
      <c r="AI82" s="156"/>
      <c r="AJ82" s="321"/>
      <c r="AK82" s="182"/>
      <c r="AL82" s="182"/>
      <c r="AM82" s="321"/>
      <c r="AN82" s="156"/>
      <c r="AO82" s="156" t="s">
        <v>2587</v>
      </c>
      <c r="AP82" s="156" t="s">
        <v>53</v>
      </c>
      <c r="AQ82" s="156" t="s">
        <v>2698</v>
      </c>
      <c r="AR82" s="156" t="s">
        <v>2176</v>
      </c>
      <c r="AS82" s="156"/>
      <c r="AT82" s="275" t="s">
        <v>2016</v>
      </c>
      <c r="AU82" s="65" t="s">
        <v>53</v>
      </c>
      <c r="AV82" s="65" t="s">
        <v>2054</v>
      </c>
      <c r="AW82" s="65" t="s">
        <v>2178</v>
      </c>
      <c r="AX82" s="156"/>
      <c r="AY82" s="65" t="s">
        <v>2069</v>
      </c>
      <c r="AZ82" s="65" t="s">
        <v>53</v>
      </c>
      <c r="BA82" s="65" t="s">
        <v>2053</v>
      </c>
      <c r="BB82" s="65" t="s">
        <v>2277</v>
      </c>
      <c r="BC82" s="156"/>
      <c r="BD82" s="156"/>
      <c r="BE82" s="156"/>
      <c r="BF82" s="156"/>
      <c r="BG82" s="156"/>
      <c r="BH82" s="156"/>
      <c r="BI82" s="156"/>
      <c r="BJ82" s="156"/>
      <c r="BK82" s="156"/>
      <c r="BL82" s="156"/>
      <c r="BM82" s="156"/>
      <c r="BN82" s="156"/>
      <c r="BO82" s="156"/>
      <c r="BP82" s="156"/>
      <c r="BQ82" s="156"/>
      <c r="BR82" s="156"/>
      <c r="BS82" s="156"/>
      <c r="BT82" s="156"/>
      <c r="BU82" s="156"/>
      <c r="BV82" s="156"/>
      <c r="BW82" s="156"/>
      <c r="BX82" s="156"/>
      <c r="BY82" s="156"/>
      <c r="BZ82" s="156"/>
      <c r="CA82" s="156"/>
      <c r="CB82" s="156"/>
      <c r="CC82" s="156"/>
      <c r="CD82" s="156"/>
      <c r="CE82" s="156"/>
      <c r="CF82" s="182"/>
      <c r="CG82" s="182"/>
      <c r="CH82" s="182"/>
      <c r="CI82" s="182"/>
      <c r="CJ82" s="182"/>
      <c r="CK82" s="182"/>
      <c r="CL82" s="182"/>
      <c r="CM82" s="199"/>
      <c r="CN82" s="160"/>
      <c r="CO82" s="156"/>
      <c r="CP82" s="156"/>
      <c r="CQ82" s="205"/>
      <c r="CR82" s="156"/>
      <c r="CS82" s="156"/>
      <c r="CT82" s="156"/>
      <c r="CU82" s="156"/>
      <c r="CV82" s="156"/>
      <c r="CW82" s="156"/>
      <c r="CX82" s="156"/>
      <c r="CY82" s="156"/>
      <c r="CZ82" s="156"/>
      <c r="DA82" s="156"/>
      <c r="DB82" s="156"/>
      <c r="DC82" s="156"/>
      <c r="DD82" s="156"/>
      <c r="DE82" s="156"/>
      <c r="DF82" s="156"/>
      <c r="DG82" s="156"/>
      <c r="DH82" s="156"/>
      <c r="DI82" s="156"/>
      <c r="DJ82" s="156"/>
      <c r="DK82" s="156"/>
      <c r="DL82" s="156"/>
      <c r="DM82" s="156"/>
      <c r="DN82" s="156"/>
      <c r="DO82" s="156"/>
      <c r="DP82" s="156"/>
      <c r="DQ82" s="156"/>
      <c r="DR82" s="156"/>
      <c r="DS82" s="156"/>
      <c r="DT82" s="156"/>
      <c r="DU82" s="156"/>
      <c r="DV82" s="182"/>
      <c r="DW82" s="414" t="s">
        <v>2629</v>
      </c>
      <c r="DX82" s="182"/>
      <c r="DY82" s="404" t="s">
        <v>2630</v>
      </c>
      <c r="DZ82" s="182"/>
      <c r="EA82" s="182"/>
      <c r="EB82" s="291"/>
      <c r="EC82" s="291"/>
    </row>
    <row r="83" spans="1:133" s="270" customFormat="1">
      <c r="A83" s="156" t="s">
        <v>2281</v>
      </c>
      <c r="B83" s="156" t="s">
        <v>58</v>
      </c>
      <c r="C83" s="156" t="s">
        <v>58</v>
      </c>
      <c r="D83" s="156" t="s">
        <v>58</v>
      </c>
      <c r="E83" s="160" t="s">
        <v>48</v>
      </c>
      <c r="F83" s="199" t="s">
        <v>2699</v>
      </c>
      <c r="G83" s="44" t="s">
        <v>3100</v>
      </c>
      <c r="H83" s="44" t="s">
        <v>3100</v>
      </c>
      <c r="I83" s="65" t="s">
        <v>3100</v>
      </c>
      <c r="J83" s="344" t="s">
        <v>3101</v>
      </c>
      <c r="K83" s="344" t="s">
        <v>3101</v>
      </c>
      <c r="L83" s="160" t="s">
        <v>52</v>
      </c>
      <c r="M83" s="156" t="s">
        <v>2277</v>
      </c>
      <c r="N83" s="156" t="s">
        <v>1113</v>
      </c>
      <c r="O83" s="156" t="s">
        <v>2617</v>
      </c>
      <c r="P83" s="156" t="s">
        <v>183</v>
      </c>
      <c r="Q83" s="274" t="s">
        <v>272</v>
      </c>
      <c r="R83" s="160" t="s">
        <v>1357</v>
      </c>
      <c r="S83" s="156" t="s">
        <v>46</v>
      </c>
      <c r="T83" s="156" t="s">
        <v>2274</v>
      </c>
      <c r="U83" s="199" t="str">
        <f>LOWER(F83)</f>
        <v>ch1_afc_pdm</v>
      </c>
      <c r="V83" s="202" t="s">
        <v>53</v>
      </c>
      <c r="W83" s="202" t="s">
        <v>2700</v>
      </c>
      <c r="X83" s="156" t="s">
        <v>2277</v>
      </c>
      <c r="Y83" s="182"/>
      <c r="Z83" s="199" t="s">
        <v>2701</v>
      </c>
      <c r="AA83" s="160" t="s">
        <v>2359</v>
      </c>
      <c r="AB83" s="156" t="s">
        <v>2702</v>
      </c>
      <c r="AC83" s="156" t="s">
        <v>2196</v>
      </c>
      <c r="AD83" s="205" t="s">
        <v>2703</v>
      </c>
      <c r="AE83" s="156" t="str">
        <f>LOWER(F82)</f>
        <v>ch0_afc_pdm</v>
      </c>
      <c r="AF83" s="160" t="s">
        <v>53</v>
      </c>
      <c r="AG83" s="156" t="s">
        <v>2704</v>
      </c>
      <c r="AH83" s="156" t="s">
        <v>2277</v>
      </c>
      <c r="AI83" s="156"/>
      <c r="AJ83" s="156"/>
      <c r="AK83" s="156"/>
      <c r="AL83" s="156"/>
      <c r="AM83" s="156"/>
      <c r="AN83" s="156"/>
      <c r="AO83" s="156" t="s">
        <v>2587</v>
      </c>
      <c r="AP83" s="156" t="s">
        <v>53</v>
      </c>
      <c r="AQ83" s="156" t="s">
        <v>2705</v>
      </c>
      <c r="AR83" s="156" t="s">
        <v>2176</v>
      </c>
      <c r="AS83" s="156"/>
      <c r="AT83" s="156"/>
      <c r="AU83" s="156"/>
      <c r="AV83" s="156"/>
      <c r="AW83" s="156"/>
      <c r="AX83" s="156"/>
      <c r="AY83" s="160" t="s">
        <v>2706</v>
      </c>
      <c r="AZ83" s="160" t="s">
        <v>53</v>
      </c>
      <c r="BA83" s="65" t="s">
        <v>2053</v>
      </c>
      <c r="BB83" s="65" t="s">
        <v>2277</v>
      </c>
      <c r="BC83" s="156"/>
      <c r="BD83" s="156"/>
      <c r="BE83" s="156"/>
      <c r="BF83" s="156"/>
      <c r="BG83" s="156"/>
      <c r="BH83" s="156"/>
      <c r="BI83" s="156"/>
      <c r="BJ83" s="156"/>
      <c r="BK83" s="156"/>
      <c r="BL83" s="156"/>
      <c r="BM83" s="156"/>
      <c r="BN83" s="156"/>
      <c r="BO83" s="156"/>
      <c r="BP83" s="156"/>
      <c r="BQ83" s="156"/>
      <c r="BR83" s="156"/>
      <c r="BS83" s="156"/>
      <c r="BT83" s="156"/>
      <c r="BU83" s="156"/>
      <c r="BV83" s="156"/>
      <c r="BW83" s="156"/>
      <c r="BX83" s="156"/>
      <c r="BY83" s="156"/>
      <c r="BZ83" s="156"/>
      <c r="CA83" s="156"/>
      <c r="CB83" s="156"/>
      <c r="CC83" s="156"/>
      <c r="CD83" s="156"/>
      <c r="CE83" s="156"/>
      <c r="CF83" s="182"/>
      <c r="CG83" s="182"/>
      <c r="CH83" s="182"/>
      <c r="CI83" s="182"/>
      <c r="CJ83" s="182"/>
      <c r="CK83" s="182"/>
      <c r="CL83" s="182"/>
      <c r="CM83" s="199"/>
      <c r="CN83" s="160"/>
      <c r="CO83" s="156"/>
      <c r="CP83" s="156"/>
      <c r="CQ83" s="205"/>
      <c r="CR83" s="156"/>
      <c r="CS83" s="156"/>
      <c r="CT83" s="156"/>
      <c r="CU83" s="156"/>
      <c r="CV83" s="156"/>
      <c r="CW83" s="156"/>
      <c r="CX83" s="156"/>
      <c r="CY83" s="156"/>
      <c r="CZ83" s="156"/>
      <c r="DA83" s="156"/>
      <c r="DB83" s="156"/>
      <c r="DC83" s="156"/>
      <c r="DD83" s="156"/>
      <c r="DE83" s="156"/>
      <c r="DF83" s="156"/>
      <c r="DG83" s="156"/>
      <c r="DH83" s="156"/>
      <c r="DI83" s="156"/>
      <c r="DJ83" s="156"/>
      <c r="DK83" s="156"/>
      <c r="DL83" s="156"/>
      <c r="DM83" s="156"/>
      <c r="DN83" s="156"/>
      <c r="DO83" s="156"/>
      <c r="DP83" s="156"/>
      <c r="DQ83" s="156"/>
      <c r="DR83" s="156"/>
      <c r="DS83" s="156"/>
      <c r="DT83" s="156"/>
      <c r="DU83" s="156"/>
      <c r="DV83" s="182"/>
      <c r="DW83" s="415"/>
      <c r="DX83" s="182"/>
      <c r="DY83" s="405"/>
      <c r="DZ83" s="182"/>
      <c r="EA83" s="182"/>
      <c r="EB83" s="291"/>
      <c r="EC83" s="291"/>
    </row>
    <row r="84" spans="1:133" s="180" customFormat="1">
      <c r="A84" s="218" t="s">
        <v>2707</v>
      </c>
      <c r="B84" s="150"/>
      <c r="C84" s="150"/>
      <c r="D84" s="150"/>
      <c r="E84" s="150"/>
      <c r="F84" s="150"/>
      <c r="G84" s="343"/>
      <c r="H84" s="343"/>
      <c r="I84" s="343"/>
      <c r="J84" s="343"/>
      <c r="K84" s="343"/>
      <c r="L84" s="38"/>
      <c r="M84" s="38"/>
      <c r="N84" s="38"/>
      <c r="O84" s="38"/>
      <c r="P84" s="38"/>
      <c r="Q84" s="38"/>
      <c r="R84" s="38"/>
      <c r="S84" s="38"/>
      <c r="T84" s="36"/>
      <c r="U84" s="36"/>
      <c r="V84" s="36"/>
      <c r="W84" s="36"/>
      <c r="X84" s="36"/>
      <c r="Y84" s="148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6"/>
      <c r="CR84" s="36"/>
      <c r="CS84" s="36"/>
      <c r="CT84" s="36"/>
      <c r="CU84" s="36"/>
      <c r="CV84" s="36"/>
      <c r="CW84" s="36"/>
      <c r="CX84" s="36"/>
      <c r="CY84" s="36"/>
      <c r="CZ84" s="36"/>
      <c r="DA84" s="36"/>
      <c r="DB84" s="36"/>
      <c r="DC84" s="36"/>
      <c r="DD84" s="36"/>
      <c r="DE84" s="36"/>
      <c r="DF84" s="36"/>
      <c r="DG84" s="36"/>
      <c r="DH84" s="36"/>
      <c r="DI84" s="36"/>
      <c r="DJ84" s="36"/>
      <c r="DK84" s="36"/>
      <c r="DL84" s="36"/>
      <c r="DM84" s="36"/>
      <c r="DN84" s="36"/>
      <c r="DO84" s="36"/>
      <c r="DP84" s="36"/>
      <c r="DQ84" s="36"/>
      <c r="DR84" s="36"/>
      <c r="DS84" s="36"/>
      <c r="DT84" s="36"/>
      <c r="DU84" s="36"/>
      <c r="DV84" s="289"/>
      <c r="DW84" s="300"/>
      <c r="DX84" s="300"/>
      <c r="DY84" s="300"/>
      <c r="DZ84" s="300"/>
    </row>
    <row r="85" spans="1:133" s="44" customFormat="1" ht="63.75">
      <c r="A85" s="160" t="s">
        <v>2281</v>
      </c>
      <c r="B85" s="65" t="s">
        <v>58</v>
      </c>
      <c r="C85" s="65" t="s">
        <v>58</v>
      </c>
      <c r="D85" s="65" t="s">
        <v>58</v>
      </c>
      <c r="E85" s="65" t="s">
        <v>48</v>
      </c>
      <c r="F85" s="65" t="s">
        <v>2708</v>
      </c>
      <c r="G85" s="44" t="s">
        <v>3109</v>
      </c>
      <c r="H85" s="44" t="s">
        <v>3124</v>
      </c>
      <c r="I85" s="65" t="s">
        <v>3100</v>
      </c>
      <c r="J85" s="344" t="s">
        <v>3101</v>
      </c>
      <c r="K85" s="344" t="s">
        <v>3101</v>
      </c>
      <c r="L85" s="65" t="s">
        <v>52</v>
      </c>
      <c r="M85" s="65" t="s">
        <v>2277</v>
      </c>
      <c r="N85" s="65" t="s">
        <v>1113</v>
      </c>
      <c r="O85" s="65" t="s">
        <v>182</v>
      </c>
      <c r="P85" s="65" t="s">
        <v>183</v>
      </c>
      <c r="Q85" s="65" t="s">
        <v>2438</v>
      </c>
      <c r="R85" s="65" t="s">
        <v>2709</v>
      </c>
      <c r="S85" s="65" t="s">
        <v>46</v>
      </c>
      <c r="T85" s="65" t="s">
        <v>2425</v>
      </c>
      <c r="U85" s="65" t="s">
        <v>2710</v>
      </c>
      <c r="V85" s="65" t="s">
        <v>52</v>
      </c>
      <c r="W85" s="65" t="s">
        <v>1977</v>
      </c>
      <c r="X85" s="65"/>
      <c r="Y85" s="205" t="s">
        <v>2711</v>
      </c>
      <c r="Z85" s="160" t="s">
        <v>2712</v>
      </c>
      <c r="AA85" s="156" t="s">
        <v>53</v>
      </c>
      <c r="AB85" s="156" t="s">
        <v>2030</v>
      </c>
      <c r="AC85" s="156" t="s">
        <v>2176</v>
      </c>
      <c r="AD85" s="205" t="s">
        <v>2713</v>
      </c>
      <c r="AE85" s="65" t="s">
        <v>2023</v>
      </c>
      <c r="AF85" s="65" t="s">
        <v>52</v>
      </c>
      <c r="AG85" s="65" t="s">
        <v>2051</v>
      </c>
      <c r="AH85" s="65" t="s">
        <v>2181</v>
      </c>
      <c r="AI85" s="183"/>
      <c r="AJ85" s="65"/>
      <c r="AK85" s="65"/>
      <c r="AL85" s="65"/>
      <c r="AM85" s="65"/>
      <c r="AN85" s="65"/>
      <c r="AO85" s="65"/>
      <c r="AP85" s="65"/>
      <c r="AQ85" s="65"/>
      <c r="AR85" s="65"/>
      <c r="AS85" s="65"/>
      <c r="AT85" s="65"/>
      <c r="AU85" s="65"/>
      <c r="AV85" s="65"/>
      <c r="AW85" s="65"/>
      <c r="AX85" s="65"/>
      <c r="AY85" s="65" t="s">
        <v>1240</v>
      </c>
      <c r="AZ85" s="65" t="s">
        <v>54</v>
      </c>
      <c r="BA85" s="65" t="s">
        <v>2053</v>
      </c>
      <c r="BB85" s="65" t="s">
        <v>2277</v>
      </c>
      <c r="BC85" s="183"/>
      <c r="BD85" s="65"/>
      <c r="BE85" s="65"/>
      <c r="BF85" s="65"/>
      <c r="BG85" s="65"/>
      <c r="BH85" s="65"/>
      <c r="BI85" s="65"/>
      <c r="BJ85" s="65"/>
      <c r="BK85" s="65"/>
      <c r="BL85" s="65"/>
      <c r="BM85" s="65"/>
      <c r="BN85" s="65"/>
      <c r="BO85" s="65"/>
      <c r="BP85" s="65"/>
      <c r="BQ85" s="65"/>
      <c r="BR85" s="65"/>
      <c r="BS85" s="65"/>
      <c r="BT85" s="65"/>
      <c r="BU85" s="65"/>
      <c r="BV85" s="65"/>
      <c r="BW85" s="65"/>
      <c r="BX85" s="65"/>
      <c r="BY85" s="65"/>
      <c r="BZ85" s="65"/>
      <c r="CA85" s="65"/>
      <c r="CB85" s="65"/>
      <c r="CC85" s="65"/>
      <c r="CD85" s="65"/>
      <c r="CE85" s="65"/>
      <c r="CF85" s="65"/>
      <c r="CG85" s="65"/>
      <c r="CH85" s="65"/>
      <c r="CI85" s="65"/>
      <c r="CJ85" s="65"/>
      <c r="CK85" s="65"/>
      <c r="CL85" s="65"/>
      <c r="CM85" s="65"/>
      <c r="CN85" s="65"/>
      <c r="CO85" s="65"/>
      <c r="CP85" s="65"/>
      <c r="CQ85" s="65"/>
      <c r="CR85" s="65"/>
      <c r="CS85" s="65"/>
      <c r="CT85" s="65"/>
      <c r="CU85" s="65"/>
      <c r="CV85" s="65"/>
      <c r="CW85" s="65"/>
      <c r="CX85" s="65"/>
      <c r="CY85" s="65"/>
      <c r="CZ85" s="65"/>
      <c r="DA85" s="65"/>
      <c r="DB85" s="65"/>
      <c r="DC85" s="65"/>
      <c r="DD85" s="65"/>
      <c r="DE85" s="65"/>
      <c r="DF85" s="65"/>
      <c r="DG85" s="65"/>
      <c r="DH85" s="65"/>
      <c r="DI85" s="65"/>
      <c r="DJ85" s="65"/>
      <c r="DK85" s="65"/>
      <c r="DL85" s="65"/>
      <c r="DM85" s="65"/>
      <c r="DN85" s="65"/>
      <c r="DO85" s="65"/>
      <c r="DP85" s="65"/>
      <c r="DQ85" s="65"/>
      <c r="DR85" s="65"/>
      <c r="DS85" s="65"/>
      <c r="DT85" s="65"/>
      <c r="DU85" s="65"/>
      <c r="DV85" s="65"/>
      <c r="DW85" s="406" t="s">
        <v>2629</v>
      </c>
      <c r="DX85" s="65"/>
      <c r="DY85" s="406" t="s">
        <v>2630</v>
      </c>
      <c r="DZ85" s="303" t="s">
        <v>2279</v>
      </c>
    </row>
    <row r="86" spans="1:133" s="44" customFormat="1" ht="47.25" customHeight="1">
      <c r="A86" s="160" t="s">
        <v>2281</v>
      </c>
      <c r="B86" s="65" t="s">
        <v>58</v>
      </c>
      <c r="C86" s="65" t="s">
        <v>58</v>
      </c>
      <c r="D86" s="65" t="s">
        <v>58</v>
      </c>
      <c r="E86" s="65" t="s">
        <v>48</v>
      </c>
      <c r="F86" s="65" t="s">
        <v>2714</v>
      </c>
      <c r="G86" s="44" t="s">
        <v>1282</v>
      </c>
      <c r="H86" s="44" t="s">
        <v>3124</v>
      </c>
      <c r="I86" s="65" t="s">
        <v>3100</v>
      </c>
      <c r="J86" s="344" t="s">
        <v>3101</v>
      </c>
      <c r="K86" s="344" t="s">
        <v>3101</v>
      </c>
      <c r="L86" s="65" t="s">
        <v>52</v>
      </c>
      <c r="M86" s="65" t="s">
        <v>2277</v>
      </c>
      <c r="N86" s="65" t="s">
        <v>1113</v>
      </c>
      <c r="O86" s="65" t="s">
        <v>182</v>
      </c>
      <c r="P86" s="65" t="s">
        <v>183</v>
      </c>
      <c r="Q86" s="65" t="s">
        <v>88</v>
      </c>
      <c r="R86" s="65" t="s">
        <v>1065</v>
      </c>
      <c r="S86" s="65" t="s">
        <v>46</v>
      </c>
      <c r="T86" s="65" t="s">
        <v>2425</v>
      </c>
      <c r="U86" s="65" t="s">
        <v>720</v>
      </c>
      <c r="V86" s="65" t="s">
        <v>52</v>
      </c>
      <c r="W86" s="65" t="s">
        <v>2715</v>
      </c>
      <c r="X86" s="65"/>
      <c r="Y86" s="399" t="s">
        <v>3032</v>
      </c>
      <c r="Z86" s="160" t="s">
        <v>1282</v>
      </c>
      <c r="AA86" s="156" t="s">
        <v>53</v>
      </c>
      <c r="AB86" s="156" t="s">
        <v>2031</v>
      </c>
      <c r="AC86" s="156" t="s">
        <v>2176</v>
      </c>
      <c r="AD86" s="205" t="s">
        <v>2716</v>
      </c>
      <c r="AE86" s="65" t="s">
        <v>2024</v>
      </c>
      <c r="AF86" s="65" t="s">
        <v>52</v>
      </c>
      <c r="AG86" s="65" t="s">
        <v>2051</v>
      </c>
      <c r="AH86" s="65" t="s">
        <v>2181</v>
      </c>
      <c r="AI86" s="183"/>
      <c r="AJ86" s="65"/>
      <c r="AK86" s="65"/>
      <c r="AL86" s="65"/>
      <c r="AM86" s="65"/>
      <c r="AN86" s="65"/>
      <c r="AO86" s="65"/>
      <c r="AP86" s="65"/>
      <c r="AQ86" s="65"/>
      <c r="AR86" s="65"/>
      <c r="AS86" s="156"/>
      <c r="AT86" s="65"/>
      <c r="AU86" s="65"/>
      <c r="AV86" s="65"/>
      <c r="AW86" s="278"/>
      <c r="AX86" s="278"/>
      <c r="AY86" s="65" t="s">
        <v>1239</v>
      </c>
      <c r="AZ86" s="65" t="s">
        <v>54</v>
      </c>
      <c r="BA86" s="65" t="s">
        <v>2053</v>
      </c>
      <c r="BB86" s="65" t="s">
        <v>2277</v>
      </c>
      <c r="BC86" s="183"/>
      <c r="BD86" s="65"/>
      <c r="BE86" s="65"/>
      <c r="BF86" s="65"/>
      <c r="BG86" s="65"/>
      <c r="BH86" s="65"/>
      <c r="BI86" s="65"/>
      <c r="BJ86" s="65"/>
      <c r="BK86" s="65"/>
      <c r="BL86" s="65"/>
      <c r="BM86" s="65"/>
      <c r="BN86" s="65"/>
      <c r="BO86" s="65"/>
      <c r="BP86" s="65"/>
      <c r="BQ86" s="65"/>
      <c r="BR86" s="65"/>
      <c r="BS86" s="65"/>
      <c r="BT86" s="65"/>
      <c r="BU86" s="65"/>
      <c r="BV86" s="65"/>
      <c r="BW86" s="65"/>
      <c r="BX86" s="65"/>
      <c r="BY86" s="65"/>
      <c r="BZ86" s="65"/>
      <c r="CA86" s="65"/>
      <c r="CB86" s="65"/>
      <c r="CC86" s="65"/>
      <c r="CD86" s="65"/>
      <c r="CE86" s="65"/>
      <c r="CF86" s="65"/>
      <c r="CG86" s="65"/>
      <c r="CH86" s="65"/>
      <c r="CI86" s="65"/>
      <c r="CJ86" s="65"/>
      <c r="CK86" s="65"/>
      <c r="CL86" s="65"/>
      <c r="CM86" s="65"/>
      <c r="CN86" s="65"/>
      <c r="CO86" s="65"/>
      <c r="CP86" s="65"/>
      <c r="CQ86" s="65"/>
      <c r="CR86" s="65"/>
      <c r="CS86" s="65"/>
      <c r="CT86" s="65"/>
      <c r="CU86" s="65"/>
      <c r="CV86" s="65"/>
      <c r="CW86" s="65"/>
      <c r="CX86" s="65"/>
      <c r="CY86" s="65"/>
      <c r="CZ86" s="65"/>
      <c r="DA86" s="65"/>
      <c r="DB86" s="65"/>
      <c r="DC86" s="65"/>
      <c r="DD86" s="65"/>
      <c r="DE86" s="65"/>
      <c r="DF86" s="65"/>
      <c r="DG86" s="65"/>
      <c r="DH86" s="65"/>
      <c r="DI86" s="65"/>
      <c r="DJ86" s="65"/>
      <c r="DK86" s="65"/>
      <c r="DL86" s="65"/>
      <c r="DM86" s="65"/>
      <c r="DN86" s="65"/>
      <c r="DO86" s="65"/>
      <c r="DP86" s="65"/>
      <c r="DQ86" s="65"/>
      <c r="DR86" s="65"/>
      <c r="DS86" s="65"/>
      <c r="DT86" s="65"/>
      <c r="DU86" s="65"/>
      <c r="DV86" s="65"/>
      <c r="DW86" s="407"/>
      <c r="DX86" s="65"/>
      <c r="DY86" s="407"/>
      <c r="DZ86" s="303" t="s">
        <v>2279</v>
      </c>
    </row>
    <row r="87" spans="1:133" s="44" customFormat="1" ht="47.25" customHeight="1">
      <c r="A87" s="160" t="s">
        <v>2281</v>
      </c>
      <c r="B87" s="65" t="s">
        <v>58</v>
      </c>
      <c r="C87" s="65" t="s">
        <v>58</v>
      </c>
      <c r="D87" s="65" t="s">
        <v>58</v>
      </c>
      <c r="E87" s="65" t="s">
        <v>48</v>
      </c>
      <c r="F87" s="65" t="s">
        <v>1180</v>
      </c>
      <c r="G87" s="44" t="s">
        <v>1283</v>
      </c>
      <c r="H87" s="44" t="s">
        <v>3124</v>
      </c>
      <c r="I87" s="65" t="s">
        <v>3100</v>
      </c>
      <c r="J87" s="344" t="s">
        <v>3101</v>
      </c>
      <c r="K87" s="344" t="s">
        <v>3101</v>
      </c>
      <c r="L87" s="65" t="s">
        <v>52</v>
      </c>
      <c r="M87" s="65" t="s">
        <v>2277</v>
      </c>
      <c r="N87" s="65" t="s">
        <v>1113</v>
      </c>
      <c r="O87" s="65" t="s">
        <v>182</v>
      </c>
      <c r="P87" s="65" t="s">
        <v>183</v>
      </c>
      <c r="Q87" s="65" t="s">
        <v>86</v>
      </c>
      <c r="R87" s="65" t="s">
        <v>1358</v>
      </c>
      <c r="S87" s="65" t="s">
        <v>46</v>
      </c>
      <c r="T87" s="65" t="s">
        <v>2425</v>
      </c>
      <c r="U87" s="65" t="s">
        <v>1179</v>
      </c>
      <c r="V87" s="65" t="s">
        <v>52</v>
      </c>
      <c r="W87" s="65" t="s">
        <v>2717</v>
      </c>
      <c r="X87" s="65"/>
      <c r="Y87" s="400"/>
      <c r="Z87" s="160" t="s">
        <v>1283</v>
      </c>
      <c r="AA87" s="156" t="s">
        <v>53</v>
      </c>
      <c r="AB87" s="156" t="s">
        <v>2032</v>
      </c>
      <c r="AC87" s="156" t="s">
        <v>2176</v>
      </c>
      <c r="AD87" s="205" t="s">
        <v>2018</v>
      </c>
      <c r="AE87" s="65" t="s">
        <v>2025</v>
      </c>
      <c r="AF87" s="65" t="s">
        <v>52</v>
      </c>
      <c r="AG87" s="65" t="s">
        <v>2051</v>
      </c>
      <c r="AH87" s="65" t="s">
        <v>2181</v>
      </c>
      <c r="AI87" s="183"/>
      <c r="AJ87" s="65"/>
      <c r="AK87" s="65"/>
      <c r="AL87" s="65"/>
      <c r="AM87" s="65"/>
      <c r="AN87" s="65"/>
      <c r="AO87" s="65"/>
      <c r="AP87" s="65"/>
      <c r="AQ87" s="65"/>
      <c r="AR87" s="65"/>
      <c r="AS87" s="65"/>
      <c r="AT87" s="65"/>
      <c r="AU87" s="65"/>
      <c r="AV87" s="65"/>
      <c r="AW87" s="65"/>
      <c r="AX87" s="65"/>
      <c r="AY87" s="65" t="s">
        <v>1238</v>
      </c>
      <c r="AZ87" s="65" t="s">
        <v>54</v>
      </c>
      <c r="BA87" s="65" t="s">
        <v>2053</v>
      </c>
      <c r="BB87" s="65" t="s">
        <v>2277</v>
      </c>
      <c r="BC87" s="183"/>
      <c r="BD87" s="65"/>
      <c r="BE87" s="65"/>
      <c r="BF87" s="65"/>
      <c r="BG87" s="65"/>
      <c r="BH87" s="65"/>
      <c r="BI87" s="65"/>
      <c r="BJ87" s="65"/>
      <c r="BK87" s="65"/>
      <c r="BL87" s="65"/>
      <c r="BM87" s="65"/>
      <c r="BN87" s="65"/>
      <c r="BO87" s="65"/>
      <c r="BP87" s="65"/>
      <c r="BQ87" s="65"/>
      <c r="BR87" s="65"/>
      <c r="BS87" s="65"/>
      <c r="BT87" s="65"/>
      <c r="BU87" s="65"/>
      <c r="BV87" s="65"/>
      <c r="BW87" s="65"/>
      <c r="BX87" s="65"/>
      <c r="BY87" s="65"/>
      <c r="BZ87" s="65"/>
      <c r="CA87" s="65"/>
      <c r="CB87" s="65"/>
      <c r="CC87" s="65"/>
      <c r="CD87" s="65"/>
      <c r="CE87" s="65"/>
      <c r="CF87" s="65"/>
      <c r="CG87" s="65"/>
      <c r="CH87" s="65"/>
      <c r="CI87" s="65"/>
      <c r="CJ87" s="65"/>
      <c r="CK87" s="65"/>
      <c r="CL87" s="65"/>
      <c r="CM87" s="65"/>
      <c r="CN87" s="65"/>
      <c r="CO87" s="65"/>
      <c r="CP87" s="65"/>
      <c r="CQ87" s="65"/>
      <c r="CR87" s="65"/>
      <c r="CS87" s="65"/>
      <c r="CT87" s="65"/>
      <c r="CU87" s="65"/>
      <c r="CV87" s="65"/>
      <c r="CW87" s="65"/>
      <c r="CX87" s="65"/>
      <c r="CY87" s="65"/>
      <c r="CZ87" s="65"/>
      <c r="DA87" s="65"/>
      <c r="DB87" s="65"/>
      <c r="DC87" s="65"/>
      <c r="DD87" s="65"/>
      <c r="DE87" s="65"/>
      <c r="DF87" s="65"/>
      <c r="DG87" s="65"/>
      <c r="DH87" s="65"/>
      <c r="DI87" s="65"/>
      <c r="DJ87" s="65"/>
      <c r="DK87" s="65"/>
      <c r="DL87" s="65"/>
      <c r="DM87" s="65"/>
      <c r="DN87" s="65"/>
      <c r="DO87" s="65"/>
      <c r="DP87" s="65"/>
      <c r="DQ87" s="65"/>
      <c r="DR87" s="65"/>
      <c r="DS87" s="65"/>
      <c r="DT87" s="65"/>
      <c r="DU87" s="65"/>
      <c r="DV87" s="65"/>
      <c r="DW87" s="407"/>
      <c r="DX87" s="65"/>
      <c r="DY87" s="407"/>
      <c r="DZ87" s="303" t="s">
        <v>2279</v>
      </c>
    </row>
    <row r="88" spans="1:133" s="44" customFormat="1" ht="63.75">
      <c r="A88" s="160" t="s">
        <v>2281</v>
      </c>
      <c r="B88" s="65" t="s">
        <v>58</v>
      </c>
      <c r="C88" s="65" t="s">
        <v>58</v>
      </c>
      <c r="D88" s="65" t="s">
        <v>58</v>
      </c>
      <c r="E88" s="65" t="s">
        <v>48</v>
      </c>
      <c r="F88" s="65" t="s">
        <v>2718</v>
      </c>
      <c r="G88" s="44" t="s">
        <v>1284</v>
      </c>
      <c r="H88" s="44" t="s">
        <v>3124</v>
      </c>
      <c r="I88" s="65" t="s">
        <v>3100</v>
      </c>
      <c r="J88" s="344" t="s">
        <v>3101</v>
      </c>
      <c r="K88" s="344" t="s">
        <v>3101</v>
      </c>
      <c r="L88" s="65" t="s">
        <v>52</v>
      </c>
      <c r="M88" s="65" t="s">
        <v>2277</v>
      </c>
      <c r="N88" s="65" t="s">
        <v>1113</v>
      </c>
      <c r="O88" s="65" t="s">
        <v>182</v>
      </c>
      <c r="P88" s="65" t="s">
        <v>183</v>
      </c>
      <c r="Q88" s="65" t="s">
        <v>86</v>
      </c>
      <c r="R88" s="65" t="s">
        <v>1033</v>
      </c>
      <c r="S88" s="65" t="s">
        <v>46</v>
      </c>
      <c r="T88" s="65" t="s">
        <v>2425</v>
      </c>
      <c r="U88" s="65" t="s">
        <v>1975</v>
      </c>
      <c r="V88" s="65" t="s">
        <v>52</v>
      </c>
      <c r="W88" s="65" t="s">
        <v>2719</v>
      </c>
      <c r="X88" s="65"/>
      <c r="Y88" s="205" t="s">
        <v>2720</v>
      </c>
      <c r="Z88" s="160" t="s">
        <v>1284</v>
      </c>
      <c r="AA88" s="156" t="s">
        <v>53</v>
      </c>
      <c r="AB88" s="156" t="s">
        <v>2033</v>
      </c>
      <c r="AC88" s="156" t="s">
        <v>2176</v>
      </c>
      <c r="AD88" s="205" t="s">
        <v>2019</v>
      </c>
      <c r="AE88" s="65" t="s">
        <v>2026</v>
      </c>
      <c r="AF88" s="65" t="s">
        <v>52</v>
      </c>
      <c r="AG88" s="65" t="s">
        <v>2051</v>
      </c>
      <c r="AH88" s="65" t="s">
        <v>2181</v>
      </c>
      <c r="AI88" s="183"/>
      <c r="AJ88" s="65"/>
      <c r="AK88" s="65"/>
      <c r="AL88" s="65"/>
      <c r="AM88" s="65"/>
      <c r="AN88" s="65"/>
      <c r="AO88" s="65"/>
      <c r="AP88" s="65"/>
      <c r="AQ88" s="65"/>
      <c r="AR88" s="65"/>
      <c r="AS88" s="65"/>
      <c r="AT88" s="65"/>
      <c r="AU88" s="65"/>
      <c r="AV88" s="65"/>
      <c r="AW88" s="65"/>
      <c r="AX88" s="65"/>
      <c r="AY88" s="65" t="s">
        <v>1249</v>
      </c>
      <c r="AZ88" s="65" t="s">
        <v>54</v>
      </c>
      <c r="BA88" s="65" t="s">
        <v>2053</v>
      </c>
      <c r="BB88" s="65" t="s">
        <v>2277</v>
      </c>
      <c r="BC88" s="65"/>
      <c r="BD88" s="65"/>
      <c r="BE88" s="65"/>
      <c r="BF88" s="65"/>
      <c r="BG88" s="65"/>
      <c r="BH88" s="65"/>
      <c r="BI88" s="65"/>
      <c r="BJ88" s="65"/>
      <c r="BK88" s="65"/>
      <c r="BL88" s="65"/>
      <c r="BM88" s="65"/>
      <c r="BN88" s="65"/>
      <c r="BO88" s="65"/>
      <c r="BP88" s="65"/>
      <c r="BQ88" s="65"/>
      <c r="BR88" s="65"/>
      <c r="BS88" s="65"/>
      <c r="BT88" s="65"/>
      <c r="BU88" s="65"/>
      <c r="BV88" s="65"/>
      <c r="BW88" s="65"/>
      <c r="BX88" s="65"/>
      <c r="BY88" s="65"/>
      <c r="BZ88" s="65"/>
      <c r="CA88" s="65"/>
      <c r="CB88" s="65"/>
      <c r="CC88" s="65"/>
      <c r="CD88" s="65"/>
      <c r="CE88" s="65"/>
      <c r="CF88" s="65"/>
      <c r="CG88" s="65"/>
      <c r="CH88" s="65"/>
      <c r="CI88" s="65"/>
      <c r="CJ88" s="65"/>
      <c r="CK88" s="65"/>
      <c r="CL88" s="65"/>
      <c r="CM88" s="65"/>
      <c r="CN88" s="65"/>
      <c r="CO88" s="65"/>
      <c r="CP88" s="65"/>
      <c r="CQ88" s="65"/>
      <c r="CR88" s="65"/>
      <c r="CS88" s="65"/>
      <c r="CT88" s="65"/>
      <c r="CU88" s="65"/>
      <c r="CV88" s="65"/>
      <c r="CW88" s="65"/>
      <c r="CX88" s="65"/>
      <c r="CY88" s="65"/>
      <c r="CZ88" s="65"/>
      <c r="DA88" s="65"/>
      <c r="DB88" s="65"/>
      <c r="DC88" s="65"/>
      <c r="DD88" s="65"/>
      <c r="DE88" s="65"/>
      <c r="DF88" s="65"/>
      <c r="DG88" s="65"/>
      <c r="DH88" s="65"/>
      <c r="DI88" s="65"/>
      <c r="DJ88" s="65"/>
      <c r="DK88" s="65"/>
      <c r="DL88" s="65"/>
      <c r="DM88" s="65"/>
      <c r="DN88" s="65"/>
      <c r="DO88" s="65"/>
      <c r="DP88" s="65"/>
      <c r="DQ88" s="65"/>
      <c r="DR88" s="65"/>
      <c r="DS88" s="65"/>
      <c r="DT88" s="65"/>
      <c r="DU88" s="65"/>
      <c r="DV88" s="65"/>
      <c r="DW88" s="407"/>
      <c r="DX88" s="65"/>
      <c r="DY88" s="407"/>
      <c r="DZ88" s="303" t="s">
        <v>2279</v>
      </c>
    </row>
    <row r="89" spans="1:133" s="44" customFormat="1" ht="46.5" customHeight="1">
      <c r="A89" s="160" t="s">
        <v>2281</v>
      </c>
      <c r="B89" s="65" t="s">
        <v>58</v>
      </c>
      <c r="C89" s="65" t="s">
        <v>58</v>
      </c>
      <c r="D89" s="65" t="s">
        <v>58</v>
      </c>
      <c r="E89" s="65" t="s">
        <v>48</v>
      </c>
      <c r="F89" s="65" t="s">
        <v>713</v>
      </c>
      <c r="G89" s="44" t="s">
        <v>1285</v>
      </c>
      <c r="H89" s="44" t="s">
        <v>3124</v>
      </c>
      <c r="I89" s="65" t="s">
        <v>3100</v>
      </c>
      <c r="J89" s="344" t="s">
        <v>3101</v>
      </c>
      <c r="K89" s="344" t="s">
        <v>3101</v>
      </c>
      <c r="L89" s="65" t="s">
        <v>52</v>
      </c>
      <c r="M89" s="65" t="s">
        <v>2277</v>
      </c>
      <c r="N89" s="65" t="s">
        <v>1113</v>
      </c>
      <c r="O89" s="65" t="s">
        <v>182</v>
      </c>
      <c r="P89" s="65" t="s">
        <v>183</v>
      </c>
      <c r="Q89" s="65" t="s">
        <v>88</v>
      </c>
      <c r="R89" s="65" t="s">
        <v>1034</v>
      </c>
      <c r="S89" s="65" t="s">
        <v>46</v>
      </c>
      <c r="T89" s="65" t="s">
        <v>2425</v>
      </c>
      <c r="U89" s="65" t="s">
        <v>721</v>
      </c>
      <c r="V89" s="65" t="s">
        <v>52</v>
      </c>
      <c r="W89" s="65" t="s">
        <v>2721</v>
      </c>
      <c r="X89" s="65"/>
      <c r="Y89" s="399" t="s">
        <v>3033</v>
      </c>
      <c r="Z89" s="160" t="s">
        <v>1285</v>
      </c>
      <c r="AA89" s="156" t="s">
        <v>53</v>
      </c>
      <c r="AB89" s="156" t="s">
        <v>2034</v>
      </c>
      <c r="AC89" s="156" t="s">
        <v>2176</v>
      </c>
      <c r="AD89" s="205" t="s">
        <v>2020</v>
      </c>
      <c r="AE89" s="65" t="s">
        <v>2027</v>
      </c>
      <c r="AF89" s="65" t="s">
        <v>52</v>
      </c>
      <c r="AG89" s="65" t="s">
        <v>2051</v>
      </c>
      <c r="AH89" s="65" t="s">
        <v>2181</v>
      </c>
      <c r="AI89" s="183"/>
      <c r="AJ89" s="65"/>
      <c r="AK89" s="65"/>
      <c r="AL89" s="65"/>
      <c r="AM89" s="65"/>
      <c r="AN89" s="65"/>
      <c r="AO89" s="65"/>
      <c r="AP89" s="65"/>
      <c r="AQ89" s="65"/>
      <c r="AR89" s="65"/>
      <c r="AS89" s="65"/>
      <c r="AT89" s="65"/>
      <c r="AU89" s="65"/>
      <c r="AV89" s="65"/>
      <c r="AW89" s="65"/>
      <c r="AX89" s="65"/>
      <c r="AY89" s="65" t="s">
        <v>1248</v>
      </c>
      <c r="AZ89" s="65" t="s">
        <v>54</v>
      </c>
      <c r="BA89" s="65" t="s">
        <v>2053</v>
      </c>
      <c r="BB89" s="65" t="s">
        <v>2277</v>
      </c>
      <c r="BC89" s="65"/>
      <c r="BD89" s="65"/>
      <c r="BE89" s="65"/>
      <c r="BF89" s="65"/>
      <c r="BG89" s="65"/>
      <c r="BH89" s="65"/>
      <c r="BI89" s="65"/>
      <c r="BJ89" s="65"/>
      <c r="BK89" s="65"/>
      <c r="BL89" s="65"/>
      <c r="BM89" s="65"/>
      <c r="BN89" s="65"/>
      <c r="BO89" s="65"/>
      <c r="BP89" s="65"/>
      <c r="BQ89" s="65"/>
      <c r="BR89" s="65"/>
      <c r="BS89" s="65"/>
      <c r="BT89" s="65"/>
      <c r="BU89" s="65"/>
      <c r="BV89" s="65"/>
      <c r="BW89" s="65"/>
      <c r="BX89" s="65"/>
      <c r="BY89" s="65"/>
      <c r="BZ89" s="65"/>
      <c r="CA89" s="65"/>
      <c r="CB89" s="65"/>
      <c r="CC89" s="65"/>
      <c r="CD89" s="65"/>
      <c r="CE89" s="65"/>
      <c r="CF89" s="65"/>
      <c r="CG89" s="65"/>
      <c r="CH89" s="65"/>
      <c r="CI89" s="65"/>
      <c r="CJ89" s="65"/>
      <c r="CK89" s="65"/>
      <c r="CL89" s="65"/>
      <c r="CM89" s="65"/>
      <c r="CN89" s="65"/>
      <c r="CO89" s="65"/>
      <c r="CP89" s="65"/>
      <c r="CQ89" s="65"/>
      <c r="CR89" s="65"/>
      <c r="CS89" s="65"/>
      <c r="CT89" s="65"/>
      <c r="CU89" s="65"/>
      <c r="CV89" s="65"/>
      <c r="CW89" s="65"/>
      <c r="CX89" s="65"/>
      <c r="CY89" s="65"/>
      <c r="CZ89" s="65"/>
      <c r="DA89" s="65"/>
      <c r="DB89" s="65"/>
      <c r="DC89" s="65"/>
      <c r="DD89" s="65"/>
      <c r="DE89" s="65"/>
      <c r="DF89" s="65"/>
      <c r="DG89" s="65"/>
      <c r="DH89" s="65"/>
      <c r="DI89" s="65"/>
      <c r="DJ89" s="65"/>
      <c r="DK89" s="65"/>
      <c r="DL89" s="65"/>
      <c r="DM89" s="65"/>
      <c r="DN89" s="65"/>
      <c r="DO89" s="65"/>
      <c r="DP89" s="65"/>
      <c r="DQ89" s="65"/>
      <c r="DR89" s="65"/>
      <c r="DS89" s="65"/>
      <c r="DT89" s="65"/>
      <c r="DU89" s="65"/>
      <c r="DV89" s="65"/>
      <c r="DW89" s="407"/>
      <c r="DX89" s="65"/>
      <c r="DY89" s="407"/>
      <c r="DZ89" s="303" t="s">
        <v>2279</v>
      </c>
    </row>
    <row r="90" spans="1:133" s="44" customFormat="1" ht="46.5" customHeight="1">
      <c r="A90" s="160" t="s">
        <v>2281</v>
      </c>
      <c r="B90" s="65" t="s">
        <v>58</v>
      </c>
      <c r="C90" s="65" t="s">
        <v>58</v>
      </c>
      <c r="D90" s="65" t="s">
        <v>58</v>
      </c>
      <c r="E90" s="65" t="s">
        <v>48</v>
      </c>
      <c r="F90" s="65" t="s">
        <v>2722</v>
      </c>
      <c r="G90" s="44" t="s">
        <v>1286</v>
      </c>
      <c r="H90" s="44" t="s">
        <v>3124</v>
      </c>
      <c r="I90" s="65" t="s">
        <v>3100</v>
      </c>
      <c r="J90" s="344" t="s">
        <v>3101</v>
      </c>
      <c r="K90" s="344" t="s">
        <v>3101</v>
      </c>
      <c r="L90" s="65" t="s">
        <v>52</v>
      </c>
      <c r="M90" s="65" t="s">
        <v>2277</v>
      </c>
      <c r="N90" s="65" t="s">
        <v>1113</v>
      </c>
      <c r="O90" s="65" t="s">
        <v>182</v>
      </c>
      <c r="P90" s="65" t="s">
        <v>183</v>
      </c>
      <c r="Q90" s="65" t="s">
        <v>86</v>
      </c>
      <c r="R90" s="65" t="s">
        <v>1035</v>
      </c>
      <c r="S90" s="65" t="s">
        <v>46</v>
      </c>
      <c r="T90" s="65" t="s">
        <v>2425</v>
      </c>
      <c r="U90" s="65" t="s">
        <v>2723</v>
      </c>
      <c r="V90" s="65" t="s">
        <v>52</v>
      </c>
      <c r="W90" s="65" t="s">
        <v>2724</v>
      </c>
      <c r="X90" s="65"/>
      <c r="Y90" s="400"/>
      <c r="Z90" s="160" t="s">
        <v>1286</v>
      </c>
      <c r="AA90" s="156" t="s">
        <v>53</v>
      </c>
      <c r="AB90" s="156" t="s">
        <v>2035</v>
      </c>
      <c r="AC90" s="156" t="s">
        <v>2176</v>
      </c>
      <c r="AD90" s="205" t="s">
        <v>2021</v>
      </c>
      <c r="AE90" s="65" t="s">
        <v>2028</v>
      </c>
      <c r="AF90" s="65" t="s">
        <v>52</v>
      </c>
      <c r="AG90" s="65" t="s">
        <v>2051</v>
      </c>
      <c r="AH90" s="65" t="s">
        <v>2181</v>
      </c>
      <c r="AI90" s="183"/>
      <c r="AJ90" s="65"/>
      <c r="AK90" s="65"/>
      <c r="AL90" s="65"/>
      <c r="AM90" s="65"/>
      <c r="AN90" s="65"/>
      <c r="AO90" s="65"/>
      <c r="AP90" s="65"/>
      <c r="AQ90" s="65"/>
      <c r="AR90" s="65"/>
      <c r="AS90" s="65"/>
      <c r="AT90" s="65"/>
      <c r="AU90" s="65"/>
      <c r="AV90" s="65"/>
      <c r="AW90" s="65"/>
      <c r="AX90" s="65"/>
      <c r="AY90" s="65" t="s">
        <v>1247</v>
      </c>
      <c r="AZ90" s="65" t="s">
        <v>54</v>
      </c>
      <c r="BA90" s="65" t="s">
        <v>2053</v>
      </c>
      <c r="BB90" s="65" t="s">
        <v>2277</v>
      </c>
      <c r="BC90" s="65"/>
      <c r="BD90" s="65"/>
      <c r="BE90" s="65"/>
      <c r="BF90" s="65"/>
      <c r="BG90" s="65"/>
      <c r="BH90" s="65"/>
      <c r="BI90" s="65"/>
      <c r="BJ90" s="65"/>
      <c r="BK90" s="65"/>
      <c r="BL90" s="65"/>
      <c r="BM90" s="65"/>
      <c r="BN90" s="65"/>
      <c r="BO90" s="65"/>
      <c r="BP90" s="65"/>
      <c r="BQ90" s="65"/>
      <c r="BR90" s="65"/>
      <c r="BS90" s="65"/>
      <c r="BT90" s="65"/>
      <c r="BU90" s="65"/>
      <c r="BV90" s="65"/>
      <c r="BW90" s="65"/>
      <c r="BX90" s="65"/>
      <c r="BY90" s="65"/>
      <c r="BZ90" s="65"/>
      <c r="CA90" s="65"/>
      <c r="CB90" s="65"/>
      <c r="CC90" s="65"/>
      <c r="CD90" s="65"/>
      <c r="CE90" s="65"/>
      <c r="CF90" s="65"/>
      <c r="CG90" s="65"/>
      <c r="CH90" s="65"/>
      <c r="CI90" s="65"/>
      <c r="CJ90" s="65"/>
      <c r="CK90" s="65"/>
      <c r="CL90" s="65"/>
      <c r="CM90" s="65"/>
      <c r="CN90" s="65"/>
      <c r="CO90" s="65"/>
      <c r="CP90" s="65"/>
      <c r="CQ90" s="65"/>
      <c r="CR90" s="65"/>
      <c r="CS90" s="65"/>
      <c r="CT90" s="65"/>
      <c r="CU90" s="65"/>
      <c r="CV90" s="65"/>
      <c r="CW90" s="65"/>
      <c r="CX90" s="65"/>
      <c r="CY90" s="65"/>
      <c r="CZ90" s="65"/>
      <c r="DA90" s="65"/>
      <c r="DB90" s="65"/>
      <c r="DC90" s="65"/>
      <c r="DD90" s="65"/>
      <c r="DE90" s="65"/>
      <c r="DF90" s="65"/>
      <c r="DG90" s="65"/>
      <c r="DH90" s="65"/>
      <c r="DI90" s="65"/>
      <c r="DJ90" s="65"/>
      <c r="DK90" s="65"/>
      <c r="DL90" s="65"/>
      <c r="DM90" s="65"/>
      <c r="DN90" s="65"/>
      <c r="DO90" s="65"/>
      <c r="DP90" s="65"/>
      <c r="DQ90" s="65"/>
      <c r="DR90" s="65"/>
      <c r="DS90" s="65"/>
      <c r="DT90" s="65"/>
      <c r="DU90" s="65"/>
      <c r="DV90" s="65"/>
      <c r="DW90" s="407"/>
      <c r="DX90" s="65"/>
      <c r="DY90" s="407"/>
      <c r="DZ90" s="303" t="s">
        <v>2279</v>
      </c>
    </row>
    <row r="91" spans="1:133" s="44" customFormat="1" ht="12.75">
      <c r="A91" s="160" t="s">
        <v>2281</v>
      </c>
      <c r="B91" s="65" t="s">
        <v>58</v>
      </c>
      <c r="C91" s="65" t="s">
        <v>58</v>
      </c>
      <c r="D91" s="65" t="s">
        <v>58</v>
      </c>
      <c r="E91" s="65" t="s">
        <v>48</v>
      </c>
      <c r="F91" s="65" t="s">
        <v>1967</v>
      </c>
      <c r="G91" s="44" t="s">
        <v>1287</v>
      </c>
      <c r="H91" s="44" t="s">
        <v>3124</v>
      </c>
      <c r="I91" s="65" t="s">
        <v>3100</v>
      </c>
      <c r="J91" s="344" t="s">
        <v>3101</v>
      </c>
      <c r="K91" s="344" t="s">
        <v>3101</v>
      </c>
      <c r="L91" s="65" t="s">
        <v>52</v>
      </c>
      <c r="M91" s="65" t="s">
        <v>2277</v>
      </c>
      <c r="N91" s="65" t="s">
        <v>1113</v>
      </c>
      <c r="O91" s="65" t="s">
        <v>182</v>
      </c>
      <c r="P91" s="65" t="s">
        <v>183</v>
      </c>
      <c r="Q91" s="65" t="s">
        <v>86</v>
      </c>
      <c r="R91" s="65" t="s">
        <v>1036</v>
      </c>
      <c r="S91" s="65" t="s">
        <v>46</v>
      </c>
      <c r="T91" s="65" t="s">
        <v>2274</v>
      </c>
      <c r="U91" s="65" t="s">
        <v>722</v>
      </c>
      <c r="V91" s="65" t="s">
        <v>52</v>
      </c>
      <c r="W91" s="65" t="s">
        <v>2725</v>
      </c>
      <c r="X91" s="65"/>
      <c r="Y91" s="205"/>
      <c r="Z91" s="160" t="s">
        <v>1287</v>
      </c>
      <c r="AA91" s="156" t="s">
        <v>53</v>
      </c>
      <c r="AB91" s="156" t="s">
        <v>2036</v>
      </c>
      <c r="AC91" s="156" t="s">
        <v>2176</v>
      </c>
      <c r="AD91" s="205" t="s">
        <v>2022</v>
      </c>
      <c r="AE91" s="65" t="s">
        <v>2029</v>
      </c>
      <c r="AF91" s="65" t="s">
        <v>52</v>
      </c>
      <c r="AG91" s="65" t="s">
        <v>2051</v>
      </c>
      <c r="AH91" s="65" t="s">
        <v>2181</v>
      </c>
      <c r="AI91" s="183"/>
      <c r="AJ91" s="65"/>
      <c r="AK91" s="65"/>
      <c r="AL91" s="65"/>
      <c r="AM91" s="65"/>
      <c r="AN91" s="65"/>
      <c r="AO91" s="65"/>
      <c r="AP91" s="65"/>
      <c r="AQ91" s="65"/>
      <c r="AR91" s="65"/>
      <c r="AS91" s="65"/>
      <c r="AT91" s="65"/>
      <c r="AU91" s="65"/>
      <c r="AV91" s="65"/>
      <c r="AW91" s="65"/>
      <c r="AX91" s="65"/>
      <c r="AY91" s="65" t="s">
        <v>1246</v>
      </c>
      <c r="AZ91" s="65" t="s">
        <v>54</v>
      </c>
      <c r="BA91" s="65" t="s">
        <v>2053</v>
      </c>
      <c r="BB91" s="65" t="s">
        <v>2277</v>
      </c>
      <c r="BC91" s="65"/>
      <c r="BD91" s="65"/>
      <c r="BE91" s="65"/>
      <c r="BF91" s="65"/>
      <c r="BG91" s="65"/>
      <c r="BH91" s="65"/>
      <c r="BI91" s="65"/>
      <c r="BJ91" s="65"/>
      <c r="BK91" s="65"/>
      <c r="BL91" s="65"/>
      <c r="BM91" s="65"/>
      <c r="BN91" s="65"/>
      <c r="BO91" s="65"/>
      <c r="BP91" s="65"/>
      <c r="BQ91" s="65"/>
      <c r="BR91" s="65"/>
      <c r="BS91" s="65"/>
      <c r="BT91" s="65"/>
      <c r="BU91" s="65"/>
      <c r="BV91" s="65"/>
      <c r="BW91" s="65"/>
      <c r="BX91" s="65"/>
      <c r="BY91" s="65"/>
      <c r="BZ91" s="65"/>
      <c r="CA91" s="65"/>
      <c r="CB91" s="65"/>
      <c r="CC91" s="65"/>
      <c r="CD91" s="65"/>
      <c r="CE91" s="65"/>
      <c r="CF91" s="65"/>
      <c r="CG91" s="65"/>
      <c r="CH91" s="65"/>
      <c r="CI91" s="65"/>
      <c r="CJ91" s="65"/>
      <c r="CK91" s="65"/>
      <c r="CL91" s="65"/>
      <c r="CM91" s="65"/>
      <c r="CN91" s="65"/>
      <c r="CO91" s="65"/>
      <c r="CP91" s="65"/>
      <c r="CQ91" s="65"/>
      <c r="CR91" s="65"/>
      <c r="CS91" s="65"/>
      <c r="CT91" s="65"/>
      <c r="CU91" s="65"/>
      <c r="CV91" s="65"/>
      <c r="CW91" s="65"/>
      <c r="CX91" s="65"/>
      <c r="CY91" s="65"/>
      <c r="CZ91" s="65"/>
      <c r="DA91" s="65"/>
      <c r="DB91" s="65"/>
      <c r="DC91" s="65"/>
      <c r="DD91" s="65"/>
      <c r="DE91" s="65"/>
      <c r="DF91" s="65"/>
      <c r="DG91" s="65"/>
      <c r="DH91" s="65"/>
      <c r="DI91" s="65"/>
      <c r="DJ91" s="65"/>
      <c r="DK91" s="65"/>
      <c r="DL91" s="65"/>
      <c r="DM91" s="65"/>
      <c r="DN91" s="65"/>
      <c r="DO91" s="65"/>
      <c r="DP91" s="65"/>
      <c r="DQ91" s="65"/>
      <c r="DR91" s="65"/>
      <c r="DS91" s="65"/>
      <c r="DT91" s="65"/>
      <c r="DU91" s="65"/>
      <c r="DV91" s="65"/>
      <c r="DW91" s="407"/>
      <c r="DX91" s="65"/>
      <c r="DY91" s="407"/>
      <c r="DZ91" s="303" t="s">
        <v>2279</v>
      </c>
    </row>
    <row r="92" spans="1:133" s="156" customFormat="1" ht="13.5">
      <c r="A92" s="156" t="s">
        <v>2281</v>
      </c>
      <c r="B92" s="156" t="s">
        <v>58</v>
      </c>
      <c r="C92" s="156" t="s">
        <v>58</v>
      </c>
      <c r="D92" s="156" t="s">
        <v>58</v>
      </c>
      <c r="E92" s="160" t="s">
        <v>48</v>
      </c>
      <c r="F92" s="65" t="s">
        <v>2726</v>
      </c>
      <c r="G92" s="44" t="s">
        <v>3110</v>
      </c>
      <c r="H92" s="44" t="s">
        <v>3124</v>
      </c>
      <c r="I92" s="65" t="s">
        <v>3100</v>
      </c>
      <c r="J92" s="344" t="s">
        <v>3101</v>
      </c>
      <c r="K92" s="344" t="s">
        <v>3101</v>
      </c>
      <c r="L92" s="160" t="s">
        <v>52</v>
      </c>
      <c r="M92" s="65" t="s">
        <v>2277</v>
      </c>
      <c r="N92" s="156" t="s">
        <v>1113</v>
      </c>
      <c r="O92" s="156" t="s">
        <v>2617</v>
      </c>
      <c r="P92" s="156" t="s">
        <v>183</v>
      </c>
      <c r="Q92" s="202" t="s">
        <v>86</v>
      </c>
      <c r="R92" s="65" t="s">
        <v>1037</v>
      </c>
      <c r="S92" s="156" t="s">
        <v>46</v>
      </c>
      <c r="T92" s="65" t="s">
        <v>2274</v>
      </c>
      <c r="U92" s="65" t="s">
        <v>723</v>
      </c>
      <c r="V92" s="156" t="s">
        <v>52</v>
      </c>
      <c r="W92" s="156" t="s">
        <v>2727</v>
      </c>
      <c r="X92" s="156" t="s">
        <v>2183</v>
      </c>
      <c r="Y92" s="65" t="s">
        <v>2728</v>
      </c>
      <c r="Z92" s="156" t="s">
        <v>2729</v>
      </c>
      <c r="AA92" s="156" t="s">
        <v>53</v>
      </c>
      <c r="AB92" s="156" t="s">
        <v>2037</v>
      </c>
      <c r="AC92" s="156" t="s">
        <v>2176</v>
      </c>
      <c r="AD92" s="156" t="s">
        <v>642</v>
      </c>
      <c r="AE92" s="65" t="s">
        <v>2317</v>
      </c>
      <c r="AF92" s="65" t="s">
        <v>53</v>
      </c>
      <c r="AG92" s="65" t="s">
        <v>2052</v>
      </c>
      <c r="AH92" s="65" t="s">
        <v>2181</v>
      </c>
      <c r="AJ92" s="160"/>
      <c r="AK92" s="202"/>
      <c r="AL92" s="202"/>
      <c r="AM92" s="202"/>
      <c r="AN92" s="157"/>
      <c r="AW92" s="275"/>
      <c r="AX92" s="275"/>
      <c r="AY92" s="65" t="s">
        <v>1245</v>
      </c>
      <c r="AZ92" s="65" t="s">
        <v>54</v>
      </c>
      <c r="BA92" s="65" t="s">
        <v>2053</v>
      </c>
      <c r="BB92" s="65" t="s">
        <v>2277</v>
      </c>
      <c r="DW92" s="407"/>
      <c r="DY92" s="407"/>
      <c r="DZ92" s="303" t="s">
        <v>2279</v>
      </c>
    </row>
    <row r="93" spans="1:133" s="156" customFormat="1" ht="37.5">
      <c r="A93" s="156" t="s">
        <v>2281</v>
      </c>
      <c r="B93" s="156" t="s">
        <v>58</v>
      </c>
      <c r="C93" s="156" t="s">
        <v>58</v>
      </c>
      <c r="D93" s="156" t="s">
        <v>58</v>
      </c>
      <c r="E93" s="160" t="s">
        <v>48</v>
      </c>
      <c r="F93" s="65" t="s">
        <v>1968</v>
      </c>
      <c r="G93" s="44" t="s">
        <v>3111</v>
      </c>
      <c r="H93" s="44" t="s">
        <v>3124</v>
      </c>
      <c r="I93" s="65" t="s">
        <v>3100</v>
      </c>
      <c r="J93" s="344" t="s">
        <v>3101</v>
      </c>
      <c r="K93" s="344" t="s">
        <v>3101</v>
      </c>
      <c r="L93" s="160" t="s">
        <v>52</v>
      </c>
      <c r="M93" s="65" t="s">
        <v>2277</v>
      </c>
      <c r="N93" s="156" t="s">
        <v>1113</v>
      </c>
      <c r="O93" s="156" t="s">
        <v>2617</v>
      </c>
      <c r="P93" s="156" t="s">
        <v>183</v>
      </c>
      <c r="Q93" s="202" t="s">
        <v>86</v>
      </c>
      <c r="R93" s="65" t="s">
        <v>1359</v>
      </c>
      <c r="S93" s="156" t="s">
        <v>46</v>
      </c>
      <c r="T93" s="156" t="s">
        <v>2425</v>
      </c>
      <c r="U93" s="65" t="s">
        <v>724</v>
      </c>
      <c r="V93" s="156" t="s">
        <v>52</v>
      </c>
      <c r="W93" s="156" t="s">
        <v>2730</v>
      </c>
      <c r="X93" s="156" t="s">
        <v>2183</v>
      </c>
      <c r="Y93" s="205" t="s">
        <v>2731</v>
      </c>
      <c r="Z93" s="156" t="s">
        <v>2732</v>
      </c>
      <c r="AA93" s="156" t="s">
        <v>53</v>
      </c>
      <c r="AB93" s="156" t="s">
        <v>2038</v>
      </c>
      <c r="AC93" s="156" t="s">
        <v>2176</v>
      </c>
      <c r="AD93" s="156" t="s">
        <v>643</v>
      </c>
      <c r="AJ93" s="65"/>
      <c r="AK93" s="65"/>
      <c r="AL93" s="202"/>
      <c r="AM93" s="65"/>
      <c r="AN93" s="157"/>
      <c r="AT93" s="275" t="s">
        <v>1305</v>
      </c>
      <c r="AU93" s="65" t="s">
        <v>53</v>
      </c>
      <c r="AV93" s="65" t="s">
        <v>2054</v>
      </c>
      <c r="AW93" s="65" t="s">
        <v>2178</v>
      </c>
      <c r="AX93" s="278"/>
      <c r="AY93" s="65" t="s">
        <v>2078</v>
      </c>
      <c r="AZ93" s="65" t="s">
        <v>53</v>
      </c>
      <c r="BA93" s="65" t="s">
        <v>2053</v>
      </c>
      <c r="BB93" s="65" t="s">
        <v>2277</v>
      </c>
      <c r="DW93" s="407"/>
      <c r="DY93" s="407"/>
      <c r="DZ93" s="303" t="s">
        <v>2279</v>
      </c>
    </row>
    <row r="94" spans="1:133" s="156" customFormat="1" ht="13.5">
      <c r="A94" s="156" t="s">
        <v>2281</v>
      </c>
      <c r="B94" s="156" t="s">
        <v>58</v>
      </c>
      <c r="C94" s="156" t="s">
        <v>58</v>
      </c>
      <c r="D94" s="156" t="s">
        <v>58</v>
      </c>
      <c r="E94" s="160" t="s">
        <v>48</v>
      </c>
      <c r="F94" s="65" t="s">
        <v>1969</v>
      </c>
      <c r="G94" s="44" t="s">
        <v>3112</v>
      </c>
      <c r="H94" s="44" t="s">
        <v>3124</v>
      </c>
      <c r="I94" s="65" t="s">
        <v>3100</v>
      </c>
      <c r="J94" s="344" t="s">
        <v>3101</v>
      </c>
      <c r="K94" s="344" t="s">
        <v>3101</v>
      </c>
      <c r="L94" s="160" t="s">
        <v>52</v>
      </c>
      <c r="M94" s="65" t="s">
        <v>2277</v>
      </c>
      <c r="N94" s="156" t="s">
        <v>1113</v>
      </c>
      <c r="O94" s="156" t="s">
        <v>2617</v>
      </c>
      <c r="P94" s="156" t="s">
        <v>183</v>
      </c>
      <c r="Q94" s="202" t="s">
        <v>86</v>
      </c>
      <c r="R94" s="65" t="s">
        <v>1038</v>
      </c>
      <c r="S94" s="156" t="s">
        <v>46</v>
      </c>
      <c r="T94" s="156" t="s">
        <v>2425</v>
      </c>
      <c r="U94" s="65" t="s">
        <v>1976</v>
      </c>
      <c r="V94" s="156" t="s">
        <v>52</v>
      </c>
      <c r="W94" s="156" t="s">
        <v>2733</v>
      </c>
      <c r="X94" s="156" t="s">
        <v>2183</v>
      </c>
      <c r="Y94" s="205"/>
      <c r="Z94" s="156" t="s">
        <v>2734</v>
      </c>
      <c r="AA94" s="156" t="s">
        <v>53</v>
      </c>
      <c r="AB94" s="156" t="s">
        <v>2039</v>
      </c>
      <c r="AC94" s="156" t="s">
        <v>2176</v>
      </c>
      <c r="AD94" s="156" t="s">
        <v>644</v>
      </c>
      <c r="AJ94" s="65"/>
      <c r="AK94" s="65"/>
      <c r="AL94" s="202"/>
      <c r="AM94" s="65"/>
      <c r="AN94" s="267"/>
      <c r="AT94" s="275" t="s">
        <v>1306</v>
      </c>
      <c r="AU94" s="65" t="s">
        <v>53</v>
      </c>
      <c r="AV94" s="65" t="s">
        <v>2054</v>
      </c>
      <c r="AW94" s="65" t="s">
        <v>2178</v>
      </c>
      <c r="AX94" s="278"/>
      <c r="AY94" s="65" t="s">
        <v>2077</v>
      </c>
      <c r="AZ94" s="65" t="s">
        <v>53</v>
      </c>
      <c r="BA94" s="65" t="s">
        <v>2053</v>
      </c>
      <c r="BB94" s="65" t="s">
        <v>2277</v>
      </c>
      <c r="DW94" s="407"/>
      <c r="DY94" s="407"/>
      <c r="DZ94" s="303" t="s">
        <v>2279</v>
      </c>
    </row>
    <row r="95" spans="1:133" s="156" customFormat="1">
      <c r="A95" s="156" t="s">
        <v>2281</v>
      </c>
      <c r="B95" s="156" t="s">
        <v>58</v>
      </c>
      <c r="C95" s="156" t="s">
        <v>58</v>
      </c>
      <c r="D95" s="156" t="s">
        <v>58</v>
      </c>
      <c r="E95" s="160" t="s">
        <v>48</v>
      </c>
      <c r="F95" s="65" t="s">
        <v>1970</v>
      </c>
      <c r="G95" s="44" t="s">
        <v>3113</v>
      </c>
      <c r="H95" s="44" t="s">
        <v>3124</v>
      </c>
      <c r="I95" s="65" t="s">
        <v>3100</v>
      </c>
      <c r="J95" s="344" t="s">
        <v>3101</v>
      </c>
      <c r="K95" s="344" t="s">
        <v>3101</v>
      </c>
      <c r="L95" s="160" t="s">
        <v>52</v>
      </c>
      <c r="M95" s="65" t="s">
        <v>2277</v>
      </c>
      <c r="N95" s="156" t="s">
        <v>1113</v>
      </c>
      <c r="O95" s="156" t="s">
        <v>2617</v>
      </c>
      <c r="P95" s="156" t="s">
        <v>183</v>
      </c>
      <c r="Q95" s="202" t="s">
        <v>86</v>
      </c>
      <c r="R95" s="65" t="s">
        <v>1360</v>
      </c>
      <c r="S95" s="156" t="s">
        <v>46</v>
      </c>
      <c r="T95" s="156" t="s">
        <v>1123</v>
      </c>
      <c r="U95" s="65" t="s">
        <v>725</v>
      </c>
      <c r="V95" s="156" t="s">
        <v>52</v>
      </c>
      <c r="W95" s="156" t="s">
        <v>2735</v>
      </c>
      <c r="X95" s="156" t="s">
        <v>2183</v>
      </c>
      <c r="Y95" s="205"/>
      <c r="Z95" s="156" t="s">
        <v>2736</v>
      </c>
      <c r="AA95" s="156" t="s">
        <v>53</v>
      </c>
      <c r="AB95" s="156" t="s">
        <v>2040</v>
      </c>
      <c r="AC95" s="156" t="s">
        <v>2176</v>
      </c>
      <c r="AD95" s="156" t="s">
        <v>645</v>
      </c>
      <c r="AK95" s="160"/>
      <c r="AL95" s="202"/>
      <c r="AN95" s="253"/>
      <c r="AT95" s="275" t="s">
        <v>1307</v>
      </c>
      <c r="AU95" s="65" t="s">
        <v>53</v>
      </c>
      <c r="AV95" s="65" t="s">
        <v>2054</v>
      </c>
      <c r="AW95" s="65" t="s">
        <v>2178</v>
      </c>
      <c r="AX95" s="278"/>
      <c r="AY95" s="65" t="s">
        <v>2076</v>
      </c>
      <c r="AZ95" s="65" t="s">
        <v>53</v>
      </c>
      <c r="BA95" s="65" t="s">
        <v>2053</v>
      </c>
      <c r="BB95" s="65" t="s">
        <v>2277</v>
      </c>
      <c r="CM95" s="182"/>
      <c r="DW95" s="407"/>
      <c r="DY95" s="407"/>
      <c r="DZ95" s="303" t="s">
        <v>2279</v>
      </c>
    </row>
    <row r="96" spans="1:133" s="156" customFormat="1">
      <c r="A96" s="156" t="s">
        <v>2281</v>
      </c>
      <c r="B96" s="156" t="s">
        <v>58</v>
      </c>
      <c r="C96" s="156" t="s">
        <v>58</v>
      </c>
      <c r="D96" s="156" t="s">
        <v>58</v>
      </c>
      <c r="E96" s="160" t="s">
        <v>48</v>
      </c>
      <c r="F96" s="65" t="s">
        <v>1971</v>
      </c>
      <c r="G96" s="44" t="s">
        <v>3114</v>
      </c>
      <c r="H96" s="44" t="s">
        <v>3124</v>
      </c>
      <c r="I96" s="65" t="s">
        <v>3100</v>
      </c>
      <c r="J96" s="344" t="s">
        <v>3101</v>
      </c>
      <c r="K96" s="344" t="s">
        <v>3101</v>
      </c>
      <c r="L96" s="160" t="s">
        <v>52</v>
      </c>
      <c r="M96" s="65" t="s">
        <v>2277</v>
      </c>
      <c r="N96" s="156" t="s">
        <v>1113</v>
      </c>
      <c r="O96" s="156" t="s">
        <v>2617</v>
      </c>
      <c r="P96" s="156" t="s">
        <v>183</v>
      </c>
      <c r="Q96" s="202" t="s">
        <v>86</v>
      </c>
      <c r="R96" s="65" t="s">
        <v>1093</v>
      </c>
      <c r="S96" s="156" t="s">
        <v>46</v>
      </c>
      <c r="T96" s="156" t="s">
        <v>1123</v>
      </c>
      <c r="U96" s="65" t="s">
        <v>726</v>
      </c>
      <c r="V96" s="156" t="s">
        <v>52</v>
      </c>
      <c r="W96" s="156" t="s">
        <v>2737</v>
      </c>
      <c r="X96" s="156" t="s">
        <v>2183</v>
      </c>
      <c r="Y96" s="205"/>
      <c r="Z96" s="156" t="s">
        <v>2738</v>
      </c>
      <c r="AA96" s="156" t="s">
        <v>53</v>
      </c>
      <c r="AB96" s="156" t="s">
        <v>2041</v>
      </c>
      <c r="AC96" s="156" t="s">
        <v>2176</v>
      </c>
      <c r="AD96" s="156" t="s">
        <v>646</v>
      </c>
      <c r="AK96" s="160"/>
      <c r="AL96" s="202"/>
      <c r="AN96" s="253"/>
      <c r="AT96" s="275" t="s">
        <v>1308</v>
      </c>
      <c r="AU96" s="65" t="s">
        <v>53</v>
      </c>
      <c r="AV96" s="65" t="s">
        <v>2054</v>
      </c>
      <c r="AW96" s="65" t="s">
        <v>2178</v>
      </c>
      <c r="AX96" s="278"/>
      <c r="AY96" s="65" t="s">
        <v>2075</v>
      </c>
      <c r="AZ96" s="65" t="s">
        <v>53</v>
      </c>
      <c r="BA96" s="65" t="s">
        <v>2053</v>
      </c>
      <c r="BB96" s="65" t="s">
        <v>2277</v>
      </c>
      <c r="CM96" s="182"/>
      <c r="DW96" s="407"/>
      <c r="DY96" s="407"/>
      <c r="DZ96" s="303" t="s">
        <v>2279</v>
      </c>
    </row>
    <row r="97" spans="1:130" s="156" customFormat="1" ht="13.5">
      <c r="A97" s="156" t="s">
        <v>2281</v>
      </c>
      <c r="B97" s="156" t="s">
        <v>58</v>
      </c>
      <c r="C97" s="156" t="s">
        <v>58</v>
      </c>
      <c r="D97" s="156" t="s">
        <v>58</v>
      </c>
      <c r="E97" s="160" t="s">
        <v>48</v>
      </c>
      <c r="F97" s="65" t="s">
        <v>1972</v>
      </c>
      <c r="G97" s="44" t="s">
        <v>3115</v>
      </c>
      <c r="H97" s="44" t="s">
        <v>3124</v>
      </c>
      <c r="I97" s="65" t="s">
        <v>3100</v>
      </c>
      <c r="J97" s="344" t="s">
        <v>3101</v>
      </c>
      <c r="K97" s="344" t="s">
        <v>3101</v>
      </c>
      <c r="L97" s="160" t="s">
        <v>52</v>
      </c>
      <c r="M97" s="65" t="s">
        <v>2277</v>
      </c>
      <c r="N97" s="156" t="s">
        <v>1113</v>
      </c>
      <c r="O97" s="156" t="s">
        <v>2617</v>
      </c>
      <c r="P97" s="156" t="s">
        <v>183</v>
      </c>
      <c r="Q97" s="202" t="s">
        <v>86</v>
      </c>
      <c r="R97" s="65" t="s">
        <v>585</v>
      </c>
      <c r="S97" s="156" t="s">
        <v>46</v>
      </c>
      <c r="T97" s="156" t="s">
        <v>1123</v>
      </c>
      <c r="U97" s="65" t="s">
        <v>727</v>
      </c>
      <c r="V97" s="156" t="s">
        <v>52</v>
      </c>
      <c r="W97" s="156" t="s">
        <v>2739</v>
      </c>
      <c r="X97" s="156" t="s">
        <v>2183</v>
      </c>
      <c r="Y97" s="205"/>
      <c r="Z97" s="156" t="s">
        <v>2740</v>
      </c>
      <c r="AA97" s="156" t="s">
        <v>53</v>
      </c>
      <c r="AB97" s="156" t="s">
        <v>2042</v>
      </c>
      <c r="AC97" s="156" t="s">
        <v>2176</v>
      </c>
      <c r="AD97" s="156" t="s">
        <v>647</v>
      </c>
      <c r="AJ97" s="204"/>
      <c r="AK97" s="160"/>
      <c r="AL97" s="202"/>
      <c r="AN97" s="205"/>
      <c r="AT97" s="275" t="s">
        <v>2741</v>
      </c>
      <c r="AU97" s="65" t="s">
        <v>53</v>
      </c>
      <c r="AV97" s="65" t="s">
        <v>2054</v>
      </c>
      <c r="AW97" s="65" t="s">
        <v>2178</v>
      </c>
      <c r="AX97" s="278"/>
      <c r="AY97" s="65" t="s">
        <v>2074</v>
      </c>
      <c r="AZ97" s="65" t="s">
        <v>53</v>
      </c>
      <c r="BA97" s="65" t="s">
        <v>2053</v>
      </c>
      <c r="BB97" s="65" t="s">
        <v>2277</v>
      </c>
      <c r="BD97" s="160" t="s">
        <v>804</v>
      </c>
      <c r="BE97" s="160" t="s">
        <v>53</v>
      </c>
      <c r="BF97" s="160" t="s">
        <v>1815</v>
      </c>
      <c r="BG97" s="160"/>
      <c r="BH97" s="160"/>
      <c r="BI97" s="160" t="s">
        <v>812</v>
      </c>
      <c r="BJ97" s="160" t="s">
        <v>53</v>
      </c>
      <c r="BK97" s="160" t="s">
        <v>1816</v>
      </c>
      <c r="BL97" s="160"/>
      <c r="BM97" s="160"/>
      <c r="BN97" s="160" t="s">
        <v>820</v>
      </c>
      <c r="BO97" s="160" t="s">
        <v>53</v>
      </c>
      <c r="BP97" s="160" t="s">
        <v>1817</v>
      </c>
      <c r="BQ97" s="160"/>
      <c r="BR97" s="160"/>
      <c r="BS97" s="160" t="s">
        <v>828</v>
      </c>
      <c r="BT97" s="160" t="s">
        <v>53</v>
      </c>
      <c r="BU97" s="160" t="s">
        <v>1818</v>
      </c>
      <c r="BV97" s="160"/>
      <c r="BW97" s="160"/>
      <c r="BX97" s="160" t="s">
        <v>836</v>
      </c>
      <c r="BY97" s="160" t="s">
        <v>53</v>
      </c>
      <c r="BZ97" s="160" t="s">
        <v>1819</v>
      </c>
      <c r="CA97" s="160"/>
      <c r="CB97" s="160"/>
      <c r="CC97" s="160" t="s">
        <v>844</v>
      </c>
      <c r="CD97" s="160" t="s">
        <v>53</v>
      </c>
      <c r="CE97" s="160" t="s">
        <v>1820</v>
      </c>
      <c r="CF97" s="160"/>
      <c r="CG97" s="160"/>
      <c r="CH97" s="160" t="s">
        <v>858</v>
      </c>
      <c r="CI97" s="160" t="s">
        <v>53</v>
      </c>
      <c r="CJ97" s="160" t="s">
        <v>1821</v>
      </c>
      <c r="CK97" s="160"/>
      <c r="CL97" s="160"/>
      <c r="CM97" s="160" t="s">
        <v>859</v>
      </c>
      <c r="CN97" s="160" t="s">
        <v>53</v>
      </c>
      <c r="CO97" s="160" t="s">
        <v>1822</v>
      </c>
      <c r="CP97" s="160"/>
      <c r="CQ97" s="160"/>
      <c r="CR97" s="160" t="s">
        <v>860</v>
      </c>
      <c r="CS97" s="160" t="s">
        <v>53</v>
      </c>
      <c r="CT97" s="160" t="s">
        <v>1823</v>
      </c>
      <c r="CU97" s="160"/>
      <c r="CV97" s="160"/>
      <c r="CW97" s="160" t="s">
        <v>861</v>
      </c>
      <c r="CX97" s="160" t="s">
        <v>53</v>
      </c>
      <c r="CY97" s="160" t="s">
        <v>1824</v>
      </c>
      <c r="CZ97" s="160"/>
      <c r="DA97" s="160"/>
      <c r="DB97" s="160" t="s">
        <v>895</v>
      </c>
      <c r="DC97" s="160" t="s">
        <v>53</v>
      </c>
      <c r="DD97" s="160" t="s">
        <v>1825</v>
      </c>
      <c r="DE97" s="160"/>
      <c r="DF97" s="160"/>
      <c r="DG97" s="160" t="s">
        <v>903</v>
      </c>
      <c r="DH97" s="160" t="s">
        <v>53</v>
      </c>
      <c r="DI97" s="160" t="s">
        <v>1826</v>
      </c>
      <c r="DJ97" s="202"/>
      <c r="DK97" s="202"/>
      <c r="DL97" s="160" t="s">
        <v>911</v>
      </c>
      <c r="DM97" s="160" t="s">
        <v>53</v>
      </c>
      <c r="DN97" s="160" t="s">
        <v>1827</v>
      </c>
      <c r="DQ97" s="160" t="s">
        <v>2228</v>
      </c>
      <c r="DR97" s="160" t="s">
        <v>53</v>
      </c>
      <c r="DS97" s="160" t="s">
        <v>2260</v>
      </c>
      <c r="DW97" s="407"/>
      <c r="DY97" s="407"/>
      <c r="DZ97" s="303" t="s">
        <v>2279</v>
      </c>
    </row>
    <row r="98" spans="1:130" s="156" customFormat="1" ht="13.5">
      <c r="A98" s="156" t="s">
        <v>2281</v>
      </c>
      <c r="B98" s="156" t="s">
        <v>58</v>
      </c>
      <c r="C98" s="156" t="s">
        <v>58</v>
      </c>
      <c r="D98" s="156" t="s">
        <v>58</v>
      </c>
      <c r="E98" s="160" t="s">
        <v>48</v>
      </c>
      <c r="F98" s="65" t="s">
        <v>1973</v>
      </c>
      <c r="G98" s="44" t="s">
        <v>3116</v>
      </c>
      <c r="H98" s="44" t="s">
        <v>3124</v>
      </c>
      <c r="I98" s="65" t="s">
        <v>3100</v>
      </c>
      <c r="J98" s="344" t="s">
        <v>3101</v>
      </c>
      <c r="K98" s="344" t="s">
        <v>3101</v>
      </c>
      <c r="L98" s="160" t="s">
        <v>52</v>
      </c>
      <c r="M98" s="65" t="s">
        <v>2277</v>
      </c>
      <c r="N98" s="156" t="s">
        <v>1113</v>
      </c>
      <c r="O98" s="156" t="s">
        <v>2617</v>
      </c>
      <c r="P98" s="156" t="s">
        <v>183</v>
      </c>
      <c r="Q98" s="202" t="s">
        <v>86</v>
      </c>
      <c r="R98" s="65" t="s">
        <v>1094</v>
      </c>
      <c r="S98" s="156" t="s">
        <v>46</v>
      </c>
      <c r="T98" s="156" t="s">
        <v>1123</v>
      </c>
      <c r="U98" s="65" t="s">
        <v>728</v>
      </c>
      <c r="V98" s="156" t="s">
        <v>52</v>
      </c>
      <c r="W98" s="156" t="s">
        <v>2742</v>
      </c>
      <c r="X98" s="156" t="s">
        <v>2183</v>
      </c>
      <c r="Y98" s="205"/>
      <c r="Z98" s="156" t="s">
        <v>2743</v>
      </c>
      <c r="AA98" s="156" t="s">
        <v>53</v>
      </c>
      <c r="AB98" s="156" t="s">
        <v>2043</v>
      </c>
      <c r="AC98" s="156" t="s">
        <v>2176</v>
      </c>
      <c r="AD98" s="156" t="s">
        <v>648</v>
      </c>
      <c r="AE98" s="160" t="s">
        <v>801</v>
      </c>
      <c r="AF98" s="202" t="s">
        <v>53</v>
      </c>
      <c r="AG98" s="202" t="s">
        <v>2744</v>
      </c>
      <c r="AH98" s="65" t="s">
        <v>2325</v>
      </c>
      <c r="AI98" s="65"/>
      <c r="AT98" s="275" t="s">
        <v>1309</v>
      </c>
      <c r="AU98" s="65" t="s">
        <v>53</v>
      </c>
      <c r="AV98" s="65" t="s">
        <v>2054</v>
      </c>
      <c r="AW98" s="65" t="s">
        <v>2178</v>
      </c>
      <c r="AX98" s="278"/>
      <c r="AY98" s="65" t="s">
        <v>2073</v>
      </c>
      <c r="AZ98" s="65" t="s">
        <v>53</v>
      </c>
      <c r="BA98" s="65" t="s">
        <v>2053</v>
      </c>
      <c r="BB98" s="65" t="s">
        <v>2277</v>
      </c>
      <c r="BD98" s="160" t="s">
        <v>805</v>
      </c>
      <c r="BE98" s="160" t="s">
        <v>53</v>
      </c>
      <c r="BF98" s="160" t="s">
        <v>1802</v>
      </c>
      <c r="BG98" s="160"/>
      <c r="BH98" s="160"/>
      <c r="BI98" s="160" t="s">
        <v>813</v>
      </c>
      <c r="BJ98" s="160" t="s">
        <v>53</v>
      </c>
      <c r="BK98" s="160" t="s">
        <v>1803</v>
      </c>
      <c r="BL98" s="160"/>
      <c r="BM98" s="160"/>
      <c r="BN98" s="160" t="s">
        <v>821</v>
      </c>
      <c r="BO98" s="160" t="s">
        <v>53</v>
      </c>
      <c r="BP98" s="160" t="s">
        <v>1804</v>
      </c>
      <c r="BQ98" s="160"/>
      <c r="BR98" s="160"/>
      <c r="BS98" s="160" t="s">
        <v>829</v>
      </c>
      <c r="BT98" s="160" t="s">
        <v>53</v>
      </c>
      <c r="BU98" s="160" t="s">
        <v>1805</v>
      </c>
      <c r="BV98" s="160"/>
      <c r="BW98" s="160"/>
      <c r="BX98" s="160" t="s">
        <v>837</v>
      </c>
      <c r="BY98" s="160" t="s">
        <v>53</v>
      </c>
      <c r="BZ98" s="160" t="s">
        <v>1806</v>
      </c>
      <c r="CA98" s="160"/>
      <c r="CB98" s="160"/>
      <c r="CC98" s="160" t="s">
        <v>845</v>
      </c>
      <c r="CD98" s="160" t="s">
        <v>53</v>
      </c>
      <c r="CE98" s="160" t="s">
        <v>1807</v>
      </c>
      <c r="CF98" s="160"/>
      <c r="CG98" s="160"/>
      <c r="CH98" s="160" t="s">
        <v>862</v>
      </c>
      <c r="CI98" s="160" t="s">
        <v>53</v>
      </c>
      <c r="CJ98" s="160" t="s">
        <v>1808</v>
      </c>
      <c r="CK98" s="160"/>
      <c r="CL98" s="160"/>
      <c r="CM98" s="160" t="s">
        <v>863</v>
      </c>
      <c r="CN98" s="160" t="s">
        <v>53</v>
      </c>
      <c r="CO98" s="160" t="s">
        <v>1809</v>
      </c>
      <c r="CP98" s="160"/>
      <c r="CQ98" s="160"/>
      <c r="CR98" s="160" t="s">
        <v>864</v>
      </c>
      <c r="CS98" s="160" t="s">
        <v>53</v>
      </c>
      <c r="CT98" s="160" t="s">
        <v>1810</v>
      </c>
      <c r="CU98" s="160"/>
      <c r="CV98" s="160"/>
      <c r="CW98" s="160" t="s">
        <v>865</v>
      </c>
      <c r="CX98" s="160" t="s">
        <v>53</v>
      </c>
      <c r="CY98" s="160" t="s">
        <v>1811</v>
      </c>
      <c r="CZ98" s="160"/>
      <c r="DA98" s="160"/>
      <c r="DB98" s="160" t="s">
        <v>896</v>
      </c>
      <c r="DC98" s="160" t="s">
        <v>53</v>
      </c>
      <c r="DD98" s="160" t="s">
        <v>1812</v>
      </c>
      <c r="DE98" s="160"/>
      <c r="DF98" s="160"/>
      <c r="DG98" s="160" t="s">
        <v>904</v>
      </c>
      <c r="DH98" s="160" t="s">
        <v>53</v>
      </c>
      <c r="DI98" s="160" t="s">
        <v>1813</v>
      </c>
      <c r="DJ98" s="202"/>
      <c r="DK98" s="202"/>
      <c r="DL98" s="160" t="s">
        <v>912</v>
      </c>
      <c r="DM98" s="160" t="s">
        <v>53</v>
      </c>
      <c r="DN98" s="160" t="s">
        <v>1814</v>
      </c>
      <c r="DQ98" s="160" t="s">
        <v>2229</v>
      </c>
      <c r="DR98" s="160" t="s">
        <v>53</v>
      </c>
      <c r="DS98" s="160" t="s">
        <v>2261</v>
      </c>
      <c r="DW98" s="407"/>
      <c r="DY98" s="407"/>
      <c r="DZ98" s="303" t="s">
        <v>2279</v>
      </c>
    </row>
    <row r="99" spans="1:130" s="156" customFormat="1" ht="13.5">
      <c r="A99" s="156" t="s">
        <v>2281</v>
      </c>
      <c r="B99" s="156" t="s">
        <v>58</v>
      </c>
      <c r="C99" s="156" t="s">
        <v>58</v>
      </c>
      <c r="D99" s="156" t="s">
        <v>58</v>
      </c>
      <c r="E99" s="160" t="s">
        <v>48</v>
      </c>
      <c r="F99" s="65" t="s">
        <v>1974</v>
      </c>
      <c r="G99" s="44" t="s">
        <v>3117</v>
      </c>
      <c r="H99" s="44" t="s">
        <v>3124</v>
      </c>
      <c r="I99" s="65" t="s">
        <v>3100</v>
      </c>
      <c r="J99" s="344" t="s">
        <v>3101</v>
      </c>
      <c r="K99" s="344" t="s">
        <v>3101</v>
      </c>
      <c r="L99" s="160" t="s">
        <v>52</v>
      </c>
      <c r="M99" s="65" t="s">
        <v>2277</v>
      </c>
      <c r="N99" s="156" t="s">
        <v>1113</v>
      </c>
      <c r="O99" s="156" t="s">
        <v>2617</v>
      </c>
      <c r="P99" s="156" t="s">
        <v>183</v>
      </c>
      <c r="Q99" s="202" t="s">
        <v>86</v>
      </c>
      <c r="R99" s="65" t="s">
        <v>586</v>
      </c>
      <c r="S99" s="156" t="s">
        <v>46</v>
      </c>
      <c r="T99" s="156" t="s">
        <v>1123</v>
      </c>
      <c r="U99" s="65" t="s">
        <v>729</v>
      </c>
      <c r="V99" s="156" t="s">
        <v>52</v>
      </c>
      <c r="W99" s="156" t="s">
        <v>2745</v>
      </c>
      <c r="X99" s="156" t="s">
        <v>2183</v>
      </c>
      <c r="Y99" s="207"/>
      <c r="Z99" s="156" t="s">
        <v>2746</v>
      </c>
      <c r="AA99" s="156" t="s">
        <v>53</v>
      </c>
      <c r="AB99" s="156" t="s">
        <v>2044</v>
      </c>
      <c r="AC99" s="156" t="s">
        <v>2176</v>
      </c>
      <c r="AD99" s="156" t="s">
        <v>649</v>
      </c>
      <c r="AE99" s="160" t="s">
        <v>802</v>
      </c>
      <c r="AF99" s="202" t="s">
        <v>54</v>
      </c>
      <c r="AG99" s="202" t="s">
        <v>2744</v>
      </c>
      <c r="AH99" s="65" t="s">
        <v>2325</v>
      </c>
      <c r="AI99" s="65"/>
      <c r="AT99" s="275" t="s">
        <v>1310</v>
      </c>
      <c r="AU99" s="65" t="s">
        <v>53</v>
      </c>
      <c r="AV99" s="65" t="s">
        <v>2054</v>
      </c>
      <c r="AW99" s="65" t="s">
        <v>2178</v>
      </c>
      <c r="AX99" s="278"/>
      <c r="AY99" s="65" t="s">
        <v>2072</v>
      </c>
      <c r="AZ99" s="65" t="s">
        <v>53</v>
      </c>
      <c r="BA99" s="65" t="s">
        <v>2053</v>
      </c>
      <c r="BB99" s="65" t="s">
        <v>2277</v>
      </c>
      <c r="BD99" s="160" t="s">
        <v>806</v>
      </c>
      <c r="BE99" s="160" t="s">
        <v>53</v>
      </c>
      <c r="BF99" s="160" t="s">
        <v>1789</v>
      </c>
      <c r="BG99" s="160"/>
      <c r="BH99" s="160"/>
      <c r="BI99" s="160" t="s">
        <v>814</v>
      </c>
      <c r="BJ99" s="160" t="s">
        <v>53</v>
      </c>
      <c r="BK99" s="160" t="s">
        <v>1790</v>
      </c>
      <c r="BL99" s="160"/>
      <c r="BM99" s="160"/>
      <c r="BN99" s="160" t="s">
        <v>822</v>
      </c>
      <c r="BO99" s="160" t="s">
        <v>53</v>
      </c>
      <c r="BP99" s="160" t="s">
        <v>1791</v>
      </c>
      <c r="BQ99" s="160"/>
      <c r="BR99" s="160"/>
      <c r="BS99" s="160" t="s">
        <v>830</v>
      </c>
      <c r="BT99" s="160" t="s">
        <v>53</v>
      </c>
      <c r="BU99" s="160" t="s">
        <v>1792</v>
      </c>
      <c r="BV99" s="160"/>
      <c r="BW99" s="160"/>
      <c r="BX99" s="160" t="s">
        <v>838</v>
      </c>
      <c r="BY99" s="160" t="s">
        <v>53</v>
      </c>
      <c r="BZ99" s="160" t="s">
        <v>1793</v>
      </c>
      <c r="CA99" s="160"/>
      <c r="CB99" s="160"/>
      <c r="CC99" s="160" t="s">
        <v>846</v>
      </c>
      <c r="CD99" s="160" t="s">
        <v>53</v>
      </c>
      <c r="CE99" s="160" t="s">
        <v>1794</v>
      </c>
      <c r="CF99" s="160"/>
      <c r="CG99" s="160"/>
      <c r="CH99" s="160" t="s">
        <v>866</v>
      </c>
      <c r="CI99" s="160" t="s">
        <v>53</v>
      </c>
      <c r="CJ99" s="160" t="s">
        <v>1795</v>
      </c>
      <c r="CK99" s="160"/>
      <c r="CL99" s="160"/>
      <c r="CM99" s="160" t="s">
        <v>867</v>
      </c>
      <c r="CN99" s="160" t="s">
        <v>53</v>
      </c>
      <c r="CO99" s="160" t="s">
        <v>1796</v>
      </c>
      <c r="CP99" s="160"/>
      <c r="CQ99" s="160"/>
      <c r="CR99" s="160" t="s">
        <v>868</v>
      </c>
      <c r="CS99" s="160" t="s">
        <v>53</v>
      </c>
      <c r="CT99" s="160" t="s">
        <v>1797</v>
      </c>
      <c r="CU99" s="160"/>
      <c r="CV99" s="160"/>
      <c r="CW99" s="160" t="s">
        <v>869</v>
      </c>
      <c r="CX99" s="160" t="s">
        <v>53</v>
      </c>
      <c r="CY99" s="160" t="s">
        <v>1798</v>
      </c>
      <c r="CZ99" s="160"/>
      <c r="DA99" s="160"/>
      <c r="DB99" s="160" t="s">
        <v>897</v>
      </c>
      <c r="DC99" s="160" t="s">
        <v>53</v>
      </c>
      <c r="DD99" s="160" t="s">
        <v>1799</v>
      </c>
      <c r="DE99" s="160"/>
      <c r="DF99" s="160"/>
      <c r="DG99" s="160" t="s">
        <v>905</v>
      </c>
      <c r="DH99" s="160" t="s">
        <v>53</v>
      </c>
      <c r="DI99" s="160" t="s">
        <v>1800</v>
      </c>
      <c r="DJ99" s="202"/>
      <c r="DK99" s="202"/>
      <c r="DL99" s="160" t="s">
        <v>913</v>
      </c>
      <c r="DM99" s="160" t="s">
        <v>53</v>
      </c>
      <c r="DN99" s="160" t="s">
        <v>1801</v>
      </c>
      <c r="DQ99" s="160" t="s">
        <v>2230</v>
      </c>
      <c r="DR99" s="160" t="s">
        <v>53</v>
      </c>
      <c r="DS99" s="160" t="s">
        <v>2262</v>
      </c>
      <c r="DW99" s="407"/>
      <c r="DY99" s="407"/>
      <c r="DZ99" s="303" t="s">
        <v>2279</v>
      </c>
    </row>
    <row r="100" spans="1:130" s="156" customFormat="1" ht="13.5">
      <c r="A100" s="156" t="s">
        <v>2281</v>
      </c>
      <c r="B100" s="156" t="s">
        <v>58</v>
      </c>
      <c r="C100" s="156" t="s">
        <v>58</v>
      </c>
      <c r="D100" s="156" t="s">
        <v>58</v>
      </c>
      <c r="E100" s="160" t="s">
        <v>48</v>
      </c>
      <c r="F100" s="65" t="s">
        <v>1077</v>
      </c>
      <c r="G100" s="44" t="s">
        <v>3118</v>
      </c>
      <c r="H100" s="44" t="s">
        <v>3124</v>
      </c>
      <c r="I100" s="65" t="s">
        <v>3100</v>
      </c>
      <c r="J100" s="344" t="s">
        <v>3101</v>
      </c>
      <c r="K100" s="344" t="s">
        <v>3101</v>
      </c>
      <c r="L100" s="160" t="s">
        <v>52</v>
      </c>
      <c r="M100" s="65" t="s">
        <v>2277</v>
      </c>
      <c r="N100" s="156" t="s">
        <v>1113</v>
      </c>
      <c r="O100" s="156" t="s">
        <v>2617</v>
      </c>
      <c r="P100" s="156" t="s">
        <v>183</v>
      </c>
      <c r="Q100" s="202" t="s">
        <v>86</v>
      </c>
      <c r="R100" s="65" t="s">
        <v>587</v>
      </c>
      <c r="S100" s="156" t="s">
        <v>46</v>
      </c>
      <c r="T100" s="156" t="s">
        <v>1123</v>
      </c>
      <c r="U100" s="65" t="s">
        <v>1068</v>
      </c>
      <c r="V100" s="156" t="s">
        <v>52</v>
      </c>
      <c r="W100" s="156" t="s">
        <v>2747</v>
      </c>
      <c r="X100" s="156" t="s">
        <v>2183</v>
      </c>
      <c r="Y100" s="207"/>
      <c r="Z100" s="156" t="s">
        <v>2748</v>
      </c>
      <c r="AA100" s="156" t="s">
        <v>53</v>
      </c>
      <c r="AB100" s="156" t="s">
        <v>2045</v>
      </c>
      <c r="AC100" s="156" t="s">
        <v>2176</v>
      </c>
      <c r="AD100" s="156" t="s">
        <v>650</v>
      </c>
      <c r="AE100" s="160" t="s">
        <v>1994</v>
      </c>
      <c r="AF100" s="202" t="s">
        <v>54</v>
      </c>
      <c r="AG100" s="202" t="s">
        <v>2749</v>
      </c>
      <c r="AH100" s="65" t="s">
        <v>2325</v>
      </c>
      <c r="AI100" s="272" t="s">
        <v>2594</v>
      </c>
      <c r="AJ100" s="271" t="s">
        <v>2303</v>
      </c>
      <c r="AK100" s="65" t="s">
        <v>53</v>
      </c>
      <c r="AL100" s="279" t="s">
        <v>2750</v>
      </c>
      <c r="AM100" s="65" t="s">
        <v>2183</v>
      </c>
      <c r="AT100" s="275" t="s">
        <v>1311</v>
      </c>
      <c r="AU100" s="322" t="s">
        <v>53</v>
      </c>
      <c r="AV100" s="322" t="s">
        <v>2054</v>
      </c>
      <c r="AW100" s="65" t="s">
        <v>2178</v>
      </c>
      <c r="AX100" s="278"/>
      <c r="AY100" s="65" t="s">
        <v>2071</v>
      </c>
      <c r="AZ100" s="65" t="s">
        <v>53</v>
      </c>
      <c r="BA100" s="65" t="s">
        <v>2053</v>
      </c>
      <c r="BB100" s="65" t="s">
        <v>2277</v>
      </c>
      <c r="BD100" s="160" t="s">
        <v>807</v>
      </c>
      <c r="BE100" s="160" t="s">
        <v>53</v>
      </c>
      <c r="BF100" s="160" t="s">
        <v>1776</v>
      </c>
      <c r="BG100" s="160"/>
      <c r="BH100" s="160"/>
      <c r="BI100" s="160" t="s">
        <v>815</v>
      </c>
      <c r="BJ100" s="160" t="s">
        <v>53</v>
      </c>
      <c r="BK100" s="160" t="s">
        <v>1777</v>
      </c>
      <c r="BL100" s="160"/>
      <c r="BM100" s="160"/>
      <c r="BN100" s="160" t="s">
        <v>823</v>
      </c>
      <c r="BO100" s="160" t="s">
        <v>53</v>
      </c>
      <c r="BP100" s="160" t="s">
        <v>1778</v>
      </c>
      <c r="BQ100" s="160"/>
      <c r="BR100" s="160"/>
      <c r="BS100" s="160" t="s">
        <v>831</v>
      </c>
      <c r="BT100" s="160" t="s">
        <v>53</v>
      </c>
      <c r="BU100" s="160" t="s">
        <v>1779</v>
      </c>
      <c r="BV100" s="160"/>
      <c r="BW100" s="160"/>
      <c r="BX100" s="160" t="s">
        <v>839</v>
      </c>
      <c r="BY100" s="160" t="s">
        <v>53</v>
      </c>
      <c r="BZ100" s="160" t="s">
        <v>1780</v>
      </c>
      <c r="CA100" s="160"/>
      <c r="CB100" s="160"/>
      <c r="CC100" s="160" t="s">
        <v>847</v>
      </c>
      <c r="CD100" s="160" t="s">
        <v>53</v>
      </c>
      <c r="CE100" s="160" t="s">
        <v>1781</v>
      </c>
      <c r="CF100" s="160"/>
      <c r="CG100" s="160"/>
      <c r="CH100" s="160" t="s">
        <v>870</v>
      </c>
      <c r="CI100" s="160" t="s">
        <v>53</v>
      </c>
      <c r="CJ100" s="160" t="s">
        <v>1782</v>
      </c>
      <c r="CK100" s="160"/>
      <c r="CL100" s="160"/>
      <c r="CM100" s="160" t="s">
        <v>871</v>
      </c>
      <c r="CN100" s="160" t="s">
        <v>53</v>
      </c>
      <c r="CO100" s="160" t="s">
        <v>1783</v>
      </c>
      <c r="CP100" s="160"/>
      <c r="CQ100" s="160"/>
      <c r="CR100" s="160" t="s">
        <v>872</v>
      </c>
      <c r="CS100" s="160" t="s">
        <v>53</v>
      </c>
      <c r="CT100" s="160" t="s">
        <v>1784</v>
      </c>
      <c r="CU100" s="160"/>
      <c r="CV100" s="160"/>
      <c r="CW100" s="160" t="s">
        <v>873</v>
      </c>
      <c r="CX100" s="160" t="s">
        <v>53</v>
      </c>
      <c r="CY100" s="160" t="s">
        <v>1785</v>
      </c>
      <c r="CZ100" s="160"/>
      <c r="DA100" s="160"/>
      <c r="DB100" s="160" t="s">
        <v>898</v>
      </c>
      <c r="DC100" s="160" t="s">
        <v>53</v>
      </c>
      <c r="DD100" s="160" t="s">
        <v>1786</v>
      </c>
      <c r="DE100" s="160"/>
      <c r="DF100" s="160"/>
      <c r="DG100" s="160" t="s">
        <v>906</v>
      </c>
      <c r="DH100" s="160" t="s">
        <v>53</v>
      </c>
      <c r="DI100" s="160" t="s">
        <v>1787</v>
      </c>
      <c r="DJ100" s="202"/>
      <c r="DK100" s="202"/>
      <c r="DL100" s="160" t="s">
        <v>914</v>
      </c>
      <c r="DM100" s="160" t="s">
        <v>53</v>
      </c>
      <c r="DN100" s="160" t="s">
        <v>1788</v>
      </c>
      <c r="DQ100" s="160" t="s">
        <v>2231</v>
      </c>
      <c r="DR100" s="160" t="s">
        <v>53</v>
      </c>
      <c r="DS100" s="160" t="s">
        <v>2263</v>
      </c>
      <c r="DW100" s="407"/>
      <c r="DY100" s="407"/>
      <c r="DZ100" s="303" t="s">
        <v>2279</v>
      </c>
    </row>
    <row r="101" spans="1:130" s="156" customFormat="1" ht="13.5">
      <c r="A101" s="156" t="s">
        <v>2281</v>
      </c>
      <c r="B101" s="156" t="s">
        <v>58</v>
      </c>
      <c r="C101" s="156" t="s">
        <v>58</v>
      </c>
      <c r="D101" s="156" t="s">
        <v>58</v>
      </c>
      <c r="E101" s="160" t="s">
        <v>48</v>
      </c>
      <c r="F101" s="65" t="s">
        <v>1078</v>
      </c>
      <c r="G101" s="44" t="s">
        <v>3119</v>
      </c>
      <c r="H101" s="44" t="s">
        <v>3124</v>
      </c>
      <c r="I101" s="65" t="s">
        <v>3100</v>
      </c>
      <c r="J101" s="344" t="s">
        <v>3101</v>
      </c>
      <c r="K101" s="344" t="s">
        <v>3101</v>
      </c>
      <c r="L101" s="160" t="s">
        <v>52</v>
      </c>
      <c r="M101" s="65" t="s">
        <v>2277</v>
      </c>
      <c r="N101" s="156" t="s">
        <v>1113</v>
      </c>
      <c r="O101" s="156" t="s">
        <v>2617</v>
      </c>
      <c r="P101" s="156" t="s">
        <v>183</v>
      </c>
      <c r="Q101" s="202" t="s">
        <v>86</v>
      </c>
      <c r="R101" s="65" t="s">
        <v>588</v>
      </c>
      <c r="S101" s="156" t="s">
        <v>46</v>
      </c>
      <c r="T101" s="156" t="s">
        <v>1123</v>
      </c>
      <c r="U101" s="65" t="s">
        <v>1069</v>
      </c>
      <c r="V101" s="156" t="s">
        <v>52</v>
      </c>
      <c r="W101" s="156" t="s">
        <v>2751</v>
      </c>
      <c r="X101" s="156" t="s">
        <v>2183</v>
      </c>
      <c r="Y101" s="207"/>
      <c r="Z101" s="156" t="s">
        <v>2752</v>
      </c>
      <c r="AA101" s="156" t="s">
        <v>53</v>
      </c>
      <c r="AB101" s="156" t="s">
        <v>2046</v>
      </c>
      <c r="AC101" s="156" t="s">
        <v>2176</v>
      </c>
      <c r="AD101" s="156" t="s">
        <v>651</v>
      </c>
      <c r="AE101" s="65" t="s">
        <v>1995</v>
      </c>
      <c r="AF101" s="65" t="s">
        <v>53</v>
      </c>
      <c r="AG101" s="202" t="s">
        <v>2749</v>
      </c>
      <c r="AH101" s="65" t="s">
        <v>2325</v>
      </c>
      <c r="AI101" s="157" t="s">
        <v>2594</v>
      </c>
      <c r="AJ101" s="271" t="s">
        <v>2304</v>
      </c>
      <c r="AK101" s="65" t="s">
        <v>53</v>
      </c>
      <c r="AL101" s="279" t="s">
        <v>2753</v>
      </c>
      <c r="AM101" s="65" t="s">
        <v>2183</v>
      </c>
      <c r="AT101" s="275" t="s">
        <v>1312</v>
      </c>
      <c r="AU101" s="65" t="s">
        <v>53</v>
      </c>
      <c r="AV101" s="65" t="s">
        <v>2054</v>
      </c>
      <c r="AW101" s="65" t="s">
        <v>2178</v>
      </c>
      <c r="AX101" s="278"/>
      <c r="AY101" s="65" t="s">
        <v>2070</v>
      </c>
      <c r="AZ101" s="65" t="s">
        <v>53</v>
      </c>
      <c r="BA101" s="65" t="s">
        <v>2053</v>
      </c>
      <c r="BB101" s="65" t="s">
        <v>2277</v>
      </c>
      <c r="BD101" s="160" t="s">
        <v>808</v>
      </c>
      <c r="BE101" s="160" t="s">
        <v>53</v>
      </c>
      <c r="BF101" s="160" t="s">
        <v>1763</v>
      </c>
      <c r="BG101" s="160"/>
      <c r="BH101" s="160"/>
      <c r="BI101" s="160" t="s">
        <v>816</v>
      </c>
      <c r="BJ101" s="160" t="s">
        <v>53</v>
      </c>
      <c r="BK101" s="160" t="s">
        <v>1764</v>
      </c>
      <c r="BL101" s="160"/>
      <c r="BM101" s="160"/>
      <c r="BN101" s="160" t="s">
        <v>824</v>
      </c>
      <c r="BO101" s="160" t="s">
        <v>53</v>
      </c>
      <c r="BP101" s="160" t="s">
        <v>1765</v>
      </c>
      <c r="BQ101" s="160"/>
      <c r="BR101" s="160"/>
      <c r="BS101" s="160" t="s">
        <v>832</v>
      </c>
      <c r="BT101" s="160" t="s">
        <v>53</v>
      </c>
      <c r="BU101" s="160" t="s">
        <v>1766</v>
      </c>
      <c r="BV101" s="160"/>
      <c r="BW101" s="160"/>
      <c r="BX101" s="160" t="s">
        <v>840</v>
      </c>
      <c r="BY101" s="160" t="s">
        <v>53</v>
      </c>
      <c r="BZ101" s="160" t="s">
        <v>1767</v>
      </c>
      <c r="CA101" s="160"/>
      <c r="CB101" s="160"/>
      <c r="CC101" s="160" t="s">
        <v>848</v>
      </c>
      <c r="CD101" s="160" t="s">
        <v>53</v>
      </c>
      <c r="CE101" s="160" t="s">
        <v>1768</v>
      </c>
      <c r="CF101" s="160"/>
      <c r="CG101" s="160"/>
      <c r="CH101" s="160" t="s">
        <v>874</v>
      </c>
      <c r="CI101" s="160" t="s">
        <v>53</v>
      </c>
      <c r="CJ101" s="160" t="s">
        <v>1769</v>
      </c>
      <c r="CK101" s="160"/>
      <c r="CL101" s="160"/>
      <c r="CM101" s="160" t="s">
        <v>875</v>
      </c>
      <c r="CN101" s="160" t="s">
        <v>53</v>
      </c>
      <c r="CO101" s="160" t="s">
        <v>1770</v>
      </c>
      <c r="CP101" s="160"/>
      <c r="CQ101" s="160"/>
      <c r="CR101" s="160" t="s">
        <v>876</v>
      </c>
      <c r="CS101" s="160" t="s">
        <v>53</v>
      </c>
      <c r="CT101" s="160" t="s">
        <v>1771</v>
      </c>
      <c r="CU101" s="160"/>
      <c r="CV101" s="160"/>
      <c r="CW101" s="160" t="s">
        <v>877</v>
      </c>
      <c r="CX101" s="160" t="s">
        <v>53</v>
      </c>
      <c r="CY101" s="160" t="s">
        <v>1772</v>
      </c>
      <c r="CZ101" s="160"/>
      <c r="DA101" s="160"/>
      <c r="DB101" s="160" t="s">
        <v>899</v>
      </c>
      <c r="DC101" s="160" t="s">
        <v>53</v>
      </c>
      <c r="DD101" s="160" t="s">
        <v>1773</v>
      </c>
      <c r="DE101" s="160"/>
      <c r="DF101" s="160"/>
      <c r="DG101" s="160" t="s">
        <v>907</v>
      </c>
      <c r="DH101" s="160" t="s">
        <v>53</v>
      </c>
      <c r="DI101" s="160" t="s">
        <v>1774</v>
      </c>
      <c r="DJ101" s="202"/>
      <c r="DK101" s="202"/>
      <c r="DL101" s="160" t="s">
        <v>915</v>
      </c>
      <c r="DM101" s="160" t="s">
        <v>53</v>
      </c>
      <c r="DN101" s="160" t="s">
        <v>1775</v>
      </c>
      <c r="DQ101" s="160" t="s">
        <v>2232</v>
      </c>
      <c r="DR101" s="160" t="s">
        <v>53</v>
      </c>
      <c r="DS101" s="160" t="s">
        <v>2264</v>
      </c>
      <c r="DW101" s="407"/>
      <c r="DY101" s="407"/>
      <c r="DZ101" s="303" t="s">
        <v>2279</v>
      </c>
    </row>
    <row r="102" spans="1:130" s="156" customFormat="1" ht="24">
      <c r="A102" s="156" t="s">
        <v>2281</v>
      </c>
      <c r="B102" s="156" t="s">
        <v>58</v>
      </c>
      <c r="C102" s="156" t="s">
        <v>58</v>
      </c>
      <c r="D102" s="156" t="s">
        <v>58</v>
      </c>
      <c r="E102" s="160" t="s">
        <v>48</v>
      </c>
      <c r="F102" s="65" t="s">
        <v>1079</v>
      </c>
      <c r="G102" s="44" t="s">
        <v>3120</v>
      </c>
      <c r="H102" s="44" t="s">
        <v>3124</v>
      </c>
      <c r="I102" s="65" t="s">
        <v>3100</v>
      </c>
      <c r="J102" s="344" t="s">
        <v>3101</v>
      </c>
      <c r="K102" s="344" t="s">
        <v>3101</v>
      </c>
      <c r="L102" s="160" t="s">
        <v>52</v>
      </c>
      <c r="M102" s="65" t="s">
        <v>2277</v>
      </c>
      <c r="N102" s="156" t="s">
        <v>1113</v>
      </c>
      <c r="O102" s="156" t="s">
        <v>2617</v>
      </c>
      <c r="P102" s="156" t="s">
        <v>2321</v>
      </c>
      <c r="Q102" s="202" t="s">
        <v>86</v>
      </c>
      <c r="R102" s="65" t="s">
        <v>589</v>
      </c>
      <c r="S102" s="156" t="s">
        <v>46</v>
      </c>
      <c r="T102" s="156" t="s">
        <v>1123</v>
      </c>
      <c r="U102" s="65" t="s">
        <v>1070</v>
      </c>
      <c r="V102" s="156" t="s">
        <v>52</v>
      </c>
      <c r="W102" s="156" t="s">
        <v>2754</v>
      </c>
      <c r="X102" s="156" t="s">
        <v>2183</v>
      </c>
      <c r="Y102" s="207"/>
      <c r="Z102" s="156" t="s">
        <v>2755</v>
      </c>
      <c r="AA102" s="156" t="s">
        <v>53</v>
      </c>
      <c r="AB102" s="156" t="s">
        <v>2047</v>
      </c>
      <c r="AC102" s="156" t="s">
        <v>2176</v>
      </c>
      <c r="AD102" s="156" t="s">
        <v>652</v>
      </c>
      <c r="AE102" s="65" t="s">
        <v>1996</v>
      </c>
      <c r="AF102" s="65" t="s">
        <v>54</v>
      </c>
      <c r="AG102" s="202" t="s">
        <v>2756</v>
      </c>
      <c r="AH102" s="65" t="s">
        <v>2325</v>
      </c>
      <c r="AI102" s="267" t="s">
        <v>2757</v>
      </c>
      <c r="AJ102" s="271" t="s">
        <v>2306</v>
      </c>
      <c r="AK102" s="65" t="s">
        <v>53</v>
      </c>
      <c r="AL102" s="279" t="s">
        <v>2758</v>
      </c>
      <c r="AM102" s="65" t="s">
        <v>2183</v>
      </c>
      <c r="AT102" s="275" t="s">
        <v>1313</v>
      </c>
      <c r="AU102" s="65" t="s">
        <v>53</v>
      </c>
      <c r="AV102" s="65" t="s">
        <v>2054</v>
      </c>
      <c r="AW102" s="65" t="s">
        <v>2178</v>
      </c>
      <c r="AX102" s="278"/>
      <c r="AY102" s="65" t="s">
        <v>1273</v>
      </c>
      <c r="AZ102" s="65" t="s">
        <v>54</v>
      </c>
      <c r="BA102" s="65" t="s">
        <v>2053</v>
      </c>
      <c r="BB102" s="65" t="s">
        <v>2277</v>
      </c>
      <c r="BD102" s="160" t="s">
        <v>809</v>
      </c>
      <c r="BE102" s="160" t="s">
        <v>53</v>
      </c>
      <c r="BF102" s="160" t="s">
        <v>1750</v>
      </c>
      <c r="BG102" s="160"/>
      <c r="BH102" s="160"/>
      <c r="BI102" s="160" t="s">
        <v>817</v>
      </c>
      <c r="BJ102" s="160" t="s">
        <v>53</v>
      </c>
      <c r="BK102" s="160" t="s">
        <v>1751</v>
      </c>
      <c r="BL102" s="160"/>
      <c r="BM102" s="160"/>
      <c r="BN102" s="160" t="s">
        <v>825</v>
      </c>
      <c r="BO102" s="160" t="s">
        <v>53</v>
      </c>
      <c r="BP102" s="160" t="s">
        <v>1752</v>
      </c>
      <c r="BQ102" s="160"/>
      <c r="BR102" s="160"/>
      <c r="BS102" s="160" t="s">
        <v>833</v>
      </c>
      <c r="BT102" s="160" t="s">
        <v>53</v>
      </c>
      <c r="BU102" s="160" t="s">
        <v>1753</v>
      </c>
      <c r="BV102" s="160"/>
      <c r="BW102" s="160"/>
      <c r="BX102" s="160" t="s">
        <v>841</v>
      </c>
      <c r="BY102" s="160" t="s">
        <v>53</v>
      </c>
      <c r="BZ102" s="160" t="s">
        <v>1754</v>
      </c>
      <c r="CA102" s="160"/>
      <c r="CB102" s="160"/>
      <c r="CC102" s="160" t="s">
        <v>849</v>
      </c>
      <c r="CD102" s="160" t="s">
        <v>53</v>
      </c>
      <c r="CE102" s="160" t="s">
        <v>1755</v>
      </c>
      <c r="CF102" s="160"/>
      <c r="CG102" s="160"/>
      <c r="CH102" s="160" t="s">
        <v>878</v>
      </c>
      <c r="CI102" s="160" t="s">
        <v>53</v>
      </c>
      <c r="CJ102" s="160" t="s">
        <v>1756</v>
      </c>
      <c r="CK102" s="160"/>
      <c r="CL102" s="160"/>
      <c r="CM102" s="160" t="s">
        <v>879</v>
      </c>
      <c r="CN102" s="160" t="s">
        <v>53</v>
      </c>
      <c r="CO102" s="160" t="s">
        <v>1757</v>
      </c>
      <c r="CP102" s="160"/>
      <c r="CQ102" s="160"/>
      <c r="CR102" s="160" t="s">
        <v>880</v>
      </c>
      <c r="CS102" s="160" t="s">
        <v>53</v>
      </c>
      <c r="CT102" s="160" t="s">
        <v>1758</v>
      </c>
      <c r="CU102" s="160"/>
      <c r="CV102" s="160"/>
      <c r="CW102" s="160" t="s">
        <v>881</v>
      </c>
      <c r="CX102" s="160" t="s">
        <v>53</v>
      </c>
      <c r="CY102" s="160" t="s">
        <v>1759</v>
      </c>
      <c r="CZ102" s="160"/>
      <c r="DA102" s="160"/>
      <c r="DB102" s="160" t="s">
        <v>900</v>
      </c>
      <c r="DC102" s="160" t="s">
        <v>53</v>
      </c>
      <c r="DD102" s="160" t="s">
        <v>1760</v>
      </c>
      <c r="DE102" s="160"/>
      <c r="DF102" s="160"/>
      <c r="DG102" s="160" t="s">
        <v>908</v>
      </c>
      <c r="DH102" s="160" t="s">
        <v>53</v>
      </c>
      <c r="DI102" s="160" t="s">
        <v>1761</v>
      </c>
      <c r="DJ102" s="202"/>
      <c r="DK102" s="202"/>
      <c r="DL102" s="160" t="s">
        <v>916</v>
      </c>
      <c r="DM102" s="160" t="s">
        <v>53</v>
      </c>
      <c r="DN102" s="160" t="s">
        <v>1762</v>
      </c>
      <c r="DQ102" s="160" t="s">
        <v>2233</v>
      </c>
      <c r="DR102" s="160" t="s">
        <v>53</v>
      </c>
      <c r="DS102" s="160" t="s">
        <v>2265</v>
      </c>
      <c r="DW102" s="407"/>
      <c r="DY102" s="407"/>
      <c r="DZ102" s="303" t="s">
        <v>2279</v>
      </c>
    </row>
    <row r="103" spans="1:130" s="156" customFormat="1" ht="13.5">
      <c r="A103" s="156" t="s">
        <v>2281</v>
      </c>
      <c r="B103" s="156" t="s">
        <v>58</v>
      </c>
      <c r="C103" s="156" t="s">
        <v>58</v>
      </c>
      <c r="D103" s="156" t="s">
        <v>58</v>
      </c>
      <c r="E103" s="160" t="s">
        <v>48</v>
      </c>
      <c r="F103" s="65" t="s">
        <v>1080</v>
      </c>
      <c r="G103" s="44" t="s">
        <v>3121</v>
      </c>
      <c r="H103" s="44" t="s">
        <v>3124</v>
      </c>
      <c r="I103" s="65" t="s">
        <v>3100</v>
      </c>
      <c r="J103" s="344" t="s">
        <v>3101</v>
      </c>
      <c r="K103" s="344" t="s">
        <v>3101</v>
      </c>
      <c r="L103" s="160" t="s">
        <v>52</v>
      </c>
      <c r="M103" s="65" t="s">
        <v>2277</v>
      </c>
      <c r="N103" s="156" t="s">
        <v>1113</v>
      </c>
      <c r="O103" s="156" t="s">
        <v>2617</v>
      </c>
      <c r="P103" s="156" t="s">
        <v>2321</v>
      </c>
      <c r="Q103" s="202" t="s">
        <v>86</v>
      </c>
      <c r="R103" s="65" t="s">
        <v>590</v>
      </c>
      <c r="S103" s="156" t="s">
        <v>46</v>
      </c>
      <c r="T103" s="156" t="s">
        <v>1123</v>
      </c>
      <c r="U103" s="65" t="s">
        <v>1071</v>
      </c>
      <c r="V103" s="156" t="s">
        <v>52</v>
      </c>
      <c r="W103" s="156" t="s">
        <v>2759</v>
      </c>
      <c r="X103" s="156" t="s">
        <v>2183</v>
      </c>
      <c r="Y103" s="207"/>
      <c r="Z103" s="156" t="s">
        <v>2760</v>
      </c>
      <c r="AA103" s="156" t="s">
        <v>53</v>
      </c>
      <c r="AB103" s="156" t="s">
        <v>2048</v>
      </c>
      <c r="AC103" s="156" t="s">
        <v>2176</v>
      </c>
      <c r="AD103" s="156" t="s">
        <v>653</v>
      </c>
      <c r="AE103" s="156" t="s">
        <v>1997</v>
      </c>
      <c r="AF103" s="160" t="s">
        <v>54</v>
      </c>
      <c r="AG103" s="202" t="s">
        <v>2756</v>
      </c>
      <c r="AH103" s="65" t="s">
        <v>2325</v>
      </c>
      <c r="AI103" s="253"/>
      <c r="AJ103" s="271" t="s">
        <v>2307</v>
      </c>
      <c r="AK103" s="65" t="s">
        <v>53</v>
      </c>
      <c r="AL103" s="279" t="s">
        <v>2761</v>
      </c>
      <c r="AM103" s="65" t="s">
        <v>2183</v>
      </c>
      <c r="AT103" s="275" t="s">
        <v>1314</v>
      </c>
      <c r="AU103" s="65" t="s">
        <v>53</v>
      </c>
      <c r="AV103" s="65" t="s">
        <v>2054</v>
      </c>
      <c r="AW103" s="65" t="s">
        <v>2178</v>
      </c>
      <c r="AX103" s="278"/>
      <c r="AY103" s="65" t="s">
        <v>1272</v>
      </c>
      <c r="AZ103" s="65" t="s">
        <v>54</v>
      </c>
      <c r="BA103" s="65" t="s">
        <v>2053</v>
      </c>
      <c r="BB103" s="65" t="s">
        <v>2277</v>
      </c>
      <c r="BD103" s="160" t="s">
        <v>943</v>
      </c>
      <c r="BE103" s="160" t="s">
        <v>53</v>
      </c>
      <c r="BF103" s="160" t="s">
        <v>1737</v>
      </c>
      <c r="BG103" s="160"/>
      <c r="BH103" s="160"/>
      <c r="BI103" s="160" t="s">
        <v>944</v>
      </c>
      <c r="BJ103" s="160" t="s">
        <v>53</v>
      </c>
      <c r="BK103" s="160" t="s">
        <v>1738</v>
      </c>
      <c r="BL103" s="160"/>
      <c r="BM103" s="160"/>
      <c r="BN103" s="160" t="s">
        <v>945</v>
      </c>
      <c r="BO103" s="160" t="s">
        <v>53</v>
      </c>
      <c r="BP103" s="160" t="s">
        <v>1739</v>
      </c>
      <c r="BQ103" s="160"/>
      <c r="BR103" s="160"/>
      <c r="BS103" s="160" t="s">
        <v>946</v>
      </c>
      <c r="BT103" s="160" t="s">
        <v>53</v>
      </c>
      <c r="BU103" s="160" t="s">
        <v>1740</v>
      </c>
      <c r="BV103" s="160"/>
      <c r="BW103" s="160"/>
      <c r="BX103" s="160" t="s">
        <v>947</v>
      </c>
      <c r="BY103" s="160" t="s">
        <v>53</v>
      </c>
      <c r="BZ103" s="160" t="s">
        <v>1741</v>
      </c>
      <c r="CA103" s="160"/>
      <c r="CB103" s="160"/>
      <c r="CC103" s="160" t="s">
        <v>948</v>
      </c>
      <c r="CD103" s="160" t="s">
        <v>53</v>
      </c>
      <c r="CE103" s="160" t="s">
        <v>1742</v>
      </c>
      <c r="CF103" s="160"/>
      <c r="CG103" s="160"/>
      <c r="CH103" s="160" t="s">
        <v>949</v>
      </c>
      <c r="CI103" s="160" t="s">
        <v>53</v>
      </c>
      <c r="CJ103" s="160" t="s">
        <v>1743</v>
      </c>
      <c r="CK103" s="160"/>
      <c r="CL103" s="160"/>
      <c r="CM103" s="160" t="s">
        <v>950</v>
      </c>
      <c r="CN103" s="160" t="s">
        <v>53</v>
      </c>
      <c r="CO103" s="160" t="s">
        <v>1744</v>
      </c>
      <c r="CP103" s="160"/>
      <c r="CQ103" s="160"/>
      <c r="CR103" s="160" t="s">
        <v>951</v>
      </c>
      <c r="CS103" s="160" t="s">
        <v>53</v>
      </c>
      <c r="CT103" s="160" t="s">
        <v>1745</v>
      </c>
      <c r="CU103" s="160"/>
      <c r="CV103" s="160"/>
      <c r="CW103" s="160" t="s">
        <v>952</v>
      </c>
      <c r="CX103" s="160" t="s">
        <v>53</v>
      </c>
      <c r="CY103" s="160" t="s">
        <v>1746</v>
      </c>
      <c r="CZ103" s="160"/>
      <c r="DA103" s="160"/>
      <c r="DB103" s="160" t="s">
        <v>953</v>
      </c>
      <c r="DC103" s="160" t="s">
        <v>53</v>
      </c>
      <c r="DD103" s="160" t="s">
        <v>1747</v>
      </c>
      <c r="DE103" s="160"/>
      <c r="DF103" s="160"/>
      <c r="DG103" s="160" t="s">
        <v>954</v>
      </c>
      <c r="DH103" s="160" t="s">
        <v>53</v>
      </c>
      <c r="DI103" s="160" t="s">
        <v>1748</v>
      </c>
      <c r="DJ103" s="202"/>
      <c r="DK103" s="202"/>
      <c r="DL103" s="160" t="s">
        <v>955</v>
      </c>
      <c r="DM103" s="160" t="s">
        <v>53</v>
      </c>
      <c r="DN103" s="160" t="s">
        <v>1749</v>
      </c>
      <c r="DQ103" s="160" t="s">
        <v>2234</v>
      </c>
      <c r="DR103" s="160" t="s">
        <v>53</v>
      </c>
      <c r="DS103" s="160" t="s">
        <v>2266</v>
      </c>
      <c r="DW103" s="407"/>
      <c r="DY103" s="407"/>
      <c r="DZ103" s="303" t="s">
        <v>2279</v>
      </c>
    </row>
    <row r="104" spans="1:130" s="156" customFormat="1" ht="13.5">
      <c r="A104" s="156" t="s">
        <v>2281</v>
      </c>
      <c r="B104" s="156" t="s">
        <v>58</v>
      </c>
      <c r="C104" s="156" t="s">
        <v>58</v>
      </c>
      <c r="D104" s="156" t="s">
        <v>58</v>
      </c>
      <c r="E104" s="160" t="s">
        <v>48</v>
      </c>
      <c r="F104" s="65" t="s">
        <v>1081</v>
      </c>
      <c r="G104" s="44" t="s">
        <v>3122</v>
      </c>
      <c r="H104" s="44" t="s">
        <v>3124</v>
      </c>
      <c r="I104" s="65" t="s">
        <v>3100</v>
      </c>
      <c r="J104" s="344" t="s">
        <v>3101</v>
      </c>
      <c r="K104" s="344" t="s">
        <v>3101</v>
      </c>
      <c r="L104" s="160" t="s">
        <v>52</v>
      </c>
      <c r="M104" s="65" t="s">
        <v>2277</v>
      </c>
      <c r="N104" s="156" t="s">
        <v>1113</v>
      </c>
      <c r="O104" s="156" t="s">
        <v>2617</v>
      </c>
      <c r="P104" s="156" t="s">
        <v>2321</v>
      </c>
      <c r="Q104" s="202" t="s">
        <v>86</v>
      </c>
      <c r="R104" s="65" t="s">
        <v>709</v>
      </c>
      <c r="S104" s="156" t="s">
        <v>46</v>
      </c>
      <c r="T104" s="156" t="s">
        <v>1123</v>
      </c>
      <c r="U104" s="65" t="s">
        <v>1072</v>
      </c>
      <c r="V104" s="156" t="s">
        <v>52</v>
      </c>
      <c r="W104" s="156" t="s">
        <v>2762</v>
      </c>
      <c r="X104" s="156" t="s">
        <v>2183</v>
      </c>
      <c r="Y104" s="207"/>
      <c r="Z104" s="156" t="s">
        <v>2763</v>
      </c>
      <c r="AA104" s="156" t="s">
        <v>53</v>
      </c>
      <c r="AB104" s="156" t="s">
        <v>2049</v>
      </c>
      <c r="AC104" s="156" t="s">
        <v>2176</v>
      </c>
      <c r="AD104" s="156" t="s">
        <v>654</v>
      </c>
      <c r="AE104" s="156" t="s">
        <v>1998</v>
      </c>
      <c r="AF104" s="160" t="s">
        <v>53</v>
      </c>
      <c r="AG104" s="202" t="s">
        <v>2756</v>
      </c>
      <c r="AH104" s="65" t="s">
        <v>2325</v>
      </c>
      <c r="AI104" s="253" t="s">
        <v>2764</v>
      </c>
      <c r="AJ104" s="271" t="s">
        <v>2308</v>
      </c>
      <c r="AK104" s="65" t="s">
        <v>54</v>
      </c>
      <c r="AL104" s="279" t="s">
        <v>2765</v>
      </c>
      <c r="AM104" s="65" t="s">
        <v>2183</v>
      </c>
      <c r="AT104" s="275" t="s">
        <v>1315</v>
      </c>
      <c r="AU104" s="65" t="s">
        <v>53</v>
      </c>
      <c r="AV104" s="65" t="s">
        <v>2054</v>
      </c>
      <c r="AW104" s="65" t="s">
        <v>2178</v>
      </c>
      <c r="AX104" s="278"/>
      <c r="AY104" s="65" t="s">
        <v>1271</v>
      </c>
      <c r="AZ104" s="65" t="s">
        <v>54</v>
      </c>
      <c r="BA104" s="65" t="s">
        <v>2053</v>
      </c>
      <c r="BB104" s="65" t="s">
        <v>2277</v>
      </c>
      <c r="BD104" s="160" t="s">
        <v>956</v>
      </c>
      <c r="BE104" s="160" t="s">
        <v>53</v>
      </c>
      <c r="BF104" s="160" t="s">
        <v>1724</v>
      </c>
      <c r="BG104" s="160"/>
      <c r="BH104" s="160"/>
      <c r="BI104" s="160" t="s">
        <v>957</v>
      </c>
      <c r="BJ104" s="160" t="s">
        <v>53</v>
      </c>
      <c r="BK104" s="160" t="s">
        <v>1725</v>
      </c>
      <c r="BL104" s="160"/>
      <c r="BM104" s="160"/>
      <c r="BN104" s="160" t="s">
        <v>958</v>
      </c>
      <c r="BO104" s="160" t="s">
        <v>53</v>
      </c>
      <c r="BP104" s="160" t="s">
        <v>1726</v>
      </c>
      <c r="BQ104" s="160"/>
      <c r="BR104" s="160"/>
      <c r="BS104" s="160" t="s">
        <v>959</v>
      </c>
      <c r="BT104" s="160" t="s">
        <v>53</v>
      </c>
      <c r="BU104" s="160" t="s">
        <v>1727</v>
      </c>
      <c r="BV104" s="160"/>
      <c r="BW104" s="160"/>
      <c r="BX104" s="160" t="s">
        <v>960</v>
      </c>
      <c r="BY104" s="160" t="s">
        <v>53</v>
      </c>
      <c r="BZ104" s="160" t="s">
        <v>1728</v>
      </c>
      <c r="CA104" s="160"/>
      <c r="CB104" s="160"/>
      <c r="CC104" s="160" t="s">
        <v>961</v>
      </c>
      <c r="CD104" s="160" t="s">
        <v>53</v>
      </c>
      <c r="CE104" s="160" t="s">
        <v>1729</v>
      </c>
      <c r="CF104" s="160"/>
      <c r="CG104" s="160"/>
      <c r="CH104" s="160" t="s">
        <v>962</v>
      </c>
      <c r="CI104" s="160" t="s">
        <v>53</v>
      </c>
      <c r="CJ104" s="160" t="s">
        <v>1730</v>
      </c>
      <c r="CK104" s="160"/>
      <c r="CL104" s="160"/>
      <c r="CM104" s="160" t="s">
        <v>963</v>
      </c>
      <c r="CN104" s="160" t="s">
        <v>53</v>
      </c>
      <c r="CO104" s="160" t="s">
        <v>1731</v>
      </c>
      <c r="CP104" s="160"/>
      <c r="CQ104" s="160"/>
      <c r="CR104" s="160" t="s">
        <v>964</v>
      </c>
      <c r="CS104" s="160" t="s">
        <v>53</v>
      </c>
      <c r="CT104" s="160" t="s">
        <v>1732</v>
      </c>
      <c r="CU104" s="160"/>
      <c r="CV104" s="160"/>
      <c r="CW104" s="160" t="s">
        <v>965</v>
      </c>
      <c r="CX104" s="160" t="s">
        <v>53</v>
      </c>
      <c r="CY104" s="160" t="s">
        <v>1733</v>
      </c>
      <c r="CZ104" s="160"/>
      <c r="DA104" s="160"/>
      <c r="DB104" s="160" t="s">
        <v>966</v>
      </c>
      <c r="DC104" s="160" t="s">
        <v>53</v>
      </c>
      <c r="DD104" s="160" t="s">
        <v>1734</v>
      </c>
      <c r="DE104" s="160"/>
      <c r="DF104" s="160"/>
      <c r="DG104" s="160" t="s">
        <v>967</v>
      </c>
      <c r="DH104" s="160" t="s">
        <v>53</v>
      </c>
      <c r="DI104" s="160" t="s">
        <v>1735</v>
      </c>
      <c r="DJ104" s="202"/>
      <c r="DK104" s="202"/>
      <c r="DL104" s="160" t="s">
        <v>968</v>
      </c>
      <c r="DM104" s="160" t="s">
        <v>53</v>
      </c>
      <c r="DN104" s="160" t="s">
        <v>1736</v>
      </c>
      <c r="DQ104" s="160" t="s">
        <v>2235</v>
      </c>
      <c r="DR104" s="160" t="s">
        <v>53</v>
      </c>
      <c r="DS104" s="160" t="s">
        <v>2267</v>
      </c>
      <c r="DW104" s="407"/>
      <c r="DY104" s="407"/>
      <c r="DZ104" s="303" t="s">
        <v>2279</v>
      </c>
    </row>
    <row r="105" spans="1:130" s="156" customFormat="1" ht="25.5">
      <c r="A105" s="156" t="s">
        <v>2281</v>
      </c>
      <c r="B105" s="156" t="s">
        <v>58</v>
      </c>
      <c r="C105" s="156" t="s">
        <v>58</v>
      </c>
      <c r="D105" s="156" t="s">
        <v>58</v>
      </c>
      <c r="E105" s="160" t="s">
        <v>48</v>
      </c>
      <c r="F105" s="65" t="s">
        <v>1082</v>
      </c>
      <c r="G105" s="44" t="s">
        <v>3123</v>
      </c>
      <c r="H105" s="44" t="s">
        <v>3124</v>
      </c>
      <c r="I105" s="65" t="s">
        <v>3100</v>
      </c>
      <c r="J105" s="344" t="s">
        <v>3101</v>
      </c>
      <c r="K105" s="344" t="s">
        <v>3101</v>
      </c>
      <c r="L105" s="160" t="s">
        <v>52</v>
      </c>
      <c r="M105" s="65" t="s">
        <v>2277</v>
      </c>
      <c r="N105" s="156" t="s">
        <v>1113</v>
      </c>
      <c r="O105" s="156" t="s">
        <v>2617</v>
      </c>
      <c r="P105" s="156" t="s">
        <v>2321</v>
      </c>
      <c r="Q105" s="202" t="s">
        <v>86</v>
      </c>
      <c r="R105" s="65" t="s">
        <v>1066</v>
      </c>
      <c r="S105" s="156" t="s">
        <v>46</v>
      </c>
      <c r="T105" s="156" t="s">
        <v>1123</v>
      </c>
      <c r="U105" s="65" t="s">
        <v>1073</v>
      </c>
      <c r="V105" s="156" t="s">
        <v>52</v>
      </c>
      <c r="W105" s="156" t="s">
        <v>2766</v>
      </c>
      <c r="X105" s="156" t="s">
        <v>2183</v>
      </c>
      <c r="Y105" s="207"/>
      <c r="Z105" s="156" t="s">
        <v>2767</v>
      </c>
      <c r="AA105" s="156" t="s">
        <v>53</v>
      </c>
      <c r="AB105" s="156" t="s">
        <v>2050</v>
      </c>
      <c r="AC105" s="156" t="s">
        <v>2176</v>
      </c>
      <c r="AD105" s="156" t="s">
        <v>655</v>
      </c>
      <c r="AE105" s="204" t="s">
        <v>1999</v>
      </c>
      <c r="AF105" s="160" t="s">
        <v>54</v>
      </c>
      <c r="AG105" s="202" t="s">
        <v>2756</v>
      </c>
      <c r="AH105" s="65" t="s">
        <v>2325</v>
      </c>
      <c r="AI105" s="205" t="s">
        <v>2768</v>
      </c>
      <c r="AJ105" s="271" t="s">
        <v>2309</v>
      </c>
      <c r="AK105" s="65" t="s">
        <v>54</v>
      </c>
      <c r="AL105" s="279" t="s">
        <v>2769</v>
      </c>
      <c r="AM105" s="65" t="s">
        <v>2183</v>
      </c>
      <c r="AT105" s="275" t="s">
        <v>1316</v>
      </c>
      <c r="AU105" s="65" t="s">
        <v>53</v>
      </c>
      <c r="AV105" s="65" t="s">
        <v>2054</v>
      </c>
      <c r="AW105" s="65" t="s">
        <v>2178</v>
      </c>
      <c r="AX105" s="278"/>
      <c r="AY105" s="65" t="s">
        <v>1270</v>
      </c>
      <c r="AZ105" s="65" t="s">
        <v>54</v>
      </c>
      <c r="BA105" s="65" t="s">
        <v>2053</v>
      </c>
      <c r="BB105" s="65" t="s">
        <v>2277</v>
      </c>
      <c r="BD105" s="160" t="s">
        <v>969</v>
      </c>
      <c r="BE105" s="160" t="s">
        <v>53</v>
      </c>
      <c r="BF105" s="160" t="s">
        <v>1711</v>
      </c>
      <c r="BG105" s="160"/>
      <c r="BH105" s="160"/>
      <c r="BI105" s="160" t="s">
        <v>970</v>
      </c>
      <c r="BJ105" s="160" t="s">
        <v>53</v>
      </c>
      <c r="BK105" s="160" t="s">
        <v>1712</v>
      </c>
      <c r="BL105" s="160"/>
      <c r="BM105" s="160"/>
      <c r="BN105" s="160" t="s">
        <v>971</v>
      </c>
      <c r="BO105" s="160" t="s">
        <v>53</v>
      </c>
      <c r="BP105" s="160" t="s">
        <v>1713</v>
      </c>
      <c r="BQ105" s="160"/>
      <c r="BR105" s="160"/>
      <c r="BS105" s="160" t="s">
        <v>972</v>
      </c>
      <c r="BT105" s="160" t="s">
        <v>53</v>
      </c>
      <c r="BU105" s="160" t="s">
        <v>1714</v>
      </c>
      <c r="BV105" s="160"/>
      <c r="BW105" s="160"/>
      <c r="BX105" s="160" t="s">
        <v>973</v>
      </c>
      <c r="BY105" s="160" t="s">
        <v>53</v>
      </c>
      <c r="BZ105" s="160" t="s">
        <v>1715</v>
      </c>
      <c r="CA105" s="160"/>
      <c r="CB105" s="160"/>
      <c r="CC105" s="160" t="s">
        <v>974</v>
      </c>
      <c r="CD105" s="160" t="s">
        <v>53</v>
      </c>
      <c r="CE105" s="160" t="s">
        <v>1716</v>
      </c>
      <c r="CF105" s="160"/>
      <c r="CG105" s="160"/>
      <c r="CH105" s="160" t="s">
        <v>975</v>
      </c>
      <c r="CI105" s="160" t="s">
        <v>53</v>
      </c>
      <c r="CJ105" s="160" t="s">
        <v>1717</v>
      </c>
      <c r="CK105" s="160"/>
      <c r="CL105" s="160"/>
      <c r="CM105" s="160" t="s">
        <v>976</v>
      </c>
      <c r="CN105" s="160" t="s">
        <v>53</v>
      </c>
      <c r="CO105" s="160" t="s">
        <v>1718</v>
      </c>
      <c r="CP105" s="160"/>
      <c r="CQ105" s="160"/>
      <c r="CR105" s="160" t="s">
        <v>977</v>
      </c>
      <c r="CS105" s="160" t="s">
        <v>53</v>
      </c>
      <c r="CT105" s="160" t="s">
        <v>1719</v>
      </c>
      <c r="CU105" s="160"/>
      <c r="CV105" s="160"/>
      <c r="CW105" s="160" t="s">
        <v>978</v>
      </c>
      <c r="CX105" s="160" t="s">
        <v>53</v>
      </c>
      <c r="CY105" s="160" t="s">
        <v>1720</v>
      </c>
      <c r="CZ105" s="160"/>
      <c r="DA105" s="160"/>
      <c r="DB105" s="160" t="s">
        <v>979</v>
      </c>
      <c r="DC105" s="160" t="s">
        <v>53</v>
      </c>
      <c r="DD105" s="160" t="s">
        <v>1721</v>
      </c>
      <c r="DE105" s="160"/>
      <c r="DF105" s="160"/>
      <c r="DG105" s="160" t="s">
        <v>980</v>
      </c>
      <c r="DH105" s="160" t="s">
        <v>53</v>
      </c>
      <c r="DI105" s="160" t="s">
        <v>1722</v>
      </c>
      <c r="DJ105" s="202"/>
      <c r="DK105" s="202"/>
      <c r="DL105" s="160" t="s">
        <v>981</v>
      </c>
      <c r="DM105" s="160" t="s">
        <v>53</v>
      </c>
      <c r="DN105" s="160" t="s">
        <v>1723</v>
      </c>
      <c r="DQ105" s="160" t="s">
        <v>2236</v>
      </c>
      <c r="DR105" s="160" t="s">
        <v>53</v>
      </c>
      <c r="DS105" s="160" t="s">
        <v>2268</v>
      </c>
      <c r="DW105" s="408"/>
      <c r="DY105" s="408"/>
      <c r="DZ105" s="303" t="s">
        <v>2279</v>
      </c>
    </row>
    <row r="106" spans="1:130" s="180" customFormat="1">
      <c r="A106" s="218" t="s">
        <v>2770</v>
      </c>
      <c r="B106" s="150"/>
      <c r="C106" s="150"/>
      <c r="D106" s="150"/>
      <c r="E106" s="150"/>
      <c r="F106" s="150"/>
      <c r="G106" s="343"/>
      <c r="H106" s="343"/>
      <c r="I106" s="343"/>
      <c r="J106" s="343"/>
      <c r="K106" s="343"/>
      <c r="L106" s="38"/>
      <c r="M106" s="38"/>
      <c r="N106" s="38"/>
      <c r="O106" s="38"/>
      <c r="P106" s="38"/>
      <c r="Q106" s="38"/>
      <c r="R106" s="38"/>
      <c r="S106" s="38"/>
      <c r="T106" s="36"/>
      <c r="U106" s="36"/>
      <c r="V106" s="36"/>
      <c r="W106" s="36"/>
      <c r="X106" s="36"/>
      <c r="Y106" s="148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00"/>
      <c r="AV106" s="36"/>
      <c r="AW106" s="36"/>
      <c r="AX106" s="36"/>
      <c r="AY106" s="36"/>
      <c r="AZ106" s="300"/>
      <c r="BA106" s="36"/>
      <c r="BB106" s="36"/>
      <c r="BC106" s="36"/>
      <c r="BD106" s="36"/>
      <c r="BE106" s="36"/>
      <c r="BF106" s="36"/>
      <c r="BG106" s="36"/>
      <c r="BH106" s="36"/>
      <c r="BI106" s="36"/>
      <c r="BJ106" s="36"/>
      <c r="BK106" s="36"/>
      <c r="BL106" s="36"/>
      <c r="BM106" s="36"/>
      <c r="BN106" s="36"/>
      <c r="BO106" s="36"/>
      <c r="BP106" s="36"/>
      <c r="BQ106" s="36"/>
      <c r="BR106" s="36"/>
      <c r="BS106" s="36"/>
      <c r="BT106" s="36"/>
      <c r="BU106" s="36"/>
      <c r="BV106" s="36"/>
      <c r="BW106" s="36"/>
      <c r="BX106" s="36"/>
      <c r="BY106" s="36"/>
      <c r="BZ106" s="36"/>
      <c r="CA106" s="36"/>
      <c r="CB106" s="36"/>
      <c r="CC106" s="36"/>
      <c r="CD106" s="36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6"/>
      <c r="CQ106" s="36"/>
      <c r="CR106" s="36"/>
      <c r="CS106" s="36"/>
      <c r="CT106" s="36"/>
      <c r="CU106" s="36"/>
      <c r="CV106" s="36"/>
      <c r="CW106" s="36"/>
      <c r="CX106" s="36"/>
      <c r="CY106" s="36"/>
      <c r="CZ106" s="36"/>
      <c r="DA106" s="36"/>
      <c r="DB106" s="36"/>
      <c r="DC106" s="36"/>
      <c r="DD106" s="36"/>
      <c r="DE106" s="36"/>
      <c r="DF106" s="36"/>
      <c r="DG106" s="36"/>
      <c r="DH106" s="36"/>
      <c r="DI106" s="36"/>
      <c r="DJ106" s="36"/>
      <c r="DK106" s="36"/>
      <c r="DL106" s="36"/>
      <c r="DM106" s="36"/>
      <c r="DN106" s="36"/>
      <c r="DO106" s="36"/>
      <c r="DP106" s="36"/>
      <c r="DQ106" s="36"/>
      <c r="DR106" s="36"/>
      <c r="DS106" s="36"/>
      <c r="DT106" s="36"/>
      <c r="DU106" s="36"/>
      <c r="DV106" s="36"/>
      <c r="DW106" s="300"/>
      <c r="DX106" s="300"/>
      <c r="DY106" s="300"/>
      <c r="DZ106" s="300"/>
    </row>
    <row r="107" spans="1:130" s="147" customFormat="1" ht="12.75">
      <c r="A107" s="162" t="s">
        <v>2771</v>
      </c>
      <c r="B107" s="147" t="s">
        <v>2298</v>
      </c>
      <c r="C107" s="147" t="s">
        <v>2298</v>
      </c>
      <c r="D107" s="147" t="s">
        <v>58</v>
      </c>
      <c r="E107" s="269" t="s">
        <v>50</v>
      </c>
      <c r="F107" s="147" t="s">
        <v>2772</v>
      </c>
      <c r="G107" s="347" t="s">
        <v>3102</v>
      </c>
      <c r="H107" s="347" t="s">
        <v>3102</v>
      </c>
      <c r="I107" s="347" t="s">
        <v>3102</v>
      </c>
      <c r="J107" s="347" t="s">
        <v>3102</v>
      </c>
      <c r="K107" s="347" t="s">
        <v>3102</v>
      </c>
      <c r="L107" s="159" t="s">
        <v>135</v>
      </c>
      <c r="M107" s="147" t="s">
        <v>2184</v>
      </c>
      <c r="N107" s="162" t="s">
        <v>2773</v>
      </c>
      <c r="O107" s="147" t="s">
        <v>2774</v>
      </c>
      <c r="P107" s="269"/>
      <c r="Q107" s="269" t="s">
        <v>12</v>
      </c>
      <c r="R107" s="269" t="s">
        <v>2421</v>
      </c>
      <c r="T107" s="147" t="s">
        <v>2775</v>
      </c>
      <c r="U107" s="147" t="str">
        <f t="shared" ref="U107:U138" si="1">LOWER(F107)</f>
        <v>ch0_tcxo_in</v>
      </c>
      <c r="V107" s="159" t="s">
        <v>135</v>
      </c>
      <c r="W107" s="147" t="s">
        <v>2324</v>
      </c>
      <c r="X107" s="147" t="s">
        <v>2184</v>
      </c>
      <c r="Y107" s="149" t="s">
        <v>2776</v>
      </c>
      <c r="DW107" s="409" t="s">
        <v>2777</v>
      </c>
      <c r="DX107" s="292"/>
      <c r="DY107" s="409" t="s">
        <v>2280</v>
      </c>
      <c r="DZ107" s="292"/>
    </row>
    <row r="108" spans="1:130" s="147" customFormat="1" ht="12.75">
      <c r="A108" s="162" t="s">
        <v>2771</v>
      </c>
      <c r="B108" s="147" t="s">
        <v>58</v>
      </c>
      <c r="C108" s="147" t="s">
        <v>58</v>
      </c>
      <c r="D108" s="147" t="s">
        <v>58</v>
      </c>
      <c r="E108" s="269" t="s">
        <v>50</v>
      </c>
      <c r="F108" s="147" t="s">
        <v>2778</v>
      </c>
      <c r="G108" s="347" t="s">
        <v>3102</v>
      </c>
      <c r="H108" s="347" t="s">
        <v>3102</v>
      </c>
      <c r="I108" s="347" t="s">
        <v>3102</v>
      </c>
      <c r="J108" s="347" t="s">
        <v>3102</v>
      </c>
      <c r="K108" s="347" t="s">
        <v>3102</v>
      </c>
      <c r="L108" s="159" t="s">
        <v>135</v>
      </c>
      <c r="M108" s="147" t="s">
        <v>2184</v>
      </c>
      <c r="N108" s="162" t="s">
        <v>2773</v>
      </c>
      <c r="O108" s="147" t="s">
        <v>2774</v>
      </c>
      <c r="P108" s="269"/>
      <c r="Q108" s="269" t="s">
        <v>12</v>
      </c>
      <c r="R108" s="269" t="s">
        <v>2421</v>
      </c>
      <c r="T108" s="147" t="s">
        <v>2775</v>
      </c>
      <c r="U108" s="147" t="str">
        <f t="shared" si="1"/>
        <v>ch1_tcxo_in</v>
      </c>
      <c r="V108" s="159" t="s">
        <v>135</v>
      </c>
      <c r="W108" s="147" t="s">
        <v>2324</v>
      </c>
      <c r="X108" s="147" t="s">
        <v>2184</v>
      </c>
      <c r="Y108" s="149" t="s">
        <v>2779</v>
      </c>
      <c r="DW108" s="410"/>
      <c r="DX108" s="292"/>
      <c r="DY108" s="410"/>
      <c r="DZ108" s="292"/>
    </row>
    <row r="109" spans="1:130" s="147" customFormat="1" ht="12.75">
      <c r="A109" s="162" t="s">
        <v>3034</v>
      </c>
      <c r="B109" s="147" t="s">
        <v>58</v>
      </c>
      <c r="C109" s="147" t="s">
        <v>58</v>
      </c>
      <c r="D109" s="147" t="s">
        <v>58</v>
      </c>
      <c r="E109" s="269" t="s">
        <v>50</v>
      </c>
      <c r="F109" s="147" t="s">
        <v>626</v>
      </c>
      <c r="G109" s="347" t="s">
        <v>3102</v>
      </c>
      <c r="H109" s="347" t="s">
        <v>3102</v>
      </c>
      <c r="I109" s="347" t="s">
        <v>3102</v>
      </c>
      <c r="J109" s="347" t="s">
        <v>3102</v>
      </c>
      <c r="K109" s="347" t="s">
        <v>3102</v>
      </c>
      <c r="L109" s="159" t="s">
        <v>135</v>
      </c>
      <c r="M109" s="147" t="s">
        <v>2185</v>
      </c>
      <c r="N109" s="162" t="s">
        <v>2773</v>
      </c>
      <c r="O109" s="147" t="s">
        <v>578</v>
      </c>
      <c r="P109" s="269"/>
      <c r="Q109" s="269" t="s">
        <v>12</v>
      </c>
      <c r="R109" s="269" t="s">
        <v>2421</v>
      </c>
      <c r="T109" s="147" t="s">
        <v>2780</v>
      </c>
      <c r="U109" s="147" t="str">
        <f t="shared" si="1"/>
        <v>ch0_rxa_i_p</v>
      </c>
      <c r="V109" s="159" t="s">
        <v>135</v>
      </c>
      <c r="W109" s="147" t="s">
        <v>2324</v>
      </c>
      <c r="X109" s="147" t="s">
        <v>2185</v>
      </c>
      <c r="Y109" s="149" t="s">
        <v>2781</v>
      </c>
      <c r="DW109" s="410"/>
      <c r="DX109" s="292"/>
      <c r="DY109" s="410"/>
      <c r="DZ109" s="292"/>
    </row>
    <row r="110" spans="1:130" s="147" customFormat="1" ht="12.75">
      <c r="A110" s="162" t="s">
        <v>3034</v>
      </c>
      <c r="B110" s="147" t="s">
        <v>58</v>
      </c>
      <c r="C110" s="147" t="s">
        <v>58</v>
      </c>
      <c r="D110" s="147" t="s">
        <v>58</v>
      </c>
      <c r="E110" s="269" t="s">
        <v>50</v>
      </c>
      <c r="F110" s="147" t="s">
        <v>627</v>
      </c>
      <c r="G110" s="347" t="s">
        <v>3102</v>
      </c>
      <c r="H110" s="347" t="s">
        <v>3102</v>
      </c>
      <c r="I110" s="347" t="s">
        <v>3102</v>
      </c>
      <c r="J110" s="347" t="s">
        <v>3102</v>
      </c>
      <c r="K110" s="347" t="s">
        <v>3102</v>
      </c>
      <c r="L110" s="159" t="s">
        <v>135</v>
      </c>
      <c r="M110" s="147" t="s">
        <v>2185</v>
      </c>
      <c r="N110" s="162" t="s">
        <v>2773</v>
      </c>
      <c r="O110" s="147" t="s">
        <v>578</v>
      </c>
      <c r="P110" s="269"/>
      <c r="Q110" s="269" t="s">
        <v>12</v>
      </c>
      <c r="R110" s="269" t="s">
        <v>2421</v>
      </c>
      <c r="T110" s="147" t="s">
        <v>2780</v>
      </c>
      <c r="U110" s="147" t="str">
        <f t="shared" si="1"/>
        <v>ch0_rxa_i_n</v>
      </c>
      <c r="V110" s="159" t="s">
        <v>135</v>
      </c>
      <c r="W110" s="147" t="s">
        <v>2324</v>
      </c>
      <c r="X110" s="147" t="s">
        <v>2185</v>
      </c>
      <c r="Y110" s="149" t="s">
        <v>2782</v>
      </c>
      <c r="DW110" s="410"/>
      <c r="DX110" s="292"/>
      <c r="DY110" s="410"/>
      <c r="DZ110" s="292"/>
    </row>
    <row r="111" spans="1:130" s="147" customFormat="1" ht="12.75">
      <c r="A111" s="162" t="s">
        <v>3034</v>
      </c>
      <c r="B111" s="147" t="s">
        <v>58</v>
      </c>
      <c r="C111" s="147" t="s">
        <v>58</v>
      </c>
      <c r="D111" s="147" t="s">
        <v>58</v>
      </c>
      <c r="E111" s="269" t="s">
        <v>50</v>
      </c>
      <c r="F111" s="147" t="s">
        <v>628</v>
      </c>
      <c r="G111" s="347" t="s">
        <v>3102</v>
      </c>
      <c r="H111" s="347" t="s">
        <v>3102</v>
      </c>
      <c r="I111" s="347" t="s">
        <v>3102</v>
      </c>
      <c r="J111" s="347" t="s">
        <v>3102</v>
      </c>
      <c r="K111" s="347" t="s">
        <v>3102</v>
      </c>
      <c r="L111" s="159" t="s">
        <v>135</v>
      </c>
      <c r="M111" s="147" t="s">
        <v>2185</v>
      </c>
      <c r="N111" s="162" t="s">
        <v>2773</v>
      </c>
      <c r="O111" s="147" t="s">
        <v>578</v>
      </c>
      <c r="P111" s="269"/>
      <c r="Q111" s="269" t="s">
        <v>12</v>
      </c>
      <c r="R111" s="269" t="s">
        <v>2421</v>
      </c>
      <c r="T111" s="147" t="s">
        <v>2780</v>
      </c>
      <c r="U111" s="147" t="str">
        <f t="shared" si="1"/>
        <v>ch0_rxa_q_p</v>
      </c>
      <c r="V111" s="159" t="s">
        <v>135</v>
      </c>
      <c r="W111" s="147" t="s">
        <v>2324</v>
      </c>
      <c r="X111" s="147" t="s">
        <v>2185</v>
      </c>
      <c r="Y111" s="149" t="s">
        <v>2783</v>
      </c>
      <c r="DW111" s="410"/>
      <c r="DX111" s="292"/>
      <c r="DY111" s="410"/>
      <c r="DZ111" s="292"/>
    </row>
    <row r="112" spans="1:130" s="147" customFormat="1" ht="12.75">
      <c r="A112" s="162" t="s">
        <v>3034</v>
      </c>
      <c r="B112" s="147" t="s">
        <v>58</v>
      </c>
      <c r="C112" s="147" t="s">
        <v>58</v>
      </c>
      <c r="D112" s="147" t="s">
        <v>58</v>
      </c>
      <c r="E112" s="269" t="s">
        <v>50</v>
      </c>
      <c r="F112" s="147" t="s">
        <v>629</v>
      </c>
      <c r="G112" s="347" t="s">
        <v>3102</v>
      </c>
      <c r="H112" s="347" t="s">
        <v>3102</v>
      </c>
      <c r="I112" s="347" t="s">
        <v>3102</v>
      </c>
      <c r="J112" s="347" t="s">
        <v>3102</v>
      </c>
      <c r="K112" s="347" t="s">
        <v>3102</v>
      </c>
      <c r="L112" s="159" t="s">
        <v>135</v>
      </c>
      <c r="M112" s="147" t="s">
        <v>2185</v>
      </c>
      <c r="N112" s="162" t="s">
        <v>2773</v>
      </c>
      <c r="O112" s="147" t="s">
        <v>578</v>
      </c>
      <c r="P112" s="269"/>
      <c r="Q112" s="269" t="s">
        <v>12</v>
      </c>
      <c r="R112" s="269" t="s">
        <v>2421</v>
      </c>
      <c r="T112" s="147" t="s">
        <v>2780</v>
      </c>
      <c r="U112" s="147" t="str">
        <f t="shared" si="1"/>
        <v>ch0_rxa_q_n</v>
      </c>
      <c r="V112" s="159" t="s">
        <v>135</v>
      </c>
      <c r="W112" s="147" t="s">
        <v>2324</v>
      </c>
      <c r="X112" s="147" t="s">
        <v>2185</v>
      </c>
      <c r="Y112" s="149" t="s">
        <v>2784</v>
      </c>
      <c r="DW112" s="410"/>
      <c r="DX112" s="292"/>
      <c r="DY112" s="410"/>
      <c r="DZ112" s="292"/>
    </row>
    <row r="113" spans="1:130" s="147" customFormat="1" ht="12.75">
      <c r="A113" s="162" t="s">
        <v>3034</v>
      </c>
      <c r="B113" s="147" t="s">
        <v>58</v>
      </c>
      <c r="C113" s="147" t="s">
        <v>58</v>
      </c>
      <c r="D113" s="147" t="s">
        <v>58</v>
      </c>
      <c r="E113" s="269" t="s">
        <v>50</v>
      </c>
      <c r="F113" s="147" t="s">
        <v>630</v>
      </c>
      <c r="G113" s="347" t="s">
        <v>3102</v>
      </c>
      <c r="H113" s="347" t="s">
        <v>3102</v>
      </c>
      <c r="I113" s="347" t="s">
        <v>3102</v>
      </c>
      <c r="J113" s="347" t="s">
        <v>3102</v>
      </c>
      <c r="K113" s="347" t="s">
        <v>3102</v>
      </c>
      <c r="L113" s="159" t="s">
        <v>135</v>
      </c>
      <c r="M113" s="147" t="s">
        <v>2185</v>
      </c>
      <c r="N113" s="162" t="s">
        <v>2773</v>
      </c>
      <c r="O113" s="147" t="s">
        <v>578</v>
      </c>
      <c r="P113" s="269"/>
      <c r="Q113" s="269" t="s">
        <v>12</v>
      </c>
      <c r="R113" s="269" t="s">
        <v>2421</v>
      </c>
      <c r="T113" s="147" t="s">
        <v>2780</v>
      </c>
      <c r="U113" s="147" t="str">
        <f t="shared" si="1"/>
        <v>ch0_rxb_i_p</v>
      </c>
      <c r="V113" s="159" t="s">
        <v>135</v>
      </c>
      <c r="W113" s="147" t="s">
        <v>2324</v>
      </c>
      <c r="X113" s="147" t="s">
        <v>2185</v>
      </c>
      <c r="Y113" s="149" t="s">
        <v>2785</v>
      </c>
      <c r="DW113" s="410"/>
      <c r="DX113" s="292"/>
      <c r="DY113" s="410"/>
      <c r="DZ113" s="292"/>
    </row>
    <row r="114" spans="1:130" s="147" customFormat="1" ht="12.75">
      <c r="A114" s="162" t="s">
        <v>3034</v>
      </c>
      <c r="B114" s="147" t="s">
        <v>58</v>
      </c>
      <c r="C114" s="147" t="s">
        <v>58</v>
      </c>
      <c r="D114" s="147" t="s">
        <v>58</v>
      </c>
      <c r="E114" s="269" t="s">
        <v>50</v>
      </c>
      <c r="F114" s="147" t="s">
        <v>631</v>
      </c>
      <c r="G114" s="347" t="s">
        <v>3102</v>
      </c>
      <c r="H114" s="347" t="s">
        <v>3102</v>
      </c>
      <c r="I114" s="347" t="s">
        <v>3102</v>
      </c>
      <c r="J114" s="347" t="s">
        <v>3102</v>
      </c>
      <c r="K114" s="347" t="s">
        <v>3102</v>
      </c>
      <c r="L114" s="159" t="s">
        <v>135</v>
      </c>
      <c r="M114" s="147" t="s">
        <v>2185</v>
      </c>
      <c r="N114" s="162" t="s">
        <v>2773</v>
      </c>
      <c r="O114" s="147" t="s">
        <v>578</v>
      </c>
      <c r="P114" s="269"/>
      <c r="Q114" s="269" t="s">
        <v>12</v>
      </c>
      <c r="R114" s="269" t="s">
        <v>2421</v>
      </c>
      <c r="T114" s="147" t="s">
        <v>2780</v>
      </c>
      <c r="U114" s="147" t="str">
        <f t="shared" si="1"/>
        <v>ch0_rxb_i_n</v>
      </c>
      <c r="V114" s="159" t="s">
        <v>135</v>
      </c>
      <c r="W114" s="147" t="s">
        <v>2324</v>
      </c>
      <c r="X114" s="147" t="s">
        <v>2185</v>
      </c>
      <c r="Y114" s="149" t="s">
        <v>2786</v>
      </c>
      <c r="DW114" s="410"/>
      <c r="DX114" s="292"/>
      <c r="DY114" s="410"/>
      <c r="DZ114" s="292"/>
    </row>
    <row r="115" spans="1:130" s="147" customFormat="1" ht="12.75">
      <c r="A115" s="162" t="s">
        <v>3034</v>
      </c>
      <c r="B115" s="147" t="s">
        <v>58</v>
      </c>
      <c r="C115" s="147" t="s">
        <v>58</v>
      </c>
      <c r="D115" s="147" t="s">
        <v>58</v>
      </c>
      <c r="E115" s="269" t="s">
        <v>50</v>
      </c>
      <c r="F115" s="147" t="s">
        <v>632</v>
      </c>
      <c r="G115" s="347" t="s">
        <v>3102</v>
      </c>
      <c r="H115" s="347" t="s">
        <v>3102</v>
      </c>
      <c r="I115" s="347" t="s">
        <v>3102</v>
      </c>
      <c r="J115" s="347" t="s">
        <v>3102</v>
      </c>
      <c r="K115" s="347" t="s">
        <v>3102</v>
      </c>
      <c r="L115" s="159" t="s">
        <v>135</v>
      </c>
      <c r="M115" s="147" t="s">
        <v>2185</v>
      </c>
      <c r="N115" s="162" t="s">
        <v>2773</v>
      </c>
      <c r="O115" s="147" t="s">
        <v>578</v>
      </c>
      <c r="P115" s="269"/>
      <c r="Q115" s="269" t="s">
        <v>12</v>
      </c>
      <c r="R115" s="269" t="s">
        <v>2421</v>
      </c>
      <c r="T115" s="147" t="s">
        <v>2780</v>
      </c>
      <c r="U115" s="147" t="str">
        <f t="shared" si="1"/>
        <v>ch0_rxb_q_p</v>
      </c>
      <c r="V115" s="159" t="s">
        <v>135</v>
      </c>
      <c r="W115" s="147" t="s">
        <v>2324</v>
      </c>
      <c r="X115" s="147" t="s">
        <v>2185</v>
      </c>
      <c r="Y115" s="149" t="s">
        <v>2787</v>
      </c>
      <c r="DW115" s="410"/>
      <c r="DX115" s="292"/>
      <c r="DY115" s="410"/>
      <c r="DZ115" s="292"/>
    </row>
    <row r="116" spans="1:130" s="147" customFormat="1" ht="12.75">
      <c r="A116" s="162" t="s">
        <v>3034</v>
      </c>
      <c r="B116" s="147" t="s">
        <v>58</v>
      </c>
      <c r="C116" s="147" t="s">
        <v>58</v>
      </c>
      <c r="D116" s="147" t="s">
        <v>58</v>
      </c>
      <c r="E116" s="269" t="s">
        <v>50</v>
      </c>
      <c r="F116" s="147" t="s">
        <v>633</v>
      </c>
      <c r="G116" s="347" t="s">
        <v>3102</v>
      </c>
      <c r="H116" s="347" t="s">
        <v>3102</v>
      </c>
      <c r="I116" s="347" t="s">
        <v>3102</v>
      </c>
      <c r="J116" s="347" t="s">
        <v>3102</v>
      </c>
      <c r="K116" s="347" t="s">
        <v>3102</v>
      </c>
      <c r="L116" s="159" t="s">
        <v>135</v>
      </c>
      <c r="M116" s="147" t="s">
        <v>2185</v>
      </c>
      <c r="N116" s="162" t="s">
        <v>2773</v>
      </c>
      <c r="O116" s="147" t="s">
        <v>578</v>
      </c>
      <c r="P116" s="269"/>
      <c r="Q116" s="269" t="s">
        <v>12</v>
      </c>
      <c r="R116" s="269" t="s">
        <v>2421</v>
      </c>
      <c r="T116" s="147" t="s">
        <v>2780</v>
      </c>
      <c r="U116" s="147" t="str">
        <f t="shared" si="1"/>
        <v>ch0_rxb_q_n</v>
      </c>
      <c r="V116" s="159" t="s">
        <v>135</v>
      </c>
      <c r="W116" s="147" t="s">
        <v>2324</v>
      </c>
      <c r="X116" s="147" t="s">
        <v>2185</v>
      </c>
      <c r="Y116" s="149" t="s">
        <v>2788</v>
      </c>
      <c r="DW116" s="410"/>
      <c r="DX116" s="292"/>
      <c r="DY116" s="410"/>
      <c r="DZ116" s="292"/>
    </row>
    <row r="117" spans="1:130" s="147" customFormat="1" ht="12.75">
      <c r="A117" s="162" t="s">
        <v>2771</v>
      </c>
      <c r="B117" s="147" t="s">
        <v>58</v>
      </c>
      <c r="C117" s="147" t="s">
        <v>58</v>
      </c>
      <c r="D117" s="147" t="s">
        <v>58</v>
      </c>
      <c r="E117" s="269" t="s">
        <v>50</v>
      </c>
      <c r="F117" s="147" t="s">
        <v>1050</v>
      </c>
      <c r="G117" s="347" t="s">
        <v>3102</v>
      </c>
      <c r="H117" s="347" t="s">
        <v>3102</v>
      </c>
      <c r="I117" s="347" t="s">
        <v>3102</v>
      </c>
      <c r="J117" s="347" t="s">
        <v>3102</v>
      </c>
      <c r="K117" s="347" t="s">
        <v>3102</v>
      </c>
      <c r="L117" s="159" t="s">
        <v>180</v>
      </c>
      <c r="M117" s="147" t="s">
        <v>2185</v>
      </c>
      <c r="N117" s="162" t="s">
        <v>2773</v>
      </c>
      <c r="O117" s="147" t="s">
        <v>578</v>
      </c>
      <c r="P117" s="269"/>
      <c r="Q117" s="269" t="s">
        <v>12</v>
      </c>
      <c r="R117" s="269" t="s">
        <v>2421</v>
      </c>
      <c r="T117" s="147" t="s">
        <v>2780</v>
      </c>
      <c r="U117" s="147" t="str">
        <f t="shared" si="1"/>
        <v>ch0_tx_i_p</v>
      </c>
      <c r="V117" s="159" t="s">
        <v>180</v>
      </c>
      <c r="W117" s="147" t="s">
        <v>2324</v>
      </c>
      <c r="X117" s="147" t="s">
        <v>2185</v>
      </c>
      <c r="Y117" s="149" t="s">
        <v>2789</v>
      </c>
      <c r="DW117" s="410"/>
      <c r="DX117" s="292"/>
      <c r="DY117" s="410"/>
      <c r="DZ117" s="292"/>
    </row>
    <row r="118" spans="1:130" s="147" customFormat="1" ht="12.75">
      <c r="A118" s="162" t="s">
        <v>2771</v>
      </c>
      <c r="B118" s="147" t="s">
        <v>58</v>
      </c>
      <c r="C118" s="147" t="s">
        <v>58</v>
      </c>
      <c r="D118" s="147" t="s">
        <v>58</v>
      </c>
      <c r="E118" s="269" t="s">
        <v>50</v>
      </c>
      <c r="F118" s="147" t="s">
        <v>1051</v>
      </c>
      <c r="G118" s="347" t="s">
        <v>3102</v>
      </c>
      <c r="H118" s="347" t="s">
        <v>3102</v>
      </c>
      <c r="I118" s="347" t="s">
        <v>3102</v>
      </c>
      <c r="J118" s="347" t="s">
        <v>3102</v>
      </c>
      <c r="K118" s="347" t="s">
        <v>3102</v>
      </c>
      <c r="L118" s="159" t="s">
        <v>180</v>
      </c>
      <c r="M118" s="147" t="s">
        <v>2185</v>
      </c>
      <c r="N118" s="162" t="s">
        <v>2773</v>
      </c>
      <c r="O118" s="147" t="s">
        <v>578</v>
      </c>
      <c r="P118" s="269"/>
      <c r="Q118" s="269" t="s">
        <v>12</v>
      </c>
      <c r="R118" s="269" t="s">
        <v>2421</v>
      </c>
      <c r="T118" s="147" t="s">
        <v>2780</v>
      </c>
      <c r="U118" s="147" t="str">
        <f t="shared" si="1"/>
        <v>ch0_tx_i_n</v>
      </c>
      <c r="V118" s="159" t="s">
        <v>180</v>
      </c>
      <c r="W118" s="147" t="s">
        <v>2324</v>
      </c>
      <c r="X118" s="147" t="s">
        <v>2185</v>
      </c>
      <c r="Y118" s="149" t="s">
        <v>2790</v>
      </c>
      <c r="DW118" s="410"/>
      <c r="DX118" s="292"/>
      <c r="DY118" s="410"/>
      <c r="DZ118" s="292"/>
    </row>
    <row r="119" spans="1:130" s="147" customFormat="1" ht="12.75">
      <c r="A119" s="162" t="s">
        <v>2771</v>
      </c>
      <c r="B119" s="147" t="s">
        <v>58</v>
      </c>
      <c r="C119" s="147" t="s">
        <v>58</v>
      </c>
      <c r="D119" s="147" t="s">
        <v>58</v>
      </c>
      <c r="E119" s="269" t="s">
        <v>50</v>
      </c>
      <c r="F119" s="147" t="s">
        <v>1052</v>
      </c>
      <c r="G119" s="347" t="s">
        <v>3102</v>
      </c>
      <c r="H119" s="347" t="s">
        <v>3102</v>
      </c>
      <c r="I119" s="347" t="s">
        <v>3102</v>
      </c>
      <c r="J119" s="347" t="s">
        <v>3102</v>
      </c>
      <c r="K119" s="347" t="s">
        <v>3102</v>
      </c>
      <c r="L119" s="159" t="s">
        <v>180</v>
      </c>
      <c r="M119" s="147" t="s">
        <v>2185</v>
      </c>
      <c r="N119" s="162" t="s">
        <v>2773</v>
      </c>
      <c r="O119" s="147" t="s">
        <v>578</v>
      </c>
      <c r="P119" s="269"/>
      <c r="Q119" s="269" t="s">
        <v>12</v>
      </c>
      <c r="R119" s="269" t="s">
        <v>2421</v>
      </c>
      <c r="T119" s="147" t="s">
        <v>2780</v>
      </c>
      <c r="U119" s="147" t="str">
        <f t="shared" si="1"/>
        <v>ch0_tx_q_p</v>
      </c>
      <c r="V119" s="159" t="s">
        <v>180</v>
      </c>
      <c r="W119" s="147" t="s">
        <v>2324</v>
      </c>
      <c r="X119" s="147" t="s">
        <v>2185</v>
      </c>
      <c r="Y119" s="149" t="s">
        <v>2791</v>
      </c>
      <c r="DW119" s="410"/>
      <c r="DX119" s="292"/>
      <c r="DY119" s="410"/>
      <c r="DZ119" s="292"/>
    </row>
    <row r="120" spans="1:130" s="147" customFormat="1" ht="12.75">
      <c r="A120" s="162" t="s">
        <v>2771</v>
      </c>
      <c r="B120" s="147" t="s">
        <v>58</v>
      </c>
      <c r="C120" s="147" t="s">
        <v>58</v>
      </c>
      <c r="D120" s="147" t="s">
        <v>58</v>
      </c>
      <c r="E120" s="269" t="s">
        <v>50</v>
      </c>
      <c r="F120" s="147" t="s">
        <v>1053</v>
      </c>
      <c r="G120" s="347" t="s">
        <v>3102</v>
      </c>
      <c r="H120" s="347" t="s">
        <v>3102</v>
      </c>
      <c r="I120" s="347" t="s">
        <v>3102</v>
      </c>
      <c r="J120" s="347" t="s">
        <v>3102</v>
      </c>
      <c r="K120" s="347" t="s">
        <v>3102</v>
      </c>
      <c r="L120" s="159" t="s">
        <v>180</v>
      </c>
      <c r="M120" s="147" t="s">
        <v>2185</v>
      </c>
      <c r="N120" s="162" t="s">
        <v>2773</v>
      </c>
      <c r="O120" s="147" t="s">
        <v>578</v>
      </c>
      <c r="P120" s="269"/>
      <c r="Q120" s="269" t="s">
        <v>12</v>
      </c>
      <c r="R120" s="269" t="s">
        <v>2421</v>
      </c>
      <c r="T120" s="147" t="s">
        <v>2780</v>
      </c>
      <c r="U120" s="147" t="str">
        <f t="shared" si="1"/>
        <v>ch0_tx_q_n</v>
      </c>
      <c r="V120" s="159" t="s">
        <v>180</v>
      </c>
      <c r="W120" s="147" t="s">
        <v>2324</v>
      </c>
      <c r="X120" s="147" t="s">
        <v>2185</v>
      </c>
      <c r="Y120" s="149" t="s">
        <v>2792</v>
      </c>
      <c r="DW120" s="410"/>
      <c r="DX120" s="292"/>
      <c r="DY120" s="410"/>
      <c r="DZ120" s="292"/>
    </row>
    <row r="121" spans="1:130" s="147" customFormat="1" ht="12.75">
      <c r="A121" s="162" t="s">
        <v>2793</v>
      </c>
      <c r="B121" s="147" t="s">
        <v>58</v>
      </c>
      <c r="C121" s="147" t="s">
        <v>58</v>
      </c>
      <c r="D121" s="147" t="s">
        <v>58</v>
      </c>
      <c r="E121" s="269" t="s">
        <v>50</v>
      </c>
      <c r="F121" s="147" t="s">
        <v>634</v>
      </c>
      <c r="G121" s="347" t="s">
        <v>3102</v>
      </c>
      <c r="H121" s="347" t="s">
        <v>3102</v>
      </c>
      <c r="I121" s="347" t="s">
        <v>3102</v>
      </c>
      <c r="J121" s="347" t="s">
        <v>3102</v>
      </c>
      <c r="K121" s="347" t="s">
        <v>3102</v>
      </c>
      <c r="L121" s="159" t="s">
        <v>135</v>
      </c>
      <c r="M121" s="147" t="s">
        <v>2186</v>
      </c>
      <c r="N121" s="162" t="s">
        <v>2773</v>
      </c>
      <c r="O121" s="147" t="s">
        <v>578</v>
      </c>
      <c r="P121" s="269"/>
      <c r="Q121" s="269" t="s">
        <v>12</v>
      </c>
      <c r="R121" s="269" t="s">
        <v>2421</v>
      </c>
      <c r="T121" s="147" t="s">
        <v>2780</v>
      </c>
      <c r="U121" s="147" t="str">
        <f t="shared" si="1"/>
        <v>ch1_rxa_i_p</v>
      </c>
      <c r="V121" s="159" t="s">
        <v>135</v>
      </c>
      <c r="W121" s="147" t="s">
        <v>2324</v>
      </c>
      <c r="X121" s="147" t="s">
        <v>2186</v>
      </c>
      <c r="Y121" s="149" t="s">
        <v>2794</v>
      </c>
      <c r="DW121" s="410"/>
      <c r="DX121" s="292"/>
      <c r="DY121" s="410"/>
      <c r="DZ121" s="292"/>
    </row>
    <row r="122" spans="1:130" s="147" customFormat="1" ht="12.75">
      <c r="A122" s="162" t="s">
        <v>2793</v>
      </c>
      <c r="B122" s="147" t="s">
        <v>58</v>
      </c>
      <c r="C122" s="147" t="s">
        <v>58</v>
      </c>
      <c r="D122" s="147" t="s">
        <v>58</v>
      </c>
      <c r="E122" s="269" t="s">
        <v>50</v>
      </c>
      <c r="F122" s="147" t="s">
        <v>635</v>
      </c>
      <c r="G122" s="347" t="s">
        <v>3102</v>
      </c>
      <c r="H122" s="347" t="s">
        <v>3102</v>
      </c>
      <c r="I122" s="347" t="s">
        <v>3102</v>
      </c>
      <c r="J122" s="347" t="s">
        <v>3102</v>
      </c>
      <c r="K122" s="347" t="s">
        <v>3102</v>
      </c>
      <c r="L122" s="159" t="s">
        <v>135</v>
      </c>
      <c r="M122" s="147" t="s">
        <v>2186</v>
      </c>
      <c r="N122" s="162" t="s">
        <v>2773</v>
      </c>
      <c r="O122" s="147" t="s">
        <v>578</v>
      </c>
      <c r="P122" s="269"/>
      <c r="Q122" s="269" t="s">
        <v>12</v>
      </c>
      <c r="R122" s="269" t="s">
        <v>2421</v>
      </c>
      <c r="T122" s="147" t="s">
        <v>2780</v>
      </c>
      <c r="U122" s="147" t="str">
        <f t="shared" si="1"/>
        <v>ch1_rxa_i_n</v>
      </c>
      <c r="V122" s="159" t="s">
        <v>135</v>
      </c>
      <c r="W122" s="147" t="s">
        <v>2324</v>
      </c>
      <c r="X122" s="147" t="s">
        <v>2186</v>
      </c>
      <c r="Y122" s="149" t="s">
        <v>2795</v>
      </c>
      <c r="DW122" s="410"/>
      <c r="DX122" s="292"/>
      <c r="DY122" s="410"/>
      <c r="DZ122" s="292"/>
    </row>
    <row r="123" spans="1:130" s="147" customFormat="1" ht="12.75">
      <c r="A123" s="162" t="s">
        <v>2793</v>
      </c>
      <c r="B123" s="147" t="s">
        <v>58</v>
      </c>
      <c r="C123" s="147" t="s">
        <v>58</v>
      </c>
      <c r="D123" s="147" t="s">
        <v>58</v>
      </c>
      <c r="E123" s="269" t="s">
        <v>50</v>
      </c>
      <c r="F123" s="147" t="s">
        <v>636</v>
      </c>
      <c r="G123" s="347" t="s">
        <v>3102</v>
      </c>
      <c r="H123" s="347" t="s">
        <v>3102</v>
      </c>
      <c r="I123" s="347" t="s">
        <v>3102</v>
      </c>
      <c r="J123" s="347" t="s">
        <v>3102</v>
      </c>
      <c r="K123" s="347" t="s">
        <v>3102</v>
      </c>
      <c r="L123" s="159" t="s">
        <v>135</v>
      </c>
      <c r="M123" s="147" t="s">
        <v>2186</v>
      </c>
      <c r="N123" s="162" t="s">
        <v>2773</v>
      </c>
      <c r="O123" s="147" t="s">
        <v>578</v>
      </c>
      <c r="P123" s="269"/>
      <c r="Q123" s="269" t="s">
        <v>12</v>
      </c>
      <c r="R123" s="269" t="s">
        <v>2421</v>
      </c>
      <c r="T123" s="147" t="s">
        <v>2780</v>
      </c>
      <c r="U123" s="147" t="str">
        <f t="shared" si="1"/>
        <v>ch1_rxa_q_p</v>
      </c>
      <c r="V123" s="159" t="s">
        <v>135</v>
      </c>
      <c r="W123" s="147" t="s">
        <v>2324</v>
      </c>
      <c r="X123" s="147" t="s">
        <v>2186</v>
      </c>
      <c r="Y123" s="149" t="s">
        <v>2796</v>
      </c>
      <c r="DW123" s="410"/>
      <c r="DX123" s="292"/>
      <c r="DY123" s="410"/>
      <c r="DZ123" s="292"/>
    </row>
    <row r="124" spans="1:130" s="147" customFormat="1" ht="12.75">
      <c r="A124" s="162" t="s">
        <v>2793</v>
      </c>
      <c r="B124" s="147" t="s">
        <v>58</v>
      </c>
      <c r="C124" s="147" t="s">
        <v>58</v>
      </c>
      <c r="D124" s="147" t="s">
        <v>58</v>
      </c>
      <c r="E124" s="269" t="s">
        <v>50</v>
      </c>
      <c r="F124" s="147" t="s">
        <v>637</v>
      </c>
      <c r="G124" s="347" t="s">
        <v>3102</v>
      </c>
      <c r="H124" s="347" t="s">
        <v>3102</v>
      </c>
      <c r="I124" s="347" t="s">
        <v>3102</v>
      </c>
      <c r="J124" s="347" t="s">
        <v>3102</v>
      </c>
      <c r="K124" s="347" t="s">
        <v>3102</v>
      </c>
      <c r="L124" s="159" t="s">
        <v>135</v>
      </c>
      <c r="M124" s="147" t="s">
        <v>2186</v>
      </c>
      <c r="N124" s="162" t="s">
        <v>2773</v>
      </c>
      <c r="O124" s="147" t="s">
        <v>578</v>
      </c>
      <c r="P124" s="269"/>
      <c r="Q124" s="269" t="s">
        <v>12</v>
      </c>
      <c r="R124" s="269" t="s">
        <v>2421</v>
      </c>
      <c r="T124" s="147" t="s">
        <v>2780</v>
      </c>
      <c r="U124" s="147" t="str">
        <f t="shared" si="1"/>
        <v>ch1_rxa_q_n</v>
      </c>
      <c r="V124" s="159" t="s">
        <v>135</v>
      </c>
      <c r="W124" s="147" t="s">
        <v>2324</v>
      </c>
      <c r="X124" s="147" t="s">
        <v>2186</v>
      </c>
      <c r="Y124" s="149" t="s">
        <v>2797</v>
      </c>
      <c r="DW124" s="410"/>
      <c r="DX124" s="292"/>
      <c r="DY124" s="410"/>
      <c r="DZ124" s="292"/>
    </row>
    <row r="125" spans="1:130" s="147" customFormat="1" ht="12.75">
      <c r="A125" s="162" t="s">
        <v>2793</v>
      </c>
      <c r="B125" s="147" t="s">
        <v>58</v>
      </c>
      <c r="C125" s="147" t="s">
        <v>58</v>
      </c>
      <c r="D125" s="147" t="s">
        <v>58</v>
      </c>
      <c r="E125" s="269" t="s">
        <v>50</v>
      </c>
      <c r="F125" s="147" t="s">
        <v>638</v>
      </c>
      <c r="G125" s="347" t="s">
        <v>3102</v>
      </c>
      <c r="H125" s="347" t="s">
        <v>3102</v>
      </c>
      <c r="I125" s="347" t="s">
        <v>3102</v>
      </c>
      <c r="J125" s="347" t="s">
        <v>3102</v>
      </c>
      <c r="K125" s="347" t="s">
        <v>3102</v>
      </c>
      <c r="L125" s="159" t="s">
        <v>135</v>
      </c>
      <c r="M125" s="147" t="s">
        <v>2186</v>
      </c>
      <c r="N125" s="162" t="s">
        <v>2773</v>
      </c>
      <c r="O125" s="147" t="s">
        <v>578</v>
      </c>
      <c r="P125" s="269"/>
      <c r="Q125" s="269" t="s">
        <v>12</v>
      </c>
      <c r="R125" s="269" t="s">
        <v>2421</v>
      </c>
      <c r="T125" s="147" t="s">
        <v>2780</v>
      </c>
      <c r="U125" s="147" t="str">
        <f t="shared" si="1"/>
        <v>ch1_rxb_i_p</v>
      </c>
      <c r="V125" s="159" t="s">
        <v>135</v>
      </c>
      <c r="W125" s="147" t="s">
        <v>2324</v>
      </c>
      <c r="X125" s="147" t="s">
        <v>2186</v>
      </c>
      <c r="Y125" s="149" t="s">
        <v>2798</v>
      </c>
      <c r="DW125" s="410"/>
      <c r="DX125" s="292"/>
      <c r="DY125" s="410"/>
      <c r="DZ125" s="292"/>
    </row>
    <row r="126" spans="1:130" s="147" customFormat="1" ht="12.75">
      <c r="A126" s="162" t="s">
        <v>2793</v>
      </c>
      <c r="B126" s="147" t="s">
        <v>58</v>
      </c>
      <c r="C126" s="147" t="s">
        <v>58</v>
      </c>
      <c r="D126" s="147" t="s">
        <v>58</v>
      </c>
      <c r="E126" s="269" t="s">
        <v>50</v>
      </c>
      <c r="F126" s="147" t="s">
        <v>639</v>
      </c>
      <c r="G126" s="347" t="s">
        <v>3102</v>
      </c>
      <c r="H126" s="347" t="s">
        <v>3102</v>
      </c>
      <c r="I126" s="347" t="s">
        <v>3102</v>
      </c>
      <c r="J126" s="347" t="s">
        <v>3102</v>
      </c>
      <c r="K126" s="347" t="s">
        <v>3102</v>
      </c>
      <c r="L126" s="159" t="s">
        <v>135</v>
      </c>
      <c r="M126" s="147" t="s">
        <v>2186</v>
      </c>
      <c r="N126" s="162" t="s">
        <v>2773</v>
      </c>
      <c r="O126" s="147" t="s">
        <v>578</v>
      </c>
      <c r="P126" s="269"/>
      <c r="Q126" s="269" t="s">
        <v>12</v>
      </c>
      <c r="R126" s="269" t="s">
        <v>2421</v>
      </c>
      <c r="T126" s="147" t="s">
        <v>2780</v>
      </c>
      <c r="U126" s="147" t="str">
        <f t="shared" si="1"/>
        <v>ch1_rxb_i_n</v>
      </c>
      <c r="V126" s="159" t="s">
        <v>135</v>
      </c>
      <c r="W126" s="147" t="s">
        <v>2324</v>
      </c>
      <c r="X126" s="147" t="s">
        <v>2186</v>
      </c>
      <c r="Y126" s="149" t="s">
        <v>2799</v>
      </c>
      <c r="DW126" s="410"/>
      <c r="DX126" s="292"/>
      <c r="DY126" s="410"/>
      <c r="DZ126" s="292"/>
    </row>
    <row r="127" spans="1:130" s="147" customFormat="1" ht="12.75">
      <c r="A127" s="162" t="s">
        <v>2793</v>
      </c>
      <c r="B127" s="147" t="s">
        <v>58</v>
      </c>
      <c r="C127" s="147" t="s">
        <v>58</v>
      </c>
      <c r="D127" s="147" t="s">
        <v>58</v>
      </c>
      <c r="E127" s="269" t="s">
        <v>50</v>
      </c>
      <c r="F127" s="147" t="s">
        <v>640</v>
      </c>
      <c r="G127" s="347" t="s">
        <v>3102</v>
      </c>
      <c r="H127" s="347" t="s">
        <v>3102</v>
      </c>
      <c r="I127" s="347" t="s">
        <v>3102</v>
      </c>
      <c r="J127" s="347" t="s">
        <v>3102</v>
      </c>
      <c r="K127" s="347" t="s">
        <v>3102</v>
      </c>
      <c r="L127" s="159" t="s">
        <v>135</v>
      </c>
      <c r="M127" s="147" t="s">
        <v>2186</v>
      </c>
      <c r="N127" s="162" t="s">
        <v>2773</v>
      </c>
      <c r="O127" s="147" t="s">
        <v>578</v>
      </c>
      <c r="P127" s="269"/>
      <c r="Q127" s="269" t="s">
        <v>12</v>
      </c>
      <c r="R127" s="269" t="s">
        <v>2421</v>
      </c>
      <c r="T127" s="147" t="s">
        <v>2780</v>
      </c>
      <c r="U127" s="147" t="str">
        <f t="shared" si="1"/>
        <v>ch1_rxb_q_p</v>
      </c>
      <c r="V127" s="159" t="s">
        <v>135</v>
      </c>
      <c r="W127" s="147" t="s">
        <v>2324</v>
      </c>
      <c r="X127" s="147" t="s">
        <v>2186</v>
      </c>
      <c r="Y127" s="149" t="s">
        <v>2800</v>
      </c>
      <c r="DW127" s="410"/>
      <c r="DX127" s="292"/>
      <c r="DY127" s="410"/>
      <c r="DZ127" s="292"/>
    </row>
    <row r="128" spans="1:130" s="147" customFormat="1" ht="12.75">
      <c r="A128" s="162" t="s">
        <v>2793</v>
      </c>
      <c r="B128" s="147" t="s">
        <v>58</v>
      </c>
      <c r="C128" s="147" t="s">
        <v>58</v>
      </c>
      <c r="D128" s="147" t="s">
        <v>58</v>
      </c>
      <c r="E128" s="269" t="s">
        <v>50</v>
      </c>
      <c r="F128" s="147" t="s">
        <v>641</v>
      </c>
      <c r="G128" s="347" t="s">
        <v>3102</v>
      </c>
      <c r="H128" s="347" t="s">
        <v>3102</v>
      </c>
      <c r="I128" s="347" t="s">
        <v>3102</v>
      </c>
      <c r="J128" s="347" t="s">
        <v>3102</v>
      </c>
      <c r="K128" s="347" t="s">
        <v>3102</v>
      </c>
      <c r="L128" s="159" t="s">
        <v>135</v>
      </c>
      <c r="M128" s="147" t="s">
        <v>2186</v>
      </c>
      <c r="N128" s="162" t="s">
        <v>2773</v>
      </c>
      <c r="O128" s="147" t="s">
        <v>578</v>
      </c>
      <c r="P128" s="269"/>
      <c r="Q128" s="269" t="s">
        <v>12</v>
      </c>
      <c r="R128" s="269" t="s">
        <v>2421</v>
      </c>
      <c r="T128" s="147" t="s">
        <v>2780</v>
      </c>
      <c r="U128" s="147" t="str">
        <f t="shared" si="1"/>
        <v>ch1_rxb_q_n</v>
      </c>
      <c r="V128" s="159" t="s">
        <v>135</v>
      </c>
      <c r="W128" s="147" t="s">
        <v>2324</v>
      </c>
      <c r="X128" s="147" t="s">
        <v>2186</v>
      </c>
      <c r="Y128" s="149" t="s">
        <v>2801</v>
      </c>
      <c r="DW128" s="410"/>
      <c r="DX128" s="292"/>
      <c r="DY128" s="410"/>
      <c r="DZ128" s="292"/>
    </row>
    <row r="129" spans="1:130" s="147" customFormat="1" ht="12.75">
      <c r="A129" s="162" t="s">
        <v>2771</v>
      </c>
      <c r="B129" s="147" t="s">
        <v>58</v>
      </c>
      <c r="C129" s="147" t="s">
        <v>58</v>
      </c>
      <c r="D129" s="147" t="s">
        <v>58</v>
      </c>
      <c r="E129" s="269" t="s">
        <v>50</v>
      </c>
      <c r="F129" s="147" t="s">
        <v>1054</v>
      </c>
      <c r="G129" s="347" t="s">
        <v>3102</v>
      </c>
      <c r="H129" s="347" t="s">
        <v>3102</v>
      </c>
      <c r="I129" s="347" t="s">
        <v>3102</v>
      </c>
      <c r="J129" s="347" t="s">
        <v>3102</v>
      </c>
      <c r="K129" s="347" t="s">
        <v>3102</v>
      </c>
      <c r="L129" s="159" t="s">
        <v>180</v>
      </c>
      <c r="M129" s="147" t="s">
        <v>2186</v>
      </c>
      <c r="N129" s="162" t="s">
        <v>2773</v>
      </c>
      <c r="O129" s="147" t="s">
        <v>578</v>
      </c>
      <c r="P129" s="269"/>
      <c r="Q129" s="269" t="s">
        <v>12</v>
      </c>
      <c r="R129" s="269" t="s">
        <v>2421</v>
      </c>
      <c r="T129" s="147" t="s">
        <v>2780</v>
      </c>
      <c r="U129" s="147" t="str">
        <f t="shared" si="1"/>
        <v>ch1_tx_i_p</v>
      </c>
      <c r="V129" s="159" t="s">
        <v>180</v>
      </c>
      <c r="W129" s="147" t="s">
        <v>2324</v>
      </c>
      <c r="X129" s="147" t="s">
        <v>2186</v>
      </c>
      <c r="Y129" s="149" t="s">
        <v>2802</v>
      </c>
      <c r="DW129" s="410"/>
      <c r="DX129" s="292"/>
      <c r="DY129" s="410"/>
      <c r="DZ129" s="292"/>
    </row>
    <row r="130" spans="1:130" s="147" customFormat="1" ht="12.75">
      <c r="A130" s="162" t="s">
        <v>2771</v>
      </c>
      <c r="B130" s="147" t="s">
        <v>58</v>
      </c>
      <c r="C130" s="147" t="s">
        <v>58</v>
      </c>
      <c r="D130" s="147" t="s">
        <v>58</v>
      </c>
      <c r="E130" s="269" t="s">
        <v>50</v>
      </c>
      <c r="F130" s="147" t="s">
        <v>1055</v>
      </c>
      <c r="G130" s="347" t="s">
        <v>3102</v>
      </c>
      <c r="H130" s="347" t="s">
        <v>3102</v>
      </c>
      <c r="I130" s="347" t="s">
        <v>3102</v>
      </c>
      <c r="J130" s="347" t="s">
        <v>3102</v>
      </c>
      <c r="K130" s="347" t="s">
        <v>3102</v>
      </c>
      <c r="L130" s="159" t="s">
        <v>180</v>
      </c>
      <c r="M130" s="147" t="s">
        <v>2186</v>
      </c>
      <c r="N130" s="162" t="s">
        <v>2773</v>
      </c>
      <c r="O130" s="147" t="s">
        <v>578</v>
      </c>
      <c r="P130" s="269"/>
      <c r="Q130" s="269" t="s">
        <v>12</v>
      </c>
      <c r="R130" s="269" t="s">
        <v>2421</v>
      </c>
      <c r="T130" s="147" t="s">
        <v>2780</v>
      </c>
      <c r="U130" s="147" t="str">
        <f t="shared" si="1"/>
        <v>ch1_tx_i_n</v>
      </c>
      <c r="V130" s="159" t="s">
        <v>180</v>
      </c>
      <c r="W130" s="147" t="s">
        <v>2324</v>
      </c>
      <c r="X130" s="147" t="s">
        <v>2186</v>
      </c>
      <c r="Y130" s="149" t="s">
        <v>2803</v>
      </c>
      <c r="DW130" s="410"/>
      <c r="DX130" s="292"/>
      <c r="DY130" s="410"/>
      <c r="DZ130" s="292"/>
    </row>
    <row r="131" spans="1:130" s="147" customFormat="1" ht="12.75">
      <c r="A131" s="162" t="s">
        <v>2771</v>
      </c>
      <c r="B131" s="147" t="s">
        <v>58</v>
      </c>
      <c r="C131" s="147" t="s">
        <v>58</v>
      </c>
      <c r="D131" s="147" t="s">
        <v>58</v>
      </c>
      <c r="E131" s="269" t="s">
        <v>50</v>
      </c>
      <c r="F131" s="147" t="s">
        <v>1056</v>
      </c>
      <c r="G131" s="347" t="s">
        <v>3102</v>
      </c>
      <c r="H131" s="347" t="s">
        <v>3102</v>
      </c>
      <c r="I131" s="347" t="s">
        <v>3102</v>
      </c>
      <c r="J131" s="347" t="s">
        <v>3102</v>
      </c>
      <c r="K131" s="347" t="s">
        <v>3102</v>
      </c>
      <c r="L131" s="159" t="s">
        <v>180</v>
      </c>
      <c r="M131" s="147" t="s">
        <v>2186</v>
      </c>
      <c r="N131" s="162" t="s">
        <v>2773</v>
      </c>
      <c r="O131" s="147" t="s">
        <v>578</v>
      </c>
      <c r="P131" s="269"/>
      <c r="Q131" s="269" t="s">
        <v>12</v>
      </c>
      <c r="R131" s="269" t="s">
        <v>2421</v>
      </c>
      <c r="T131" s="147" t="s">
        <v>2780</v>
      </c>
      <c r="U131" s="147" t="str">
        <f t="shared" si="1"/>
        <v>ch1_tx_q_p</v>
      </c>
      <c r="V131" s="159" t="s">
        <v>180</v>
      </c>
      <c r="W131" s="147" t="s">
        <v>2324</v>
      </c>
      <c r="X131" s="147" t="s">
        <v>2186</v>
      </c>
      <c r="Y131" s="149" t="s">
        <v>2804</v>
      </c>
      <c r="DW131" s="410"/>
      <c r="DX131" s="292"/>
      <c r="DY131" s="410"/>
      <c r="DZ131" s="292"/>
    </row>
    <row r="132" spans="1:130" s="147" customFormat="1" ht="12.75">
      <c r="A132" s="162" t="s">
        <v>2771</v>
      </c>
      <c r="B132" s="147" t="s">
        <v>58</v>
      </c>
      <c r="C132" s="147" t="s">
        <v>58</v>
      </c>
      <c r="D132" s="147" t="s">
        <v>58</v>
      </c>
      <c r="E132" s="269" t="s">
        <v>50</v>
      </c>
      <c r="F132" s="147" t="s">
        <v>1057</v>
      </c>
      <c r="G132" s="347" t="s">
        <v>3102</v>
      </c>
      <c r="H132" s="347" t="s">
        <v>3102</v>
      </c>
      <c r="I132" s="347" t="s">
        <v>3102</v>
      </c>
      <c r="J132" s="347" t="s">
        <v>3102</v>
      </c>
      <c r="K132" s="347" t="s">
        <v>3102</v>
      </c>
      <c r="L132" s="159" t="s">
        <v>180</v>
      </c>
      <c r="M132" s="147" t="s">
        <v>2186</v>
      </c>
      <c r="N132" s="162" t="s">
        <v>2773</v>
      </c>
      <c r="O132" s="147" t="s">
        <v>578</v>
      </c>
      <c r="P132" s="269"/>
      <c r="Q132" s="269" t="s">
        <v>12</v>
      </c>
      <c r="R132" s="269" t="s">
        <v>2421</v>
      </c>
      <c r="T132" s="147" t="s">
        <v>2780</v>
      </c>
      <c r="U132" s="147" t="str">
        <f t="shared" si="1"/>
        <v>ch1_tx_q_n</v>
      </c>
      <c r="V132" s="159" t="s">
        <v>180</v>
      </c>
      <c r="W132" s="147" t="s">
        <v>2324</v>
      </c>
      <c r="X132" s="147" t="s">
        <v>2186</v>
      </c>
      <c r="Y132" s="149" t="s">
        <v>2804</v>
      </c>
      <c r="DW132" s="410"/>
      <c r="DX132" s="292"/>
      <c r="DY132" s="410"/>
      <c r="DZ132" s="292"/>
    </row>
    <row r="133" spans="1:130" s="147" customFormat="1" ht="12.75">
      <c r="A133" s="162" t="s">
        <v>2771</v>
      </c>
      <c r="B133" s="147" t="s">
        <v>2298</v>
      </c>
      <c r="C133" s="147" t="s">
        <v>2298</v>
      </c>
      <c r="D133" s="147" t="s">
        <v>2298</v>
      </c>
      <c r="E133" s="269" t="s">
        <v>50</v>
      </c>
      <c r="F133" s="147" t="s">
        <v>2805</v>
      </c>
      <c r="G133" s="347" t="s">
        <v>3102</v>
      </c>
      <c r="H133" s="347" t="s">
        <v>3102</v>
      </c>
      <c r="I133" s="347" t="s">
        <v>3102</v>
      </c>
      <c r="J133" s="347" t="s">
        <v>3102</v>
      </c>
      <c r="K133" s="347" t="s">
        <v>3102</v>
      </c>
      <c r="L133" s="159" t="s">
        <v>179</v>
      </c>
      <c r="M133" s="147" t="s">
        <v>2806</v>
      </c>
      <c r="N133" s="162" t="s">
        <v>2807</v>
      </c>
      <c r="O133" s="147" t="s">
        <v>2808</v>
      </c>
      <c r="P133" s="269"/>
      <c r="Q133" s="269" t="s">
        <v>12</v>
      </c>
      <c r="R133" s="269" t="s">
        <v>2809</v>
      </c>
      <c r="T133" s="147" t="s">
        <v>2810</v>
      </c>
      <c r="U133" s="147" t="str">
        <f t="shared" si="1"/>
        <v>abb_vref</v>
      </c>
      <c r="V133" s="159" t="s">
        <v>179</v>
      </c>
      <c r="W133" s="147" t="s">
        <v>2811</v>
      </c>
      <c r="X133" s="147" t="s">
        <v>2806</v>
      </c>
      <c r="Y133" s="149" t="s">
        <v>2812</v>
      </c>
      <c r="DW133" s="410"/>
      <c r="DX133" s="292"/>
      <c r="DY133" s="410"/>
      <c r="DZ133" s="292"/>
    </row>
    <row r="134" spans="1:130" s="147" customFormat="1" ht="12.75">
      <c r="A134" s="162" t="s">
        <v>2813</v>
      </c>
      <c r="B134" s="147" t="s">
        <v>58</v>
      </c>
      <c r="C134" s="147" t="s">
        <v>58</v>
      </c>
      <c r="D134" s="147" t="s">
        <v>58</v>
      </c>
      <c r="E134" s="269" t="s">
        <v>50</v>
      </c>
      <c r="F134" s="147" t="s">
        <v>2814</v>
      </c>
      <c r="G134" s="347" t="s">
        <v>3102</v>
      </c>
      <c r="H134" s="347" t="s">
        <v>3102</v>
      </c>
      <c r="I134" s="347" t="s">
        <v>3102</v>
      </c>
      <c r="J134" s="347" t="s">
        <v>3102</v>
      </c>
      <c r="K134" s="347" t="s">
        <v>3102</v>
      </c>
      <c r="L134" s="159" t="s">
        <v>179</v>
      </c>
      <c r="M134" s="147" t="s">
        <v>2806</v>
      </c>
      <c r="N134" s="162" t="s">
        <v>2807</v>
      </c>
      <c r="O134" s="147" t="s">
        <v>578</v>
      </c>
      <c r="P134" s="269"/>
      <c r="Q134" s="269" t="s">
        <v>12</v>
      </c>
      <c r="R134" s="269" t="s">
        <v>2809</v>
      </c>
      <c r="T134" s="147" t="s">
        <v>2810</v>
      </c>
      <c r="U134" s="147" t="str">
        <f t="shared" si="1"/>
        <v>abb_ibias</v>
      </c>
      <c r="V134" s="159" t="s">
        <v>179</v>
      </c>
      <c r="W134" s="147" t="s">
        <v>2811</v>
      </c>
      <c r="X134" s="147" t="s">
        <v>2806</v>
      </c>
      <c r="Y134" s="149" t="s">
        <v>2815</v>
      </c>
      <c r="DW134" s="410"/>
      <c r="DX134" s="292"/>
      <c r="DY134" s="410"/>
      <c r="DZ134" s="292"/>
    </row>
    <row r="135" spans="1:130" s="147" customFormat="1" ht="12.75">
      <c r="A135" s="162" t="s">
        <v>2813</v>
      </c>
      <c r="B135" s="147" t="s">
        <v>2816</v>
      </c>
      <c r="C135" s="147" t="s">
        <v>2816</v>
      </c>
      <c r="D135" s="147" t="s">
        <v>2816</v>
      </c>
      <c r="E135" s="269" t="s">
        <v>50</v>
      </c>
      <c r="F135" s="147" t="s">
        <v>2817</v>
      </c>
      <c r="G135" s="347" t="s">
        <v>3102</v>
      </c>
      <c r="H135" s="347" t="s">
        <v>3102</v>
      </c>
      <c r="I135" s="347" t="s">
        <v>3102</v>
      </c>
      <c r="J135" s="347" t="s">
        <v>3102</v>
      </c>
      <c r="K135" s="347" t="s">
        <v>3102</v>
      </c>
      <c r="L135" s="159" t="s">
        <v>179</v>
      </c>
      <c r="M135" s="147" t="s">
        <v>2187</v>
      </c>
      <c r="N135" s="162" t="s">
        <v>2807</v>
      </c>
      <c r="O135" s="147" t="s">
        <v>2808</v>
      </c>
      <c r="P135" s="269"/>
      <c r="Q135" s="269" t="s">
        <v>12</v>
      </c>
      <c r="R135" s="269" t="s">
        <v>2809</v>
      </c>
      <c r="T135" s="147" t="s">
        <v>2810</v>
      </c>
      <c r="U135" s="147" t="str">
        <f t="shared" si="1"/>
        <v>abb_test0</v>
      </c>
      <c r="V135" s="159" t="s">
        <v>180</v>
      </c>
      <c r="W135" s="147" t="s">
        <v>2811</v>
      </c>
      <c r="X135" s="147" t="s">
        <v>2187</v>
      </c>
      <c r="Y135" s="149" t="s">
        <v>2818</v>
      </c>
      <c r="DW135" s="410"/>
      <c r="DX135" s="292"/>
      <c r="DY135" s="410"/>
      <c r="DZ135" s="292"/>
    </row>
    <row r="136" spans="1:130" s="147" customFormat="1" ht="12.75">
      <c r="A136" s="162" t="s">
        <v>2813</v>
      </c>
      <c r="B136" s="147" t="s">
        <v>58</v>
      </c>
      <c r="C136" s="147" t="s">
        <v>58</v>
      </c>
      <c r="D136" s="147" t="s">
        <v>58</v>
      </c>
      <c r="E136" s="269" t="s">
        <v>50</v>
      </c>
      <c r="F136" s="147" t="s">
        <v>1231</v>
      </c>
      <c r="G136" s="347" t="s">
        <v>3102</v>
      </c>
      <c r="H136" s="347" t="s">
        <v>3102</v>
      </c>
      <c r="I136" s="347" t="s">
        <v>3102</v>
      </c>
      <c r="J136" s="347" t="s">
        <v>3102</v>
      </c>
      <c r="K136" s="347" t="s">
        <v>3102</v>
      </c>
      <c r="L136" s="159" t="s">
        <v>180</v>
      </c>
      <c r="M136" s="147" t="s">
        <v>2187</v>
      </c>
      <c r="N136" s="162" t="s">
        <v>2807</v>
      </c>
      <c r="O136" s="147" t="s">
        <v>2808</v>
      </c>
      <c r="P136" s="269"/>
      <c r="Q136" s="269" t="s">
        <v>12</v>
      </c>
      <c r="R136" s="269" t="s">
        <v>2809</v>
      </c>
      <c r="T136" s="147" t="s">
        <v>2819</v>
      </c>
      <c r="U136" s="147" t="str">
        <f t="shared" si="1"/>
        <v>abb_test1</v>
      </c>
      <c r="V136" s="159" t="s">
        <v>180</v>
      </c>
      <c r="W136" s="147" t="s">
        <v>2811</v>
      </c>
      <c r="X136" s="147" t="s">
        <v>2187</v>
      </c>
      <c r="Y136" s="149" t="s">
        <v>2820</v>
      </c>
      <c r="DW136" s="410"/>
      <c r="DX136" s="292"/>
      <c r="DY136" s="410"/>
      <c r="DZ136" s="292"/>
    </row>
    <row r="137" spans="1:130" s="225" customFormat="1" ht="12.75">
      <c r="A137" s="162" t="s">
        <v>2813</v>
      </c>
      <c r="B137" s="147" t="s">
        <v>58</v>
      </c>
      <c r="C137" s="147" t="s">
        <v>58</v>
      </c>
      <c r="D137" s="147" t="s">
        <v>58</v>
      </c>
      <c r="E137" s="269" t="s">
        <v>50</v>
      </c>
      <c r="F137" s="147" t="s">
        <v>2821</v>
      </c>
      <c r="G137" s="347" t="s">
        <v>3102</v>
      </c>
      <c r="H137" s="347" t="s">
        <v>3102</v>
      </c>
      <c r="I137" s="347" t="s">
        <v>3102</v>
      </c>
      <c r="J137" s="347" t="s">
        <v>3102</v>
      </c>
      <c r="K137" s="347" t="s">
        <v>3102</v>
      </c>
      <c r="L137" s="159" t="s">
        <v>180</v>
      </c>
      <c r="M137" s="147" t="s">
        <v>2186</v>
      </c>
      <c r="N137" s="162" t="s">
        <v>2807</v>
      </c>
      <c r="O137" s="147" t="s">
        <v>2808</v>
      </c>
      <c r="P137" s="269"/>
      <c r="Q137" s="269" t="s">
        <v>12</v>
      </c>
      <c r="R137" s="269" t="s">
        <v>2809</v>
      </c>
      <c r="S137" s="147"/>
      <c r="T137" s="147" t="s">
        <v>2810</v>
      </c>
      <c r="U137" s="147" t="str">
        <f t="shared" si="1"/>
        <v>et_tx_p</v>
      </c>
      <c r="V137" s="159" t="s">
        <v>180</v>
      </c>
      <c r="W137" s="147" t="s">
        <v>2811</v>
      </c>
      <c r="X137" s="147" t="s">
        <v>2186</v>
      </c>
      <c r="Y137" s="149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47"/>
      <c r="BA137" s="147"/>
      <c r="BB137" s="147"/>
      <c r="BC137" s="147"/>
      <c r="BD137" s="147"/>
      <c r="BE137" s="147"/>
      <c r="BF137" s="147"/>
      <c r="BG137" s="147"/>
      <c r="BH137" s="147"/>
      <c r="BI137" s="147"/>
      <c r="BJ137" s="147"/>
      <c r="BK137" s="147"/>
      <c r="BL137" s="147"/>
      <c r="BM137" s="147"/>
      <c r="BN137" s="147"/>
      <c r="BO137" s="147"/>
      <c r="BP137" s="147"/>
      <c r="BQ137" s="147"/>
      <c r="BR137" s="147"/>
      <c r="BS137" s="147"/>
      <c r="BT137" s="147"/>
      <c r="BU137" s="147"/>
      <c r="BV137" s="147"/>
      <c r="BW137" s="147"/>
      <c r="BX137" s="147"/>
      <c r="BY137" s="147"/>
      <c r="BZ137" s="147"/>
      <c r="CA137" s="147"/>
      <c r="CB137" s="147"/>
      <c r="CC137" s="147"/>
      <c r="CD137" s="147"/>
      <c r="CE137" s="147"/>
      <c r="CF137" s="147"/>
      <c r="CG137" s="147"/>
      <c r="CH137" s="147"/>
      <c r="CI137" s="147"/>
      <c r="CJ137" s="147"/>
      <c r="CK137" s="147"/>
      <c r="CL137" s="147"/>
      <c r="CM137" s="147"/>
      <c r="CN137" s="147"/>
      <c r="CO137" s="147"/>
      <c r="CP137" s="147"/>
      <c r="CQ137" s="147"/>
      <c r="CR137" s="147"/>
      <c r="CS137" s="147"/>
      <c r="CT137" s="147"/>
      <c r="CU137" s="147"/>
      <c r="CV137" s="147"/>
      <c r="CW137" s="147"/>
      <c r="CX137" s="147"/>
      <c r="CY137" s="147"/>
      <c r="CZ137" s="147"/>
      <c r="DA137" s="147"/>
      <c r="DB137" s="147"/>
      <c r="DC137" s="147"/>
      <c r="DD137" s="147"/>
      <c r="DE137" s="147"/>
      <c r="DF137" s="147"/>
      <c r="DG137" s="147"/>
      <c r="DH137" s="147"/>
      <c r="DI137" s="147"/>
      <c r="DJ137" s="147"/>
      <c r="DK137" s="147"/>
      <c r="DL137" s="147"/>
      <c r="DM137" s="147"/>
      <c r="DN137" s="147"/>
      <c r="DO137" s="147"/>
      <c r="DP137" s="147"/>
      <c r="DQ137" s="147"/>
      <c r="DR137" s="147"/>
      <c r="DS137" s="147"/>
      <c r="DT137" s="147"/>
      <c r="DU137" s="147"/>
      <c r="DV137" s="147"/>
      <c r="DW137" s="410"/>
      <c r="DY137" s="410"/>
    </row>
    <row r="138" spans="1:130" s="225" customFormat="1" ht="12.75">
      <c r="A138" s="162" t="s">
        <v>2813</v>
      </c>
      <c r="B138" s="147" t="s">
        <v>58</v>
      </c>
      <c r="C138" s="147" t="s">
        <v>58</v>
      </c>
      <c r="D138" s="147" t="s">
        <v>58</v>
      </c>
      <c r="E138" s="269" t="s">
        <v>50</v>
      </c>
      <c r="F138" s="147" t="s">
        <v>2822</v>
      </c>
      <c r="G138" s="347" t="s">
        <v>3102</v>
      </c>
      <c r="H138" s="347" t="s">
        <v>3102</v>
      </c>
      <c r="I138" s="347" t="s">
        <v>3102</v>
      </c>
      <c r="J138" s="347" t="s">
        <v>3102</v>
      </c>
      <c r="K138" s="347" t="s">
        <v>3102</v>
      </c>
      <c r="L138" s="159" t="s">
        <v>180</v>
      </c>
      <c r="M138" s="147" t="s">
        <v>2186</v>
      </c>
      <c r="N138" s="162" t="s">
        <v>2807</v>
      </c>
      <c r="O138" s="147" t="s">
        <v>2808</v>
      </c>
      <c r="P138" s="269"/>
      <c r="Q138" s="269" t="s">
        <v>12</v>
      </c>
      <c r="R138" s="269" t="s">
        <v>2809</v>
      </c>
      <c r="S138" s="147"/>
      <c r="T138" s="147" t="s">
        <v>2810</v>
      </c>
      <c r="U138" s="147" t="str">
        <f t="shared" si="1"/>
        <v>et_tx_n</v>
      </c>
      <c r="V138" s="159" t="s">
        <v>180</v>
      </c>
      <c r="W138" s="147" t="s">
        <v>2811</v>
      </c>
      <c r="X138" s="147" t="s">
        <v>2186</v>
      </c>
      <c r="Y138" s="149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47"/>
      <c r="BA138" s="147"/>
      <c r="BB138" s="147"/>
      <c r="BC138" s="147"/>
      <c r="BD138" s="147"/>
      <c r="BE138" s="147"/>
      <c r="BF138" s="147"/>
      <c r="BG138" s="147"/>
      <c r="BH138" s="147"/>
      <c r="BI138" s="147"/>
      <c r="BJ138" s="147"/>
      <c r="BK138" s="147"/>
      <c r="BL138" s="147"/>
      <c r="BM138" s="147"/>
      <c r="BN138" s="147"/>
      <c r="BO138" s="147"/>
      <c r="BP138" s="147"/>
      <c r="BQ138" s="147"/>
      <c r="BR138" s="147"/>
      <c r="BS138" s="147"/>
      <c r="BT138" s="147"/>
      <c r="BU138" s="147"/>
      <c r="BV138" s="147"/>
      <c r="BW138" s="147"/>
      <c r="BX138" s="147"/>
      <c r="BY138" s="147"/>
      <c r="BZ138" s="147"/>
      <c r="CA138" s="147"/>
      <c r="CB138" s="147"/>
      <c r="CC138" s="147"/>
      <c r="CD138" s="147"/>
      <c r="CE138" s="147"/>
      <c r="CF138" s="147"/>
      <c r="CG138" s="147"/>
      <c r="CH138" s="147"/>
      <c r="CI138" s="147"/>
      <c r="CJ138" s="147"/>
      <c r="CK138" s="147"/>
      <c r="CL138" s="147"/>
      <c r="CM138" s="147"/>
      <c r="CN138" s="147"/>
      <c r="CO138" s="147"/>
      <c r="CP138" s="147"/>
      <c r="CQ138" s="147"/>
      <c r="CR138" s="147"/>
      <c r="CS138" s="147"/>
      <c r="CT138" s="147"/>
      <c r="CU138" s="147"/>
      <c r="CV138" s="147"/>
      <c r="CW138" s="147"/>
      <c r="CX138" s="147"/>
      <c r="CY138" s="147"/>
      <c r="CZ138" s="147"/>
      <c r="DA138" s="147"/>
      <c r="DB138" s="147"/>
      <c r="DC138" s="147"/>
      <c r="DD138" s="147"/>
      <c r="DE138" s="147"/>
      <c r="DF138" s="147"/>
      <c r="DG138" s="147"/>
      <c r="DH138" s="147"/>
      <c r="DI138" s="147"/>
      <c r="DJ138" s="147"/>
      <c r="DK138" s="147"/>
      <c r="DL138" s="147"/>
      <c r="DM138" s="147"/>
      <c r="DN138" s="147"/>
      <c r="DO138" s="147"/>
      <c r="DP138" s="147"/>
      <c r="DQ138" s="147"/>
      <c r="DR138" s="147"/>
      <c r="DS138" s="147"/>
      <c r="DT138" s="147"/>
      <c r="DU138" s="147"/>
      <c r="DV138" s="147"/>
      <c r="DW138" s="410"/>
      <c r="DY138" s="410"/>
    </row>
    <row r="139" spans="1:130" s="63" customFormat="1">
      <c r="A139" s="218" t="s">
        <v>2823</v>
      </c>
      <c r="B139" s="150"/>
      <c r="C139" s="150"/>
      <c r="D139" s="150"/>
      <c r="E139" s="150"/>
      <c r="F139" s="150"/>
      <c r="G139" s="150"/>
      <c r="H139" s="150"/>
      <c r="I139" s="150"/>
      <c r="J139" s="150"/>
      <c r="K139" s="150"/>
      <c r="L139" s="61"/>
      <c r="M139" s="61"/>
      <c r="N139" s="61"/>
      <c r="O139" s="184"/>
      <c r="P139" s="61"/>
      <c r="Q139" s="61"/>
      <c r="R139" s="61"/>
      <c r="S139" s="61"/>
      <c r="T139" s="62"/>
      <c r="U139" s="62"/>
      <c r="V139" s="175"/>
      <c r="W139" s="175"/>
      <c r="X139" s="175"/>
      <c r="Y139" s="176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75"/>
      <c r="BI139" s="175"/>
      <c r="BJ139" s="175"/>
      <c r="BK139" s="175"/>
      <c r="BL139" s="175"/>
      <c r="BM139" s="175"/>
      <c r="BN139" s="175"/>
      <c r="BO139" s="175"/>
      <c r="BP139" s="175"/>
      <c r="BQ139" s="175"/>
      <c r="BR139" s="175"/>
      <c r="BS139" s="175"/>
      <c r="BT139" s="175"/>
      <c r="BU139" s="175"/>
      <c r="BV139" s="175"/>
      <c r="BW139" s="175"/>
      <c r="BX139" s="175"/>
      <c r="BY139" s="175"/>
      <c r="BZ139" s="175"/>
      <c r="CA139" s="175"/>
      <c r="CB139" s="175"/>
      <c r="CC139" s="175"/>
      <c r="CD139" s="175"/>
      <c r="CE139" s="175"/>
      <c r="CF139" s="175"/>
      <c r="CG139" s="175"/>
      <c r="CH139" s="175"/>
      <c r="CI139" s="175"/>
      <c r="CJ139" s="175"/>
      <c r="CK139" s="175"/>
      <c r="CL139" s="175"/>
      <c r="CM139" s="175"/>
      <c r="CN139" s="175"/>
      <c r="CO139" s="175"/>
      <c r="CP139" s="175"/>
      <c r="CQ139" s="175"/>
      <c r="CR139" s="175"/>
      <c r="CS139" s="175"/>
      <c r="CT139" s="175"/>
      <c r="CU139" s="175"/>
      <c r="CV139" s="175"/>
      <c r="CW139" s="175"/>
      <c r="CX139" s="175"/>
      <c r="CY139" s="175"/>
      <c r="CZ139" s="175"/>
      <c r="DA139" s="175"/>
      <c r="DB139" s="175"/>
      <c r="DC139" s="175"/>
      <c r="DD139" s="175"/>
      <c r="DE139" s="175"/>
      <c r="DF139" s="175"/>
      <c r="DG139" s="175"/>
      <c r="DH139" s="175"/>
      <c r="DI139" s="175"/>
      <c r="DJ139" s="175"/>
      <c r="DK139" s="175"/>
      <c r="DL139" s="175"/>
      <c r="DM139" s="175"/>
      <c r="DN139" s="175"/>
      <c r="DO139" s="175"/>
      <c r="DP139" s="175"/>
      <c r="DQ139" s="175"/>
      <c r="DR139" s="175"/>
      <c r="DS139" s="175"/>
      <c r="DT139" s="175"/>
      <c r="DU139" s="175"/>
      <c r="DV139" s="175"/>
      <c r="DW139" s="323"/>
      <c r="DX139" s="323"/>
      <c r="DY139" s="323"/>
      <c r="DZ139" s="323"/>
    </row>
    <row r="140" spans="1:130" s="208" customFormat="1" ht="15">
      <c r="A140" s="208" t="s">
        <v>2824</v>
      </c>
      <c r="B140" s="208" t="s">
        <v>2816</v>
      </c>
      <c r="C140" s="208" t="s">
        <v>57</v>
      </c>
      <c r="D140" s="208" t="s">
        <v>2816</v>
      </c>
      <c r="E140" s="208" t="s">
        <v>50</v>
      </c>
      <c r="F140" s="208" t="s">
        <v>2825</v>
      </c>
      <c r="G140" s="348" t="s">
        <v>3102</v>
      </c>
      <c r="H140" s="348" t="s">
        <v>3102</v>
      </c>
      <c r="I140" s="348" t="s">
        <v>3102</v>
      </c>
      <c r="J140" s="348" t="s">
        <v>3102</v>
      </c>
      <c r="K140" s="348" t="s">
        <v>3102</v>
      </c>
      <c r="L140" s="208" t="s">
        <v>760</v>
      </c>
      <c r="M140" s="208" t="s">
        <v>2188</v>
      </c>
      <c r="N140" s="208" t="s">
        <v>2826</v>
      </c>
      <c r="O140" s="208" t="s">
        <v>2827</v>
      </c>
      <c r="Q140" s="208" t="s">
        <v>51</v>
      </c>
      <c r="R140" s="208" t="s">
        <v>112</v>
      </c>
      <c r="T140" s="295" t="s">
        <v>2828</v>
      </c>
      <c r="U140" s="208" t="str">
        <f>LOWER(F140)</f>
        <v>ddr_ckp</v>
      </c>
      <c r="V140" s="208" t="s">
        <v>53</v>
      </c>
      <c r="W140" s="208" t="s">
        <v>2811</v>
      </c>
      <c r="X140" s="208" t="s">
        <v>2192</v>
      </c>
      <c r="Y140" s="209" t="s">
        <v>2829</v>
      </c>
      <c r="DW140" s="401" t="s">
        <v>2830</v>
      </c>
      <c r="DX140" s="239" t="s">
        <v>2831</v>
      </c>
      <c r="DY140" s="401" t="s">
        <v>2832</v>
      </c>
    </row>
    <row r="141" spans="1:130" s="208" customFormat="1" ht="15">
      <c r="A141" s="208" t="s">
        <v>2824</v>
      </c>
      <c r="B141" s="208" t="s">
        <v>2816</v>
      </c>
      <c r="C141" s="208" t="s">
        <v>57</v>
      </c>
      <c r="D141" s="208" t="s">
        <v>2816</v>
      </c>
      <c r="E141" s="208" t="s">
        <v>50</v>
      </c>
      <c r="F141" s="208" t="s">
        <v>2833</v>
      </c>
      <c r="G141" s="348" t="s">
        <v>3102</v>
      </c>
      <c r="H141" s="348" t="s">
        <v>3102</v>
      </c>
      <c r="I141" s="348" t="s">
        <v>3102</v>
      </c>
      <c r="J141" s="348" t="s">
        <v>3102</v>
      </c>
      <c r="K141" s="348" t="s">
        <v>3102</v>
      </c>
      <c r="L141" s="208" t="s">
        <v>760</v>
      </c>
      <c r="M141" s="208" t="s">
        <v>2188</v>
      </c>
      <c r="N141" s="208" t="s">
        <v>2826</v>
      </c>
      <c r="O141" s="208" t="s">
        <v>2827</v>
      </c>
      <c r="Q141" s="208" t="s">
        <v>51</v>
      </c>
      <c r="R141" s="208" t="s">
        <v>112</v>
      </c>
      <c r="T141" s="295" t="s">
        <v>2828</v>
      </c>
      <c r="U141" s="208" t="str">
        <f>LOWER(F141)</f>
        <v>ddr_ckn</v>
      </c>
      <c r="V141" s="208" t="s">
        <v>53</v>
      </c>
      <c r="W141" s="208" t="s">
        <v>2811</v>
      </c>
      <c r="X141" s="208" t="s">
        <v>2192</v>
      </c>
      <c r="Y141" s="209" t="s">
        <v>2834</v>
      </c>
      <c r="DW141" s="402"/>
      <c r="DX141" s="239" t="s">
        <v>2831</v>
      </c>
      <c r="DY141" s="402"/>
    </row>
    <row r="142" spans="1:130" s="208" customFormat="1" ht="15">
      <c r="A142" s="208" t="s">
        <v>2824</v>
      </c>
      <c r="B142" s="208" t="s">
        <v>2816</v>
      </c>
      <c r="C142" s="208" t="s">
        <v>57</v>
      </c>
      <c r="D142" s="208" t="s">
        <v>2816</v>
      </c>
      <c r="E142" s="208" t="s">
        <v>50</v>
      </c>
      <c r="F142" s="208" t="s">
        <v>2835</v>
      </c>
      <c r="G142" s="348" t="s">
        <v>3102</v>
      </c>
      <c r="H142" s="348" t="s">
        <v>3102</v>
      </c>
      <c r="I142" s="348" t="s">
        <v>3102</v>
      </c>
      <c r="J142" s="348" t="s">
        <v>3102</v>
      </c>
      <c r="K142" s="348" t="s">
        <v>3102</v>
      </c>
      <c r="L142" s="208" t="s">
        <v>760</v>
      </c>
      <c r="M142" s="208" t="s">
        <v>2189</v>
      </c>
      <c r="N142" s="208" t="s">
        <v>2826</v>
      </c>
      <c r="O142" s="208" t="s">
        <v>2827</v>
      </c>
      <c r="Q142" s="208" t="s">
        <v>51</v>
      </c>
      <c r="R142" s="208" t="s">
        <v>112</v>
      </c>
      <c r="T142" s="295" t="s">
        <v>2836</v>
      </c>
      <c r="U142" s="208" t="str">
        <f>LOWER(F142)</f>
        <v>ddr_cke</v>
      </c>
      <c r="V142" s="208" t="s">
        <v>53</v>
      </c>
      <c r="W142" s="208" t="s">
        <v>2811</v>
      </c>
      <c r="X142" s="208" t="s">
        <v>2193</v>
      </c>
      <c r="Y142" s="209" t="s">
        <v>2837</v>
      </c>
      <c r="DW142" s="402"/>
      <c r="DX142" s="239" t="s">
        <v>2831</v>
      </c>
      <c r="DY142" s="402"/>
    </row>
    <row r="143" spans="1:130" s="208" customFormat="1" ht="15">
      <c r="A143" s="208" t="s">
        <v>2824</v>
      </c>
      <c r="B143" s="208" t="s">
        <v>2816</v>
      </c>
      <c r="C143" s="208" t="s">
        <v>57</v>
      </c>
      <c r="D143" s="208" t="s">
        <v>2816</v>
      </c>
      <c r="E143" s="208" t="s">
        <v>50</v>
      </c>
      <c r="F143" s="208" t="s">
        <v>2838</v>
      </c>
      <c r="G143" s="348" t="s">
        <v>3102</v>
      </c>
      <c r="H143" s="348" t="s">
        <v>3102</v>
      </c>
      <c r="I143" s="348" t="s">
        <v>3102</v>
      </c>
      <c r="J143" s="348" t="s">
        <v>3102</v>
      </c>
      <c r="K143" s="348" t="s">
        <v>3102</v>
      </c>
      <c r="L143" s="208" t="s">
        <v>760</v>
      </c>
      <c r="M143" s="208" t="s">
        <v>2188</v>
      </c>
      <c r="N143" s="208" t="s">
        <v>2826</v>
      </c>
      <c r="O143" s="208" t="s">
        <v>2827</v>
      </c>
      <c r="Q143" s="208" t="s">
        <v>51</v>
      </c>
      <c r="R143" s="208" t="s">
        <v>112</v>
      </c>
      <c r="T143" s="295" t="s">
        <v>2828</v>
      </c>
      <c r="U143" s="208" t="str">
        <f>LOWER(F143)</f>
        <v>ddr_cs_n</v>
      </c>
      <c r="V143" s="208" t="s">
        <v>53</v>
      </c>
      <c r="W143" s="208" t="s">
        <v>2811</v>
      </c>
      <c r="X143" s="208" t="s">
        <v>2193</v>
      </c>
      <c r="Y143" s="209" t="s">
        <v>2839</v>
      </c>
      <c r="DW143" s="402"/>
      <c r="DX143" s="239" t="s">
        <v>2831</v>
      </c>
      <c r="DY143" s="402"/>
    </row>
    <row r="144" spans="1:130" s="208" customFormat="1" ht="15">
      <c r="A144" s="208" t="s">
        <v>2824</v>
      </c>
      <c r="B144" s="208" t="s">
        <v>2816</v>
      </c>
      <c r="C144" s="208" t="s">
        <v>57</v>
      </c>
      <c r="D144" s="208" t="s">
        <v>2816</v>
      </c>
      <c r="E144" s="208" t="s">
        <v>50</v>
      </c>
      <c r="F144" s="208" t="s">
        <v>2840</v>
      </c>
      <c r="G144" s="348" t="s">
        <v>3102</v>
      </c>
      <c r="H144" s="348" t="s">
        <v>3102</v>
      </c>
      <c r="I144" s="348" t="s">
        <v>3102</v>
      </c>
      <c r="J144" s="348" t="s">
        <v>3102</v>
      </c>
      <c r="K144" s="348" t="s">
        <v>3102</v>
      </c>
      <c r="L144" s="208" t="s">
        <v>760</v>
      </c>
      <c r="M144" s="208" t="s">
        <v>2188</v>
      </c>
      <c r="N144" s="208" t="s">
        <v>2826</v>
      </c>
      <c r="O144" s="208" t="s">
        <v>2827</v>
      </c>
      <c r="Q144" s="208" t="s">
        <v>51</v>
      </c>
      <c r="R144" s="208" t="s">
        <v>112</v>
      </c>
      <c r="T144" s="295" t="s">
        <v>2828</v>
      </c>
      <c r="U144" s="208" t="s">
        <v>2841</v>
      </c>
      <c r="V144" s="208" t="s">
        <v>53</v>
      </c>
      <c r="W144" s="208" t="s">
        <v>2811</v>
      </c>
      <c r="X144" s="208" t="s">
        <v>2193</v>
      </c>
      <c r="Y144" s="209" t="s">
        <v>2842</v>
      </c>
      <c r="DW144" s="402"/>
      <c r="DX144" s="239" t="s">
        <v>2831</v>
      </c>
      <c r="DY144" s="402"/>
    </row>
    <row r="145" spans="1:130" s="208" customFormat="1" ht="15">
      <c r="A145" s="208" t="s">
        <v>2824</v>
      </c>
      <c r="B145" s="208" t="s">
        <v>2816</v>
      </c>
      <c r="C145" s="208" t="s">
        <v>57</v>
      </c>
      <c r="D145" s="208" t="s">
        <v>2816</v>
      </c>
      <c r="E145" s="208" t="s">
        <v>50</v>
      </c>
      <c r="F145" s="208" t="s">
        <v>1151</v>
      </c>
      <c r="G145" s="348" t="s">
        <v>3102</v>
      </c>
      <c r="H145" s="348" t="s">
        <v>3102</v>
      </c>
      <c r="I145" s="348" t="s">
        <v>3102</v>
      </c>
      <c r="J145" s="348" t="s">
        <v>3102</v>
      </c>
      <c r="K145" s="348" t="s">
        <v>3102</v>
      </c>
      <c r="L145" s="208" t="s">
        <v>760</v>
      </c>
      <c r="M145" s="208" t="s">
        <v>2188</v>
      </c>
      <c r="N145" s="208" t="s">
        <v>2826</v>
      </c>
      <c r="O145" s="208" t="s">
        <v>2827</v>
      </c>
      <c r="Q145" s="208" t="s">
        <v>51</v>
      </c>
      <c r="R145" s="208" t="s">
        <v>112</v>
      </c>
      <c r="T145" s="295" t="s">
        <v>2828</v>
      </c>
      <c r="U145" s="208" t="s">
        <v>1160</v>
      </c>
      <c r="V145" s="208" t="s">
        <v>53</v>
      </c>
      <c r="W145" s="208" t="s">
        <v>2811</v>
      </c>
      <c r="X145" s="208" t="s">
        <v>2193</v>
      </c>
      <c r="Y145" s="209" t="s">
        <v>136</v>
      </c>
      <c r="DW145" s="402"/>
      <c r="DX145" s="239" t="s">
        <v>2831</v>
      </c>
      <c r="DY145" s="402"/>
    </row>
    <row r="146" spans="1:130" s="208" customFormat="1" ht="15">
      <c r="A146" s="208" t="s">
        <v>2824</v>
      </c>
      <c r="B146" s="208" t="s">
        <v>2816</v>
      </c>
      <c r="C146" s="208" t="s">
        <v>57</v>
      </c>
      <c r="D146" s="208" t="s">
        <v>2816</v>
      </c>
      <c r="E146" s="208" t="s">
        <v>50</v>
      </c>
      <c r="F146" s="208" t="s">
        <v>1152</v>
      </c>
      <c r="G146" s="348" t="s">
        <v>3102</v>
      </c>
      <c r="H146" s="348" t="s">
        <v>3102</v>
      </c>
      <c r="I146" s="348" t="s">
        <v>3102</v>
      </c>
      <c r="J146" s="348" t="s">
        <v>3102</v>
      </c>
      <c r="K146" s="348" t="s">
        <v>3102</v>
      </c>
      <c r="L146" s="208" t="s">
        <v>760</v>
      </c>
      <c r="M146" s="208" t="s">
        <v>2188</v>
      </c>
      <c r="N146" s="208" t="s">
        <v>2826</v>
      </c>
      <c r="O146" s="208" t="s">
        <v>2827</v>
      </c>
      <c r="Q146" s="208" t="s">
        <v>51</v>
      </c>
      <c r="R146" s="208" t="s">
        <v>112</v>
      </c>
      <c r="T146" s="295" t="s">
        <v>2828</v>
      </c>
      <c r="U146" s="208" t="s">
        <v>1161</v>
      </c>
      <c r="V146" s="208" t="s">
        <v>53</v>
      </c>
      <c r="W146" s="208" t="s">
        <v>2811</v>
      </c>
      <c r="X146" s="208" t="s">
        <v>2193</v>
      </c>
      <c r="Y146" s="209" t="s">
        <v>137</v>
      </c>
      <c r="DW146" s="402"/>
      <c r="DX146" s="239" t="s">
        <v>2831</v>
      </c>
      <c r="DY146" s="402"/>
    </row>
    <row r="147" spans="1:130" s="208" customFormat="1" ht="15">
      <c r="A147" s="208" t="s">
        <v>2824</v>
      </c>
      <c r="B147" s="208" t="s">
        <v>2816</v>
      </c>
      <c r="C147" s="208" t="s">
        <v>57</v>
      </c>
      <c r="D147" s="208" t="s">
        <v>2816</v>
      </c>
      <c r="E147" s="208" t="s">
        <v>50</v>
      </c>
      <c r="F147" s="208" t="s">
        <v>1153</v>
      </c>
      <c r="G147" s="348" t="s">
        <v>3102</v>
      </c>
      <c r="H147" s="348" t="s">
        <v>3102</v>
      </c>
      <c r="I147" s="348" t="s">
        <v>3102</v>
      </c>
      <c r="J147" s="348" t="s">
        <v>3102</v>
      </c>
      <c r="K147" s="348" t="s">
        <v>3102</v>
      </c>
      <c r="L147" s="208" t="s">
        <v>760</v>
      </c>
      <c r="M147" s="208" t="s">
        <v>2188</v>
      </c>
      <c r="N147" s="208" t="s">
        <v>2826</v>
      </c>
      <c r="O147" s="208" t="s">
        <v>2827</v>
      </c>
      <c r="Q147" s="208" t="s">
        <v>51</v>
      </c>
      <c r="R147" s="208" t="s">
        <v>112</v>
      </c>
      <c r="T147" s="295" t="s">
        <v>2828</v>
      </c>
      <c r="U147" s="208" t="s">
        <v>1162</v>
      </c>
      <c r="V147" s="208" t="s">
        <v>53</v>
      </c>
      <c r="W147" s="208" t="s">
        <v>2811</v>
      </c>
      <c r="X147" s="208" t="s">
        <v>2193</v>
      </c>
      <c r="Y147" s="209" t="s">
        <v>138</v>
      </c>
      <c r="DW147" s="402"/>
      <c r="DX147" s="239" t="s">
        <v>2831</v>
      </c>
      <c r="DY147" s="402"/>
    </row>
    <row r="148" spans="1:130" s="208" customFormat="1" ht="15">
      <c r="A148" s="208" t="s">
        <v>2824</v>
      </c>
      <c r="B148" s="208" t="s">
        <v>2816</v>
      </c>
      <c r="C148" s="208" t="s">
        <v>57</v>
      </c>
      <c r="D148" s="208" t="s">
        <v>2816</v>
      </c>
      <c r="E148" s="208" t="s">
        <v>50</v>
      </c>
      <c r="F148" s="208" t="s">
        <v>1154</v>
      </c>
      <c r="G148" s="348" t="s">
        <v>3102</v>
      </c>
      <c r="H148" s="348" t="s">
        <v>3102</v>
      </c>
      <c r="I148" s="348" t="s">
        <v>3102</v>
      </c>
      <c r="J148" s="348" t="s">
        <v>3102</v>
      </c>
      <c r="K148" s="348" t="s">
        <v>3102</v>
      </c>
      <c r="L148" s="208" t="s">
        <v>760</v>
      </c>
      <c r="M148" s="208" t="s">
        <v>2188</v>
      </c>
      <c r="N148" s="208" t="s">
        <v>2826</v>
      </c>
      <c r="O148" s="208" t="s">
        <v>2827</v>
      </c>
      <c r="Q148" s="208" t="s">
        <v>51</v>
      </c>
      <c r="R148" s="208" t="s">
        <v>112</v>
      </c>
      <c r="T148" s="295" t="s">
        <v>2828</v>
      </c>
      <c r="U148" s="208" t="s">
        <v>1163</v>
      </c>
      <c r="V148" s="208" t="s">
        <v>53</v>
      </c>
      <c r="W148" s="208" t="s">
        <v>2811</v>
      </c>
      <c r="X148" s="208" t="s">
        <v>2193</v>
      </c>
      <c r="Y148" s="209" t="s">
        <v>139</v>
      </c>
      <c r="DW148" s="402"/>
      <c r="DX148" s="239" t="s">
        <v>2831</v>
      </c>
      <c r="DY148" s="402"/>
    </row>
    <row r="149" spans="1:130" s="208" customFormat="1" ht="15">
      <c r="A149" s="208" t="s">
        <v>2824</v>
      </c>
      <c r="B149" s="208" t="s">
        <v>2816</v>
      </c>
      <c r="C149" s="208" t="s">
        <v>57</v>
      </c>
      <c r="D149" s="208" t="s">
        <v>2816</v>
      </c>
      <c r="E149" s="208" t="s">
        <v>50</v>
      </c>
      <c r="F149" s="208" t="s">
        <v>1155</v>
      </c>
      <c r="G149" s="348" t="s">
        <v>3102</v>
      </c>
      <c r="H149" s="348" t="s">
        <v>3102</v>
      </c>
      <c r="I149" s="348" t="s">
        <v>3102</v>
      </c>
      <c r="J149" s="348" t="s">
        <v>3102</v>
      </c>
      <c r="K149" s="348" t="s">
        <v>3102</v>
      </c>
      <c r="L149" s="208" t="s">
        <v>760</v>
      </c>
      <c r="M149" s="208" t="s">
        <v>2188</v>
      </c>
      <c r="N149" s="208" t="s">
        <v>2826</v>
      </c>
      <c r="O149" s="208" t="s">
        <v>2827</v>
      </c>
      <c r="Q149" s="208" t="s">
        <v>51</v>
      </c>
      <c r="R149" s="208" t="s">
        <v>112</v>
      </c>
      <c r="T149" s="295" t="s">
        <v>2828</v>
      </c>
      <c r="U149" s="208" t="s">
        <v>1164</v>
      </c>
      <c r="V149" s="208" t="s">
        <v>53</v>
      </c>
      <c r="W149" s="208" t="s">
        <v>2811</v>
      </c>
      <c r="X149" s="208" t="s">
        <v>2193</v>
      </c>
      <c r="Y149" s="209" t="s">
        <v>140</v>
      </c>
      <c r="DW149" s="402"/>
      <c r="DX149" s="239" t="s">
        <v>2831</v>
      </c>
      <c r="DY149" s="402"/>
    </row>
    <row r="150" spans="1:130" s="208" customFormat="1" ht="15">
      <c r="A150" s="208" t="s">
        <v>2824</v>
      </c>
      <c r="B150" s="208" t="s">
        <v>2816</v>
      </c>
      <c r="C150" s="208" t="s">
        <v>57</v>
      </c>
      <c r="D150" s="208" t="s">
        <v>2816</v>
      </c>
      <c r="E150" s="208" t="s">
        <v>50</v>
      </c>
      <c r="F150" s="208" t="s">
        <v>1156</v>
      </c>
      <c r="G150" s="348" t="s">
        <v>3102</v>
      </c>
      <c r="H150" s="348" t="s">
        <v>3102</v>
      </c>
      <c r="I150" s="348" t="s">
        <v>3102</v>
      </c>
      <c r="J150" s="348" t="s">
        <v>3102</v>
      </c>
      <c r="K150" s="348" t="s">
        <v>3102</v>
      </c>
      <c r="L150" s="208" t="s">
        <v>760</v>
      </c>
      <c r="M150" s="208" t="s">
        <v>2188</v>
      </c>
      <c r="N150" s="208" t="s">
        <v>2826</v>
      </c>
      <c r="O150" s="208" t="s">
        <v>2827</v>
      </c>
      <c r="Q150" s="208" t="s">
        <v>51</v>
      </c>
      <c r="R150" s="208" t="s">
        <v>112</v>
      </c>
      <c r="T150" s="295" t="s">
        <v>2828</v>
      </c>
      <c r="U150" s="208" t="s">
        <v>1165</v>
      </c>
      <c r="V150" s="208" t="s">
        <v>53</v>
      </c>
      <c r="W150" s="208" t="s">
        <v>2811</v>
      </c>
      <c r="X150" s="208" t="s">
        <v>2193</v>
      </c>
      <c r="Y150" s="209" t="s">
        <v>141</v>
      </c>
      <c r="DW150" s="402"/>
      <c r="DX150" s="239" t="s">
        <v>2831</v>
      </c>
      <c r="DY150" s="402"/>
    </row>
    <row r="151" spans="1:130" s="208" customFormat="1" ht="15">
      <c r="A151" s="208" t="s">
        <v>2824</v>
      </c>
      <c r="B151" s="208" t="s">
        <v>2816</v>
      </c>
      <c r="C151" s="208" t="s">
        <v>57</v>
      </c>
      <c r="D151" s="208" t="s">
        <v>2816</v>
      </c>
      <c r="E151" s="208" t="s">
        <v>50</v>
      </c>
      <c r="F151" s="208" t="s">
        <v>1157</v>
      </c>
      <c r="G151" s="348" t="s">
        <v>3102</v>
      </c>
      <c r="H151" s="348" t="s">
        <v>3102</v>
      </c>
      <c r="I151" s="348" t="s">
        <v>3102</v>
      </c>
      <c r="J151" s="348" t="s">
        <v>3102</v>
      </c>
      <c r="K151" s="348" t="s">
        <v>3102</v>
      </c>
      <c r="L151" s="208" t="s">
        <v>760</v>
      </c>
      <c r="M151" s="208" t="s">
        <v>2188</v>
      </c>
      <c r="N151" s="208" t="s">
        <v>2826</v>
      </c>
      <c r="O151" s="208" t="s">
        <v>2827</v>
      </c>
      <c r="Q151" s="208" t="s">
        <v>51</v>
      </c>
      <c r="R151" s="208" t="s">
        <v>112</v>
      </c>
      <c r="T151" s="295" t="s">
        <v>2828</v>
      </c>
      <c r="U151" s="208" t="s">
        <v>1166</v>
      </c>
      <c r="V151" s="208" t="s">
        <v>53</v>
      </c>
      <c r="W151" s="208" t="s">
        <v>2811</v>
      </c>
      <c r="X151" s="208" t="s">
        <v>2193</v>
      </c>
      <c r="Y151" s="209" t="s">
        <v>142</v>
      </c>
      <c r="DW151" s="402"/>
      <c r="DX151" s="239" t="s">
        <v>2831</v>
      </c>
      <c r="DY151" s="402"/>
    </row>
    <row r="152" spans="1:130" s="208" customFormat="1" ht="15">
      <c r="A152" s="208" t="s">
        <v>2824</v>
      </c>
      <c r="B152" s="208" t="s">
        <v>2816</v>
      </c>
      <c r="C152" s="208" t="s">
        <v>57</v>
      </c>
      <c r="D152" s="208" t="s">
        <v>2816</v>
      </c>
      <c r="E152" s="208" t="s">
        <v>50</v>
      </c>
      <c r="F152" s="208" t="s">
        <v>1158</v>
      </c>
      <c r="G152" s="348" t="s">
        <v>3102</v>
      </c>
      <c r="H152" s="348" t="s">
        <v>3102</v>
      </c>
      <c r="I152" s="348" t="s">
        <v>3102</v>
      </c>
      <c r="J152" s="348" t="s">
        <v>3102</v>
      </c>
      <c r="K152" s="348" t="s">
        <v>3102</v>
      </c>
      <c r="L152" s="208" t="s">
        <v>760</v>
      </c>
      <c r="M152" s="208" t="s">
        <v>2188</v>
      </c>
      <c r="N152" s="208" t="s">
        <v>2826</v>
      </c>
      <c r="O152" s="208" t="s">
        <v>2827</v>
      </c>
      <c r="Q152" s="208" t="s">
        <v>51</v>
      </c>
      <c r="R152" s="208" t="s">
        <v>112</v>
      </c>
      <c r="T152" s="295" t="s">
        <v>2828</v>
      </c>
      <c r="U152" s="208" t="s">
        <v>1167</v>
      </c>
      <c r="V152" s="208" t="s">
        <v>53</v>
      </c>
      <c r="W152" s="208" t="s">
        <v>2811</v>
      </c>
      <c r="X152" s="208" t="s">
        <v>2193</v>
      </c>
      <c r="Y152" s="209" t="s">
        <v>143</v>
      </c>
      <c r="DW152" s="402"/>
      <c r="DX152" s="239" t="s">
        <v>2831</v>
      </c>
      <c r="DY152" s="402"/>
    </row>
    <row r="153" spans="1:130" s="208" customFormat="1" ht="15">
      <c r="A153" s="208" t="s">
        <v>2824</v>
      </c>
      <c r="B153" s="208" t="s">
        <v>2816</v>
      </c>
      <c r="C153" s="208" t="s">
        <v>57</v>
      </c>
      <c r="D153" s="208" t="s">
        <v>2816</v>
      </c>
      <c r="E153" s="208" t="s">
        <v>50</v>
      </c>
      <c r="F153" s="208" t="s">
        <v>1159</v>
      </c>
      <c r="G153" s="348" t="s">
        <v>3102</v>
      </c>
      <c r="H153" s="348" t="s">
        <v>3102</v>
      </c>
      <c r="I153" s="348" t="s">
        <v>3102</v>
      </c>
      <c r="J153" s="348" t="s">
        <v>3102</v>
      </c>
      <c r="K153" s="348" t="s">
        <v>3102</v>
      </c>
      <c r="L153" s="208" t="s">
        <v>760</v>
      </c>
      <c r="M153" s="208" t="s">
        <v>2188</v>
      </c>
      <c r="N153" s="208" t="s">
        <v>2826</v>
      </c>
      <c r="O153" s="208" t="s">
        <v>2827</v>
      </c>
      <c r="Q153" s="208" t="s">
        <v>51</v>
      </c>
      <c r="R153" s="208" t="s">
        <v>112</v>
      </c>
      <c r="T153" s="295" t="s">
        <v>2828</v>
      </c>
      <c r="U153" s="208" t="s">
        <v>1168</v>
      </c>
      <c r="V153" s="208" t="s">
        <v>53</v>
      </c>
      <c r="W153" s="208" t="s">
        <v>2811</v>
      </c>
      <c r="X153" s="208" t="s">
        <v>2193</v>
      </c>
      <c r="Y153" s="209" t="s">
        <v>144</v>
      </c>
      <c r="DW153" s="402"/>
      <c r="DX153" s="239" t="s">
        <v>2831</v>
      </c>
      <c r="DY153" s="402"/>
    </row>
    <row r="154" spans="1:130" s="208" customFormat="1" ht="15">
      <c r="A154" s="208" t="s">
        <v>1127</v>
      </c>
      <c r="B154" s="208" t="s">
        <v>2816</v>
      </c>
      <c r="C154" s="208" t="s">
        <v>58</v>
      </c>
      <c r="D154" s="208" t="s">
        <v>2816</v>
      </c>
      <c r="E154" s="208" t="s">
        <v>50</v>
      </c>
      <c r="F154" s="208" t="s">
        <v>2843</v>
      </c>
      <c r="G154" s="348" t="s">
        <v>3102</v>
      </c>
      <c r="H154" s="348" t="s">
        <v>3102</v>
      </c>
      <c r="I154" s="348" t="s">
        <v>3102</v>
      </c>
      <c r="J154" s="348" t="s">
        <v>3102</v>
      </c>
      <c r="K154" s="348" t="s">
        <v>3102</v>
      </c>
      <c r="L154" s="208" t="s">
        <v>135</v>
      </c>
      <c r="M154" s="208" t="s">
        <v>2176</v>
      </c>
      <c r="N154" s="208" t="s">
        <v>2826</v>
      </c>
      <c r="O154" s="208" t="s">
        <v>2827</v>
      </c>
      <c r="Q154" s="208" t="s">
        <v>267</v>
      </c>
      <c r="R154" s="208" t="s">
        <v>112</v>
      </c>
      <c r="T154" s="324" t="s">
        <v>2844</v>
      </c>
      <c r="U154" s="208" t="str">
        <f t="shared" ref="U154:U159" si="2">LOWER(F154)</f>
        <v>ddr_vref0</v>
      </c>
      <c r="V154" s="208" t="s">
        <v>135</v>
      </c>
      <c r="W154" s="208" t="s">
        <v>2811</v>
      </c>
      <c r="X154" s="208" t="s">
        <v>2176</v>
      </c>
      <c r="Y154" s="208" t="s">
        <v>2845</v>
      </c>
      <c r="DW154" s="402"/>
      <c r="DX154" s="239" t="s">
        <v>2831</v>
      </c>
      <c r="DY154" s="402"/>
    </row>
    <row r="155" spans="1:130" s="208" customFormat="1" ht="15">
      <c r="A155" s="208" t="s">
        <v>1127</v>
      </c>
      <c r="B155" s="208" t="s">
        <v>57</v>
      </c>
      <c r="C155" s="208" t="s">
        <v>57</v>
      </c>
      <c r="D155" s="208" t="s">
        <v>2816</v>
      </c>
      <c r="E155" s="208" t="s">
        <v>50</v>
      </c>
      <c r="F155" s="208" t="s">
        <v>2846</v>
      </c>
      <c r="G155" s="348" t="s">
        <v>3102</v>
      </c>
      <c r="H155" s="348" t="s">
        <v>3102</v>
      </c>
      <c r="I155" s="348" t="s">
        <v>3102</v>
      </c>
      <c r="J155" s="348" t="s">
        <v>3102</v>
      </c>
      <c r="K155" s="348" t="s">
        <v>3102</v>
      </c>
      <c r="L155" s="208" t="s">
        <v>135</v>
      </c>
      <c r="M155" s="208" t="s">
        <v>2176</v>
      </c>
      <c r="N155" s="208" t="s">
        <v>2826</v>
      </c>
      <c r="O155" s="208" t="s">
        <v>2827</v>
      </c>
      <c r="Q155" s="208" t="s">
        <v>267</v>
      </c>
      <c r="R155" s="208" t="s">
        <v>112</v>
      </c>
      <c r="T155" s="295" t="s">
        <v>2847</v>
      </c>
      <c r="U155" s="208" t="str">
        <f t="shared" si="2"/>
        <v>ddr_vref_zq</v>
      </c>
      <c r="V155" s="208" t="s">
        <v>135</v>
      </c>
      <c r="W155" s="208" t="s">
        <v>2811</v>
      </c>
      <c r="X155" s="208" t="s">
        <v>2176</v>
      </c>
      <c r="Y155" s="208" t="s">
        <v>2848</v>
      </c>
      <c r="DW155" s="402"/>
      <c r="DX155" s="239" t="s">
        <v>2831</v>
      </c>
      <c r="DY155" s="402"/>
    </row>
    <row r="156" spans="1:130" s="208" customFormat="1" ht="15">
      <c r="A156" s="208" t="s">
        <v>2824</v>
      </c>
      <c r="B156" s="208" t="s">
        <v>2816</v>
      </c>
      <c r="C156" s="208" t="s">
        <v>58</v>
      </c>
      <c r="D156" s="208" t="s">
        <v>2816</v>
      </c>
      <c r="E156" s="208" t="s">
        <v>50</v>
      </c>
      <c r="F156" s="208" t="s">
        <v>2849</v>
      </c>
      <c r="G156" s="348" t="s">
        <v>3102</v>
      </c>
      <c r="H156" s="348" t="s">
        <v>3102</v>
      </c>
      <c r="I156" s="348" t="s">
        <v>3102</v>
      </c>
      <c r="J156" s="348" t="s">
        <v>3102</v>
      </c>
      <c r="K156" s="348" t="s">
        <v>3102</v>
      </c>
      <c r="L156" s="208" t="s">
        <v>135</v>
      </c>
      <c r="M156" s="208" t="s">
        <v>2176</v>
      </c>
      <c r="N156" s="208" t="s">
        <v>2826</v>
      </c>
      <c r="O156" s="208" t="s">
        <v>2827</v>
      </c>
      <c r="Q156" s="208" t="s">
        <v>267</v>
      </c>
      <c r="R156" s="208" t="s">
        <v>112</v>
      </c>
      <c r="T156" s="295" t="s">
        <v>2850</v>
      </c>
      <c r="U156" s="208" t="str">
        <f t="shared" si="2"/>
        <v>ddr_zq</v>
      </c>
      <c r="V156" s="208" t="s">
        <v>135</v>
      </c>
      <c r="W156" s="208" t="s">
        <v>2811</v>
      </c>
      <c r="X156" s="208" t="s">
        <v>2176</v>
      </c>
      <c r="Y156" s="209" t="s">
        <v>2851</v>
      </c>
      <c r="DW156" s="402"/>
      <c r="DX156" s="239" t="s">
        <v>2831</v>
      </c>
      <c r="DY156" s="402"/>
    </row>
    <row r="157" spans="1:130" s="208" customFormat="1" ht="15">
      <c r="A157" s="208" t="s">
        <v>1127</v>
      </c>
      <c r="B157" s="208" t="s">
        <v>2816</v>
      </c>
      <c r="C157" s="208" t="s">
        <v>58</v>
      </c>
      <c r="D157" s="208" t="s">
        <v>2816</v>
      </c>
      <c r="E157" s="208" t="s">
        <v>50</v>
      </c>
      <c r="F157" s="208" t="s">
        <v>2852</v>
      </c>
      <c r="G157" s="348" t="s">
        <v>3102</v>
      </c>
      <c r="H157" s="348" t="s">
        <v>3102</v>
      </c>
      <c r="I157" s="348" t="s">
        <v>3102</v>
      </c>
      <c r="J157" s="348" t="s">
        <v>3102</v>
      </c>
      <c r="K157" s="348" t="s">
        <v>3102</v>
      </c>
      <c r="L157" s="208" t="s">
        <v>179</v>
      </c>
      <c r="M157" s="239"/>
      <c r="N157" s="208" t="s">
        <v>2826</v>
      </c>
      <c r="O157" s="208" t="s">
        <v>2827</v>
      </c>
      <c r="Q157" s="208" t="s">
        <v>267</v>
      </c>
      <c r="R157" s="208" t="s">
        <v>112</v>
      </c>
      <c r="T157" s="296" t="s">
        <v>2853</v>
      </c>
      <c r="U157" s="208" t="str">
        <f t="shared" si="2"/>
        <v>ddr_ato</v>
      </c>
      <c r="V157" s="208" t="s">
        <v>179</v>
      </c>
      <c r="W157" s="208" t="s">
        <v>2811</v>
      </c>
      <c r="Y157" s="208" t="s">
        <v>2854</v>
      </c>
      <c r="DW157" s="402"/>
      <c r="DX157" s="239" t="s">
        <v>2831</v>
      </c>
      <c r="DY157" s="402"/>
    </row>
    <row r="158" spans="1:130" s="208" customFormat="1" ht="15">
      <c r="A158" s="208" t="s">
        <v>1127</v>
      </c>
      <c r="B158" s="208" t="s">
        <v>2816</v>
      </c>
      <c r="C158" s="208" t="s">
        <v>58</v>
      </c>
      <c r="D158" s="208" t="s">
        <v>2816</v>
      </c>
      <c r="E158" s="208" t="s">
        <v>50</v>
      </c>
      <c r="F158" s="208" t="s">
        <v>2855</v>
      </c>
      <c r="G158" s="348" t="s">
        <v>3102</v>
      </c>
      <c r="H158" s="348" t="s">
        <v>3102</v>
      </c>
      <c r="I158" s="348" t="s">
        <v>3102</v>
      </c>
      <c r="J158" s="348" t="s">
        <v>3102</v>
      </c>
      <c r="K158" s="348" t="s">
        <v>3102</v>
      </c>
      <c r="L158" s="208" t="s">
        <v>53</v>
      </c>
      <c r="M158" s="239"/>
      <c r="N158" s="208" t="s">
        <v>2826</v>
      </c>
      <c r="O158" s="208" t="s">
        <v>2827</v>
      </c>
      <c r="Q158" s="208" t="s">
        <v>267</v>
      </c>
      <c r="R158" s="208" t="s">
        <v>112</v>
      </c>
      <c r="T158" s="296" t="s">
        <v>2828</v>
      </c>
      <c r="U158" s="208" t="str">
        <f t="shared" si="2"/>
        <v>ddr_dto0</v>
      </c>
      <c r="V158" s="208" t="s">
        <v>53</v>
      </c>
      <c r="W158" s="208" t="s">
        <v>2811</v>
      </c>
      <c r="Y158" s="208" t="s">
        <v>2854</v>
      </c>
      <c r="DW158" s="402"/>
      <c r="DX158" s="239" t="s">
        <v>2831</v>
      </c>
      <c r="DY158" s="402"/>
    </row>
    <row r="159" spans="1:130" s="208" customFormat="1" ht="15">
      <c r="A159" s="208" t="s">
        <v>1127</v>
      </c>
      <c r="B159" s="208" t="s">
        <v>2816</v>
      </c>
      <c r="C159" s="208" t="s">
        <v>58</v>
      </c>
      <c r="D159" s="208" t="s">
        <v>2816</v>
      </c>
      <c r="E159" s="208" t="s">
        <v>50</v>
      </c>
      <c r="F159" s="208" t="s">
        <v>2856</v>
      </c>
      <c r="G159" s="348" t="s">
        <v>3102</v>
      </c>
      <c r="H159" s="348" t="s">
        <v>3102</v>
      </c>
      <c r="I159" s="348" t="s">
        <v>3102</v>
      </c>
      <c r="J159" s="348" t="s">
        <v>3102</v>
      </c>
      <c r="K159" s="348" t="s">
        <v>3102</v>
      </c>
      <c r="L159" s="208" t="s">
        <v>53</v>
      </c>
      <c r="M159" s="239"/>
      <c r="N159" s="208" t="s">
        <v>2826</v>
      </c>
      <c r="O159" s="208" t="s">
        <v>2827</v>
      </c>
      <c r="Q159" s="208" t="s">
        <v>267</v>
      </c>
      <c r="R159" s="208" t="s">
        <v>112</v>
      </c>
      <c r="T159" s="296" t="s">
        <v>2828</v>
      </c>
      <c r="U159" s="208" t="str">
        <f t="shared" si="2"/>
        <v>ddr_dto1</v>
      </c>
      <c r="V159" s="208" t="s">
        <v>53</v>
      </c>
      <c r="W159" s="208" t="s">
        <v>2811</v>
      </c>
      <c r="Y159" s="208" t="s">
        <v>2854</v>
      </c>
      <c r="DW159" s="403"/>
      <c r="DX159" s="239" t="s">
        <v>2831</v>
      </c>
      <c r="DY159" s="403"/>
    </row>
    <row r="160" spans="1:130" s="63" customFormat="1">
      <c r="A160" s="218" t="s">
        <v>2857</v>
      </c>
      <c r="B160" s="150"/>
      <c r="C160" s="150"/>
      <c r="D160" s="150"/>
      <c r="E160" s="150"/>
      <c r="F160" s="150"/>
      <c r="G160" s="150"/>
      <c r="H160" s="150"/>
      <c r="I160" s="150"/>
      <c r="J160" s="150"/>
      <c r="K160" s="150"/>
      <c r="L160" s="61"/>
      <c r="M160" s="61"/>
      <c r="N160" s="61"/>
      <c r="O160" s="184"/>
      <c r="P160" s="61"/>
      <c r="Q160" s="61"/>
      <c r="R160" s="61"/>
      <c r="S160" s="61"/>
      <c r="T160" s="62"/>
      <c r="U160" s="62"/>
      <c r="V160" s="175"/>
      <c r="W160" s="175"/>
      <c r="X160" s="175"/>
      <c r="Y160" s="176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75"/>
      <c r="BI160" s="175"/>
      <c r="BJ160" s="175"/>
      <c r="BK160" s="175"/>
      <c r="BL160" s="175"/>
      <c r="BM160" s="175"/>
      <c r="BN160" s="175"/>
      <c r="BO160" s="175"/>
      <c r="BP160" s="175"/>
      <c r="BQ160" s="175"/>
      <c r="BR160" s="175"/>
      <c r="BS160" s="175"/>
      <c r="BT160" s="175"/>
      <c r="BU160" s="175"/>
      <c r="BV160" s="175"/>
      <c r="BW160" s="175"/>
      <c r="BX160" s="175"/>
      <c r="BY160" s="175"/>
      <c r="BZ160" s="175"/>
      <c r="CA160" s="175"/>
      <c r="CB160" s="175"/>
      <c r="CC160" s="175"/>
      <c r="CD160" s="175"/>
      <c r="CE160" s="175"/>
      <c r="CF160" s="175"/>
      <c r="CG160" s="175"/>
      <c r="CH160" s="175"/>
      <c r="CI160" s="175"/>
      <c r="CJ160" s="175"/>
      <c r="CK160" s="175"/>
      <c r="CL160" s="175"/>
      <c r="CM160" s="175"/>
      <c r="CN160" s="175"/>
      <c r="CO160" s="175"/>
      <c r="CP160" s="175"/>
      <c r="CQ160" s="175"/>
      <c r="CR160" s="175"/>
      <c r="CS160" s="175"/>
      <c r="CT160" s="175"/>
      <c r="CU160" s="175"/>
      <c r="CV160" s="175"/>
      <c r="CW160" s="175"/>
      <c r="CX160" s="175"/>
      <c r="CY160" s="175"/>
      <c r="CZ160" s="175"/>
      <c r="DA160" s="175"/>
      <c r="DB160" s="175"/>
      <c r="DC160" s="175"/>
      <c r="DD160" s="175"/>
      <c r="DE160" s="175"/>
      <c r="DF160" s="175"/>
      <c r="DG160" s="175"/>
      <c r="DH160" s="175"/>
      <c r="DI160" s="175"/>
      <c r="DJ160" s="175"/>
      <c r="DK160" s="175"/>
      <c r="DL160" s="175"/>
      <c r="DM160" s="175"/>
      <c r="DN160" s="175"/>
      <c r="DO160" s="175"/>
      <c r="DP160" s="175"/>
      <c r="DQ160" s="175"/>
      <c r="DR160" s="175"/>
      <c r="DS160" s="175"/>
      <c r="DT160" s="175"/>
      <c r="DU160" s="175"/>
      <c r="DV160" s="175"/>
      <c r="DW160" s="323"/>
      <c r="DX160" s="323"/>
      <c r="DY160" s="323"/>
      <c r="DZ160" s="323"/>
    </row>
    <row r="161" spans="1:129" s="208" customFormat="1" ht="15">
      <c r="A161" s="208" t="s">
        <v>2824</v>
      </c>
      <c r="B161" s="208" t="s">
        <v>2816</v>
      </c>
      <c r="C161" s="208" t="s">
        <v>57</v>
      </c>
      <c r="D161" s="208" t="s">
        <v>2816</v>
      </c>
      <c r="E161" s="208" t="s">
        <v>50</v>
      </c>
      <c r="F161" s="208" t="s">
        <v>2858</v>
      </c>
      <c r="G161" s="348" t="s">
        <v>3102</v>
      </c>
      <c r="H161" s="348" t="s">
        <v>3102</v>
      </c>
      <c r="I161" s="348" t="s">
        <v>3102</v>
      </c>
      <c r="J161" s="348" t="s">
        <v>3102</v>
      </c>
      <c r="K161" s="348" t="s">
        <v>3102</v>
      </c>
      <c r="L161" s="208" t="s">
        <v>760</v>
      </c>
      <c r="M161" s="208" t="s">
        <v>2188</v>
      </c>
      <c r="N161" s="208" t="s">
        <v>2826</v>
      </c>
      <c r="O161" s="208" t="s">
        <v>2827</v>
      </c>
      <c r="Q161" s="208" t="s">
        <v>51</v>
      </c>
      <c r="R161" s="208" t="s">
        <v>112</v>
      </c>
      <c r="T161" s="295" t="s">
        <v>2828</v>
      </c>
      <c r="U161" s="208" t="s">
        <v>2859</v>
      </c>
      <c r="V161" s="208" t="s">
        <v>53</v>
      </c>
      <c r="W161" s="208" t="s">
        <v>2811</v>
      </c>
      <c r="X161" s="208" t="s">
        <v>2193</v>
      </c>
      <c r="Y161" s="209" t="s">
        <v>2860</v>
      </c>
      <c r="DW161" s="401" t="s">
        <v>2830</v>
      </c>
      <c r="DX161" s="239" t="s">
        <v>2831</v>
      </c>
      <c r="DY161" s="401" t="s">
        <v>2832</v>
      </c>
    </row>
    <row r="162" spans="1:129" s="208" customFormat="1" ht="15">
      <c r="A162" s="208" t="s">
        <v>2824</v>
      </c>
      <c r="B162" s="208" t="s">
        <v>2816</v>
      </c>
      <c r="C162" s="208" t="s">
        <v>57</v>
      </c>
      <c r="D162" s="208" t="s">
        <v>2816</v>
      </c>
      <c r="E162" s="208" t="s">
        <v>50</v>
      </c>
      <c r="F162" s="208" t="s">
        <v>2861</v>
      </c>
      <c r="G162" s="348" t="s">
        <v>3102</v>
      </c>
      <c r="H162" s="348" t="s">
        <v>3102</v>
      </c>
      <c r="I162" s="348" t="s">
        <v>3102</v>
      </c>
      <c r="J162" s="348" t="s">
        <v>3102</v>
      </c>
      <c r="K162" s="348" t="s">
        <v>3102</v>
      </c>
      <c r="L162" s="208" t="s">
        <v>760</v>
      </c>
      <c r="M162" s="208" t="s">
        <v>2188</v>
      </c>
      <c r="N162" s="208" t="s">
        <v>2826</v>
      </c>
      <c r="O162" s="208" t="s">
        <v>2827</v>
      </c>
      <c r="Q162" s="208" t="s">
        <v>51</v>
      </c>
      <c r="R162" s="208" t="s">
        <v>112</v>
      </c>
      <c r="T162" s="295" t="s">
        <v>2828</v>
      </c>
      <c r="U162" s="208" t="s">
        <v>667</v>
      </c>
      <c r="V162" s="208" t="s">
        <v>53</v>
      </c>
      <c r="W162" s="208" t="s">
        <v>2811</v>
      </c>
      <c r="X162" s="208" t="s">
        <v>2193</v>
      </c>
      <c r="Y162" s="209" t="s">
        <v>145</v>
      </c>
      <c r="DW162" s="411"/>
      <c r="DX162" s="239" t="s">
        <v>2831</v>
      </c>
      <c r="DY162" s="411"/>
    </row>
    <row r="163" spans="1:129" s="208" customFormat="1" ht="15">
      <c r="A163" s="208" t="s">
        <v>2824</v>
      </c>
      <c r="B163" s="208" t="s">
        <v>2816</v>
      </c>
      <c r="C163" s="208" t="s">
        <v>57</v>
      </c>
      <c r="D163" s="208" t="s">
        <v>2816</v>
      </c>
      <c r="E163" s="208" t="s">
        <v>50</v>
      </c>
      <c r="F163" s="208" t="s">
        <v>2862</v>
      </c>
      <c r="G163" s="348" t="s">
        <v>3102</v>
      </c>
      <c r="H163" s="348" t="s">
        <v>3102</v>
      </c>
      <c r="I163" s="348" t="s">
        <v>3102</v>
      </c>
      <c r="J163" s="348" t="s">
        <v>3102</v>
      </c>
      <c r="K163" s="348" t="s">
        <v>3102</v>
      </c>
      <c r="L163" s="208" t="s">
        <v>760</v>
      </c>
      <c r="M163" s="208" t="s">
        <v>2188</v>
      </c>
      <c r="N163" s="208" t="s">
        <v>2826</v>
      </c>
      <c r="O163" s="208" t="s">
        <v>2827</v>
      </c>
      <c r="Q163" s="208" t="s">
        <v>51</v>
      </c>
      <c r="R163" s="208" t="s">
        <v>112</v>
      </c>
      <c r="T163" s="295" t="s">
        <v>2828</v>
      </c>
      <c r="U163" s="208" t="s">
        <v>668</v>
      </c>
      <c r="V163" s="208" t="s">
        <v>53</v>
      </c>
      <c r="W163" s="208" t="s">
        <v>2811</v>
      </c>
      <c r="X163" s="208" t="s">
        <v>2193</v>
      </c>
      <c r="Y163" s="209" t="s">
        <v>146</v>
      </c>
      <c r="DW163" s="411"/>
      <c r="DX163" s="239" t="s">
        <v>2831</v>
      </c>
      <c r="DY163" s="411"/>
    </row>
    <row r="164" spans="1:129" s="208" customFormat="1" ht="15">
      <c r="A164" s="208" t="s">
        <v>2824</v>
      </c>
      <c r="B164" s="208" t="s">
        <v>2816</v>
      </c>
      <c r="C164" s="208" t="s">
        <v>57</v>
      </c>
      <c r="D164" s="208" t="s">
        <v>2816</v>
      </c>
      <c r="E164" s="208" t="s">
        <v>50</v>
      </c>
      <c r="F164" s="208" t="s">
        <v>2863</v>
      </c>
      <c r="G164" s="348" t="s">
        <v>3102</v>
      </c>
      <c r="H164" s="348" t="s">
        <v>3102</v>
      </c>
      <c r="I164" s="348" t="s">
        <v>3102</v>
      </c>
      <c r="J164" s="348" t="s">
        <v>3102</v>
      </c>
      <c r="K164" s="348" t="s">
        <v>3102</v>
      </c>
      <c r="L164" s="208" t="s">
        <v>760</v>
      </c>
      <c r="M164" s="208" t="s">
        <v>2188</v>
      </c>
      <c r="N164" s="208" t="s">
        <v>2826</v>
      </c>
      <c r="O164" s="208" t="s">
        <v>2827</v>
      </c>
      <c r="Q164" s="208" t="s">
        <v>51</v>
      </c>
      <c r="R164" s="208" t="s">
        <v>112</v>
      </c>
      <c r="T164" s="295" t="s">
        <v>2828</v>
      </c>
      <c r="U164" s="208" t="s">
        <v>669</v>
      </c>
      <c r="V164" s="208" t="s">
        <v>53</v>
      </c>
      <c r="W164" s="208" t="s">
        <v>2811</v>
      </c>
      <c r="X164" s="208" t="s">
        <v>2193</v>
      </c>
      <c r="Y164" s="209" t="s">
        <v>147</v>
      </c>
      <c r="DW164" s="411"/>
      <c r="DX164" s="239" t="s">
        <v>2831</v>
      </c>
      <c r="DY164" s="411"/>
    </row>
    <row r="165" spans="1:129" s="208" customFormat="1" ht="15">
      <c r="A165" s="208" t="s">
        <v>2824</v>
      </c>
      <c r="B165" s="208" t="s">
        <v>2816</v>
      </c>
      <c r="C165" s="208" t="s">
        <v>57</v>
      </c>
      <c r="D165" s="208" t="s">
        <v>2816</v>
      </c>
      <c r="E165" s="208" t="s">
        <v>50</v>
      </c>
      <c r="F165" s="208" t="s">
        <v>2864</v>
      </c>
      <c r="G165" s="348" t="s">
        <v>3102</v>
      </c>
      <c r="H165" s="348" t="s">
        <v>3102</v>
      </c>
      <c r="I165" s="348" t="s">
        <v>3102</v>
      </c>
      <c r="J165" s="348" t="s">
        <v>3102</v>
      </c>
      <c r="K165" s="348" t="s">
        <v>3102</v>
      </c>
      <c r="L165" s="208" t="s">
        <v>2865</v>
      </c>
      <c r="M165" s="208" t="s">
        <v>2188</v>
      </c>
      <c r="N165" s="208" t="s">
        <v>2826</v>
      </c>
      <c r="O165" s="208" t="s">
        <v>2827</v>
      </c>
      <c r="Q165" s="208" t="s">
        <v>267</v>
      </c>
      <c r="R165" s="208" t="s">
        <v>112</v>
      </c>
      <c r="T165" s="295" t="s">
        <v>2828</v>
      </c>
      <c r="U165" s="208" t="s">
        <v>2866</v>
      </c>
      <c r="V165" s="208" t="s">
        <v>2865</v>
      </c>
      <c r="W165" s="208" t="s">
        <v>2811</v>
      </c>
      <c r="X165" s="208" t="s">
        <v>2193</v>
      </c>
      <c r="Y165" s="209" t="s">
        <v>2867</v>
      </c>
      <c r="DW165" s="411"/>
      <c r="DX165" s="239" t="s">
        <v>2831</v>
      </c>
      <c r="DY165" s="411"/>
    </row>
    <row r="166" spans="1:129" s="208" customFormat="1" ht="15">
      <c r="A166" s="208" t="s">
        <v>2824</v>
      </c>
      <c r="B166" s="208" t="s">
        <v>2816</v>
      </c>
      <c r="C166" s="208" t="s">
        <v>57</v>
      </c>
      <c r="D166" s="208" t="s">
        <v>2816</v>
      </c>
      <c r="E166" s="208" t="s">
        <v>50</v>
      </c>
      <c r="F166" s="208" t="s">
        <v>2868</v>
      </c>
      <c r="G166" s="348" t="s">
        <v>3102</v>
      </c>
      <c r="H166" s="348" t="s">
        <v>3102</v>
      </c>
      <c r="I166" s="348" t="s">
        <v>3102</v>
      </c>
      <c r="J166" s="348" t="s">
        <v>3102</v>
      </c>
      <c r="K166" s="348" t="s">
        <v>3102</v>
      </c>
      <c r="L166" s="208" t="s">
        <v>2865</v>
      </c>
      <c r="M166" s="208" t="s">
        <v>2188</v>
      </c>
      <c r="N166" s="208" t="s">
        <v>2826</v>
      </c>
      <c r="O166" s="208" t="s">
        <v>2827</v>
      </c>
      <c r="Q166" s="208" t="s">
        <v>267</v>
      </c>
      <c r="R166" s="208" t="s">
        <v>112</v>
      </c>
      <c r="T166" s="295" t="s">
        <v>2828</v>
      </c>
      <c r="U166" s="208" t="s">
        <v>670</v>
      </c>
      <c r="V166" s="208" t="s">
        <v>2865</v>
      </c>
      <c r="W166" s="208" t="s">
        <v>2811</v>
      </c>
      <c r="X166" s="208" t="s">
        <v>2193</v>
      </c>
      <c r="Y166" s="209" t="s">
        <v>148</v>
      </c>
      <c r="DW166" s="411"/>
      <c r="DX166" s="239" t="s">
        <v>2831</v>
      </c>
      <c r="DY166" s="411"/>
    </row>
    <row r="167" spans="1:129" s="208" customFormat="1" ht="15">
      <c r="A167" s="208" t="s">
        <v>2824</v>
      </c>
      <c r="B167" s="208" t="s">
        <v>2816</v>
      </c>
      <c r="C167" s="208" t="s">
        <v>57</v>
      </c>
      <c r="D167" s="208" t="s">
        <v>2816</v>
      </c>
      <c r="E167" s="208" t="s">
        <v>50</v>
      </c>
      <c r="F167" s="208" t="s">
        <v>2869</v>
      </c>
      <c r="G167" s="348" t="s">
        <v>3102</v>
      </c>
      <c r="H167" s="348" t="s">
        <v>3102</v>
      </c>
      <c r="I167" s="348" t="s">
        <v>3102</v>
      </c>
      <c r="J167" s="348" t="s">
        <v>3102</v>
      </c>
      <c r="K167" s="348" t="s">
        <v>3102</v>
      </c>
      <c r="L167" s="208" t="s">
        <v>2865</v>
      </c>
      <c r="M167" s="208" t="s">
        <v>2188</v>
      </c>
      <c r="N167" s="208" t="s">
        <v>2826</v>
      </c>
      <c r="O167" s="208" t="s">
        <v>2827</v>
      </c>
      <c r="Q167" s="208" t="s">
        <v>267</v>
      </c>
      <c r="R167" s="208" t="s">
        <v>112</v>
      </c>
      <c r="T167" s="295" t="s">
        <v>2828</v>
      </c>
      <c r="U167" s="208" t="s">
        <v>671</v>
      </c>
      <c r="V167" s="208" t="s">
        <v>2865</v>
      </c>
      <c r="W167" s="208" t="s">
        <v>2811</v>
      </c>
      <c r="X167" s="208" t="s">
        <v>2193</v>
      </c>
      <c r="Y167" s="209" t="s">
        <v>149</v>
      </c>
      <c r="DW167" s="411"/>
      <c r="DX167" s="239" t="s">
        <v>2831</v>
      </c>
      <c r="DY167" s="411"/>
    </row>
    <row r="168" spans="1:129" s="208" customFormat="1" ht="15">
      <c r="A168" s="208" t="s">
        <v>2824</v>
      </c>
      <c r="B168" s="208" t="s">
        <v>2816</v>
      </c>
      <c r="C168" s="208" t="s">
        <v>57</v>
      </c>
      <c r="D168" s="208" t="s">
        <v>2816</v>
      </c>
      <c r="E168" s="208" t="s">
        <v>50</v>
      </c>
      <c r="F168" s="208" t="s">
        <v>2870</v>
      </c>
      <c r="G168" s="348" t="s">
        <v>3102</v>
      </c>
      <c r="H168" s="348" t="s">
        <v>3102</v>
      </c>
      <c r="I168" s="348" t="s">
        <v>3102</v>
      </c>
      <c r="J168" s="348" t="s">
        <v>3102</v>
      </c>
      <c r="K168" s="348" t="s">
        <v>3102</v>
      </c>
      <c r="L168" s="208" t="s">
        <v>2865</v>
      </c>
      <c r="M168" s="208" t="s">
        <v>2188</v>
      </c>
      <c r="N168" s="208" t="s">
        <v>2826</v>
      </c>
      <c r="O168" s="208" t="s">
        <v>2827</v>
      </c>
      <c r="Q168" s="208" t="s">
        <v>267</v>
      </c>
      <c r="R168" s="208" t="s">
        <v>112</v>
      </c>
      <c r="T168" s="295" t="s">
        <v>2828</v>
      </c>
      <c r="U168" s="208" t="s">
        <v>672</v>
      </c>
      <c r="V168" s="208" t="s">
        <v>2865</v>
      </c>
      <c r="W168" s="208" t="s">
        <v>2811</v>
      </c>
      <c r="X168" s="208" t="s">
        <v>2193</v>
      </c>
      <c r="Y168" s="209" t="s">
        <v>150</v>
      </c>
      <c r="DW168" s="411"/>
      <c r="DX168" s="239" t="s">
        <v>2831</v>
      </c>
      <c r="DY168" s="411"/>
    </row>
    <row r="169" spans="1:129" s="208" customFormat="1" ht="15">
      <c r="A169" s="208" t="s">
        <v>2824</v>
      </c>
      <c r="B169" s="208" t="s">
        <v>2816</v>
      </c>
      <c r="C169" s="208" t="s">
        <v>57</v>
      </c>
      <c r="D169" s="208" t="s">
        <v>2816</v>
      </c>
      <c r="E169" s="208" t="s">
        <v>50</v>
      </c>
      <c r="F169" s="208" t="s">
        <v>2871</v>
      </c>
      <c r="G169" s="348" t="s">
        <v>3102</v>
      </c>
      <c r="H169" s="348" t="s">
        <v>3102</v>
      </c>
      <c r="I169" s="348" t="s">
        <v>3102</v>
      </c>
      <c r="J169" s="348" t="s">
        <v>3102</v>
      </c>
      <c r="K169" s="348" t="s">
        <v>3102</v>
      </c>
      <c r="L169" s="208" t="s">
        <v>2865</v>
      </c>
      <c r="M169" s="208" t="s">
        <v>2188</v>
      </c>
      <c r="N169" s="208" t="s">
        <v>2826</v>
      </c>
      <c r="O169" s="208" t="s">
        <v>2827</v>
      </c>
      <c r="Q169" s="208" t="s">
        <v>267</v>
      </c>
      <c r="R169" s="208" t="s">
        <v>112</v>
      </c>
      <c r="T169" s="295" t="s">
        <v>2828</v>
      </c>
      <c r="U169" s="208" t="s">
        <v>673</v>
      </c>
      <c r="V169" s="208" t="s">
        <v>2865</v>
      </c>
      <c r="W169" s="208" t="s">
        <v>2811</v>
      </c>
      <c r="X169" s="208" t="s">
        <v>2193</v>
      </c>
      <c r="Y169" s="209" t="s">
        <v>151</v>
      </c>
      <c r="DW169" s="411"/>
      <c r="DX169" s="239" t="s">
        <v>2831</v>
      </c>
      <c r="DY169" s="411"/>
    </row>
    <row r="170" spans="1:129" s="208" customFormat="1" ht="15">
      <c r="A170" s="208" t="s">
        <v>2824</v>
      </c>
      <c r="B170" s="208" t="s">
        <v>2816</v>
      </c>
      <c r="C170" s="208" t="s">
        <v>57</v>
      </c>
      <c r="D170" s="208" t="s">
        <v>2816</v>
      </c>
      <c r="E170" s="208" t="s">
        <v>50</v>
      </c>
      <c r="F170" s="208" t="s">
        <v>2872</v>
      </c>
      <c r="G170" s="348" t="s">
        <v>3102</v>
      </c>
      <c r="H170" s="348" t="s">
        <v>3102</v>
      </c>
      <c r="I170" s="348" t="s">
        <v>3102</v>
      </c>
      <c r="J170" s="348" t="s">
        <v>3102</v>
      </c>
      <c r="K170" s="348" t="s">
        <v>3102</v>
      </c>
      <c r="L170" s="208" t="s">
        <v>2865</v>
      </c>
      <c r="M170" s="208" t="s">
        <v>2188</v>
      </c>
      <c r="N170" s="208" t="s">
        <v>2826</v>
      </c>
      <c r="O170" s="208" t="s">
        <v>2827</v>
      </c>
      <c r="Q170" s="208" t="s">
        <v>267</v>
      </c>
      <c r="R170" s="208" t="s">
        <v>112</v>
      </c>
      <c r="T170" s="295" t="s">
        <v>2828</v>
      </c>
      <c r="U170" s="208" t="s">
        <v>674</v>
      </c>
      <c r="V170" s="208" t="s">
        <v>2865</v>
      </c>
      <c r="W170" s="208" t="s">
        <v>2811</v>
      </c>
      <c r="X170" s="208" t="s">
        <v>2193</v>
      </c>
      <c r="Y170" s="209" t="s">
        <v>152</v>
      </c>
      <c r="DW170" s="411"/>
      <c r="DX170" s="239" t="s">
        <v>2831</v>
      </c>
      <c r="DY170" s="411"/>
    </row>
    <row r="171" spans="1:129" s="208" customFormat="1" ht="15">
      <c r="A171" s="208" t="s">
        <v>2824</v>
      </c>
      <c r="B171" s="208" t="s">
        <v>2816</v>
      </c>
      <c r="C171" s="208" t="s">
        <v>57</v>
      </c>
      <c r="D171" s="208" t="s">
        <v>2816</v>
      </c>
      <c r="E171" s="208" t="s">
        <v>50</v>
      </c>
      <c r="F171" s="208" t="s">
        <v>2873</v>
      </c>
      <c r="G171" s="348" t="s">
        <v>3102</v>
      </c>
      <c r="H171" s="348" t="s">
        <v>3102</v>
      </c>
      <c r="I171" s="348" t="s">
        <v>3102</v>
      </c>
      <c r="J171" s="348" t="s">
        <v>3102</v>
      </c>
      <c r="K171" s="348" t="s">
        <v>3102</v>
      </c>
      <c r="L171" s="208" t="s">
        <v>2865</v>
      </c>
      <c r="M171" s="208" t="s">
        <v>2188</v>
      </c>
      <c r="N171" s="208" t="s">
        <v>2826</v>
      </c>
      <c r="O171" s="208" t="s">
        <v>2827</v>
      </c>
      <c r="Q171" s="208" t="s">
        <v>267</v>
      </c>
      <c r="R171" s="208" t="s">
        <v>112</v>
      </c>
      <c r="T171" s="295" t="s">
        <v>2828</v>
      </c>
      <c r="U171" s="208" t="s">
        <v>675</v>
      </c>
      <c r="V171" s="208" t="s">
        <v>2865</v>
      </c>
      <c r="W171" s="208" t="s">
        <v>2811</v>
      </c>
      <c r="X171" s="208" t="s">
        <v>2193</v>
      </c>
      <c r="Y171" s="209" t="s">
        <v>153</v>
      </c>
      <c r="DW171" s="411"/>
      <c r="DX171" s="239" t="s">
        <v>2831</v>
      </c>
      <c r="DY171" s="411"/>
    </row>
    <row r="172" spans="1:129" s="208" customFormat="1" ht="15">
      <c r="A172" s="208" t="s">
        <v>2824</v>
      </c>
      <c r="B172" s="208" t="s">
        <v>2816</v>
      </c>
      <c r="C172" s="208" t="s">
        <v>57</v>
      </c>
      <c r="D172" s="208" t="s">
        <v>2816</v>
      </c>
      <c r="E172" s="208" t="s">
        <v>50</v>
      </c>
      <c r="F172" s="208" t="s">
        <v>2874</v>
      </c>
      <c r="G172" s="348" t="s">
        <v>3102</v>
      </c>
      <c r="H172" s="348" t="s">
        <v>3102</v>
      </c>
      <c r="I172" s="348" t="s">
        <v>3102</v>
      </c>
      <c r="J172" s="348" t="s">
        <v>3102</v>
      </c>
      <c r="K172" s="348" t="s">
        <v>3102</v>
      </c>
      <c r="L172" s="208" t="s">
        <v>2865</v>
      </c>
      <c r="M172" s="208" t="s">
        <v>2188</v>
      </c>
      <c r="N172" s="208" t="s">
        <v>2826</v>
      </c>
      <c r="O172" s="208" t="s">
        <v>2827</v>
      </c>
      <c r="Q172" s="208" t="s">
        <v>267</v>
      </c>
      <c r="R172" s="208" t="s">
        <v>112</v>
      </c>
      <c r="T172" s="295" t="s">
        <v>2828</v>
      </c>
      <c r="U172" s="208" t="s">
        <v>676</v>
      </c>
      <c r="V172" s="208" t="s">
        <v>2865</v>
      </c>
      <c r="W172" s="208" t="s">
        <v>2811</v>
      </c>
      <c r="X172" s="208" t="s">
        <v>2193</v>
      </c>
      <c r="Y172" s="209" t="s">
        <v>154</v>
      </c>
      <c r="DW172" s="411"/>
      <c r="DX172" s="239" t="s">
        <v>2831</v>
      </c>
      <c r="DY172" s="411"/>
    </row>
    <row r="173" spans="1:129" s="208" customFormat="1" ht="15">
      <c r="A173" s="208" t="s">
        <v>2824</v>
      </c>
      <c r="B173" s="208" t="s">
        <v>2816</v>
      </c>
      <c r="C173" s="208" t="s">
        <v>57</v>
      </c>
      <c r="D173" s="208" t="s">
        <v>2816</v>
      </c>
      <c r="E173" s="208" t="s">
        <v>50</v>
      </c>
      <c r="F173" s="208" t="s">
        <v>2875</v>
      </c>
      <c r="G173" s="348" t="s">
        <v>3102</v>
      </c>
      <c r="H173" s="348" t="s">
        <v>3102</v>
      </c>
      <c r="I173" s="348" t="s">
        <v>3102</v>
      </c>
      <c r="J173" s="348" t="s">
        <v>3102</v>
      </c>
      <c r="K173" s="348" t="s">
        <v>3102</v>
      </c>
      <c r="L173" s="208" t="s">
        <v>2865</v>
      </c>
      <c r="M173" s="208" t="s">
        <v>2188</v>
      </c>
      <c r="N173" s="208" t="s">
        <v>2826</v>
      </c>
      <c r="O173" s="208" t="s">
        <v>2827</v>
      </c>
      <c r="Q173" s="208" t="s">
        <v>267</v>
      </c>
      <c r="R173" s="208" t="s">
        <v>112</v>
      </c>
      <c r="T173" s="295" t="s">
        <v>2828</v>
      </c>
      <c r="U173" s="208" t="s">
        <v>677</v>
      </c>
      <c r="V173" s="208" t="s">
        <v>2865</v>
      </c>
      <c r="W173" s="208" t="s">
        <v>2811</v>
      </c>
      <c r="X173" s="208" t="s">
        <v>2193</v>
      </c>
      <c r="Y173" s="209" t="s">
        <v>155</v>
      </c>
      <c r="DW173" s="411"/>
      <c r="DX173" s="239" t="s">
        <v>2831</v>
      </c>
      <c r="DY173" s="411"/>
    </row>
    <row r="174" spans="1:129" s="208" customFormat="1" ht="15">
      <c r="A174" s="208" t="s">
        <v>2824</v>
      </c>
      <c r="B174" s="208" t="s">
        <v>2816</v>
      </c>
      <c r="C174" s="208" t="s">
        <v>57</v>
      </c>
      <c r="D174" s="208" t="s">
        <v>2816</v>
      </c>
      <c r="E174" s="208" t="s">
        <v>50</v>
      </c>
      <c r="F174" s="208" t="s">
        <v>2876</v>
      </c>
      <c r="G174" s="348" t="s">
        <v>3102</v>
      </c>
      <c r="H174" s="348" t="s">
        <v>3102</v>
      </c>
      <c r="I174" s="348" t="s">
        <v>3102</v>
      </c>
      <c r="J174" s="348" t="s">
        <v>3102</v>
      </c>
      <c r="K174" s="348" t="s">
        <v>3102</v>
      </c>
      <c r="L174" s="208" t="s">
        <v>2865</v>
      </c>
      <c r="M174" s="208" t="s">
        <v>2188</v>
      </c>
      <c r="N174" s="208" t="s">
        <v>2826</v>
      </c>
      <c r="O174" s="208" t="s">
        <v>2827</v>
      </c>
      <c r="Q174" s="208" t="s">
        <v>267</v>
      </c>
      <c r="R174" s="208" t="s">
        <v>112</v>
      </c>
      <c r="T174" s="295" t="s">
        <v>2828</v>
      </c>
      <c r="U174" s="208" t="s">
        <v>678</v>
      </c>
      <c r="V174" s="208" t="s">
        <v>2865</v>
      </c>
      <c r="W174" s="208" t="s">
        <v>2811</v>
      </c>
      <c r="X174" s="208" t="s">
        <v>2193</v>
      </c>
      <c r="Y174" s="209" t="s">
        <v>156</v>
      </c>
      <c r="DW174" s="411"/>
      <c r="DX174" s="239" t="s">
        <v>2831</v>
      </c>
      <c r="DY174" s="411"/>
    </row>
    <row r="175" spans="1:129" s="208" customFormat="1" ht="15">
      <c r="A175" s="208" t="s">
        <v>2824</v>
      </c>
      <c r="B175" s="208" t="s">
        <v>2816</v>
      </c>
      <c r="C175" s="208" t="s">
        <v>57</v>
      </c>
      <c r="D175" s="208" t="s">
        <v>2816</v>
      </c>
      <c r="E175" s="208" t="s">
        <v>50</v>
      </c>
      <c r="F175" s="208" t="s">
        <v>2877</v>
      </c>
      <c r="G175" s="348" t="s">
        <v>3102</v>
      </c>
      <c r="H175" s="348" t="s">
        <v>3102</v>
      </c>
      <c r="I175" s="348" t="s">
        <v>3102</v>
      </c>
      <c r="J175" s="348" t="s">
        <v>3102</v>
      </c>
      <c r="K175" s="348" t="s">
        <v>3102</v>
      </c>
      <c r="L175" s="208" t="s">
        <v>2865</v>
      </c>
      <c r="M175" s="208" t="s">
        <v>2188</v>
      </c>
      <c r="N175" s="208" t="s">
        <v>2826</v>
      </c>
      <c r="O175" s="208" t="s">
        <v>2827</v>
      </c>
      <c r="Q175" s="208" t="s">
        <v>267</v>
      </c>
      <c r="R175" s="208" t="s">
        <v>112</v>
      </c>
      <c r="T175" s="295" t="s">
        <v>2828</v>
      </c>
      <c r="U175" s="208" t="s">
        <v>679</v>
      </c>
      <c r="V175" s="208" t="s">
        <v>2865</v>
      </c>
      <c r="W175" s="208" t="s">
        <v>2811</v>
      </c>
      <c r="X175" s="208" t="s">
        <v>2193</v>
      </c>
      <c r="Y175" s="209" t="s">
        <v>157</v>
      </c>
      <c r="DW175" s="411"/>
      <c r="DX175" s="239" t="s">
        <v>2831</v>
      </c>
      <c r="DY175" s="411"/>
    </row>
    <row r="176" spans="1:129" s="208" customFormat="1" ht="15">
      <c r="A176" s="208" t="s">
        <v>2824</v>
      </c>
      <c r="B176" s="208" t="s">
        <v>2816</v>
      </c>
      <c r="C176" s="208" t="s">
        <v>57</v>
      </c>
      <c r="D176" s="208" t="s">
        <v>2816</v>
      </c>
      <c r="E176" s="208" t="s">
        <v>50</v>
      </c>
      <c r="F176" s="208" t="s">
        <v>2878</v>
      </c>
      <c r="G176" s="348" t="s">
        <v>3102</v>
      </c>
      <c r="H176" s="348" t="s">
        <v>3102</v>
      </c>
      <c r="I176" s="348" t="s">
        <v>3102</v>
      </c>
      <c r="J176" s="348" t="s">
        <v>3102</v>
      </c>
      <c r="K176" s="348" t="s">
        <v>3102</v>
      </c>
      <c r="L176" s="208" t="s">
        <v>2865</v>
      </c>
      <c r="M176" s="208" t="s">
        <v>2188</v>
      </c>
      <c r="N176" s="208" t="s">
        <v>2826</v>
      </c>
      <c r="O176" s="208" t="s">
        <v>2827</v>
      </c>
      <c r="Q176" s="208" t="s">
        <v>267</v>
      </c>
      <c r="R176" s="208" t="s">
        <v>112</v>
      </c>
      <c r="T176" s="295" t="s">
        <v>2828</v>
      </c>
      <c r="U176" s="208" t="s">
        <v>680</v>
      </c>
      <c r="V176" s="208" t="s">
        <v>2865</v>
      </c>
      <c r="W176" s="208" t="s">
        <v>2811</v>
      </c>
      <c r="X176" s="208" t="s">
        <v>2193</v>
      </c>
      <c r="Y176" s="209" t="s">
        <v>158</v>
      </c>
      <c r="DW176" s="411"/>
      <c r="DX176" s="239" t="s">
        <v>2831</v>
      </c>
      <c r="DY176" s="411"/>
    </row>
    <row r="177" spans="1:129" s="208" customFormat="1" ht="15">
      <c r="A177" s="208" t="s">
        <v>2824</v>
      </c>
      <c r="B177" s="208" t="s">
        <v>2816</v>
      </c>
      <c r="C177" s="208" t="s">
        <v>57</v>
      </c>
      <c r="D177" s="208" t="s">
        <v>2816</v>
      </c>
      <c r="E177" s="208" t="s">
        <v>50</v>
      </c>
      <c r="F177" s="208" t="s">
        <v>2879</v>
      </c>
      <c r="G177" s="348" t="s">
        <v>3102</v>
      </c>
      <c r="H177" s="348" t="s">
        <v>3102</v>
      </c>
      <c r="I177" s="348" t="s">
        <v>3102</v>
      </c>
      <c r="J177" s="348" t="s">
        <v>3102</v>
      </c>
      <c r="K177" s="348" t="s">
        <v>3102</v>
      </c>
      <c r="L177" s="208" t="s">
        <v>2865</v>
      </c>
      <c r="M177" s="208" t="s">
        <v>2188</v>
      </c>
      <c r="N177" s="208" t="s">
        <v>2826</v>
      </c>
      <c r="O177" s="208" t="s">
        <v>2827</v>
      </c>
      <c r="Q177" s="208" t="s">
        <v>267</v>
      </c>
      <c r="R177" s="208" t="s">
        <v>112</v>
      </c>
      <c r="T177" s="295" t="s">
        <v>2828</v>
      </c>
      <c r="U177" s="208" t="s">
        <v>681</v>
      </c>
      <c r="V177" s="208" t="s">
        <v>2865</v>
      </c>
      <c r="W177" s="208" t="s">
        <v>2811</v>
      </c>
      <c r="X177" s="208" t="s">
        <v>2193</v>
      </c>
      <c r="Y177" s="209" t="s">
        <v>159</v>
      </c>
      <c r="DW177" s="411"/>
      <c r="DX177" s="239" t="s">
        <v>2831</v>
      </c>
      <c r="DY177" s="411"/>
    </row>
    <row r="178" spans="1:129" s="208" customFormat="1" ht="15">
      <c r="A178" s="208" t="s">
        <v>2824</v>
      </c>
      <c r="B178" s="208" t="s">
        <v>2816</v>
      </c>
      <c r="C178" s="208" t="s">
        <v>57</v>
      </c>
      <c r="D178" s="208" t="s">
        <v>2816</v>
      </c>
      <c r="E178" s="208" t="s">
        <v>50</v>
      </c>
      <c r="F178" s="208" t="s">
        <v>2880</v>
      </c>
      <c r="G178" s="348" t="s">
        <v>3102</v>
      </c>
      <c r="H178" s="348" t="s">
        <v>3102</v>
      </c>
      <c r="I178" s="348" t="s">
        <v>3102</v>
      </c>
      <c r="J178" s="348" t="s">
        <v>3102</v>
      </c>
      <c r="K178" s="348" t="s">
        <v>3102</v>
      </c>
      <c r="L178" s="208" t="s">
        <v>2865</v>
      </c>
      <c r="M178" s="208" t="s">
        <v>2188</v>
      </c>
      <c r="N178" s="208" t="s">
        <v>2826</v>
      </c>
      <c r="O178" s="208" t="s">
        <v>2827</v>
      </c>
      <c r="Q178" s="208" t="s">
        <v>267</v>
      </c>
      <c r="R178" s="208" t="s">
        <v>112</v>
      </c>
      <c r="T178" s="295" t="s">
        <v>2828</v>
      </c>
      <c r="U178" s="208" t="s">
        <v>682</v>
      </c>
      <c r="V178" s="208" t="s">
        <v>2865</v>
      </c>
      <c r="W178" s="208" t="s">
        <v>2811</v>
      </c>
      <c r="X178" s="208" t="s">
        <v>2193</v>
      </c>
      <c r="Y178" s="209" t="s">
        <v>160</v>
      </c>
      <c r="DW178" s="411"/>
      <c r="DX178" s="239" t="s">
        <v>2831</v>
      </c>
      <c r="DY178" s="411"/>
    </row>
    <row r="179" spans="1:129" s="208" customFormat="1" ht="15">
      <c r="A179" s="208" t="s">
        <v>2824</v>
      </c>
      <c r="B179" s="208" t="s">
        <v>2816</v>
      </c>
      <c r="C179" s="208" t="s">
        <v>57</v>
      </c>
      <c r="D179" s="208" t="s">
        <v>2816</v>
      </c>
      <c r="E179" s="208" t="s">
        <v>50</v>
      </c>
      <c r="F179" s="208" t="s">
        <v>2881</v>
      </c>
      <c r="G179" s="348" t="s">
        <v>3102</v>
      </c>
      <c r="H179" s="348" t="s">
        <v>3102</v>
      </c>
      <c r="I179" s="348" t="s">
        <v>3102</v>
      </c>
      <c r="J179" s="348" t="s">
        <v>3102</v>
      </c>
      <c r="K179" s="348" t="s">
        <v>3102</v>
      </c>
      <c r="L179" s="208" t="s">
        <v>2865</v>
      </c>
      <c r="M179" s="208" t="s">
        <v>2188</v>
      </c>
      <c r="N179" s="208" t="s">
        <v>2826</v>
      </c>
      <c r="O179" s="208" t="s">
        <v>2827</v>
      </c>
      <c r="Q179" s="208" t="s">
        <v>267</v>
      </c>
      <c r="R179" s="208" t="s">
        <v>112</v>
      </c>
      <c r="T179" s="295" t="s">
        <v>2828</v>
      </c>
      <c r="U179" s="208" t="s">
        <v>683</v>
      </c>
      <c r="V179" s="208" t="s">
        <v>2865</v>
      </c>
      <c r="W179" s="208" t="s">
        <v>2811</v>
      </c>
      <c r="X179" s="208" t="s">
        <v>2193</v>
      </c>
      <c r="Y179" s="209" t="s">
        <v>161</v>
      </c>
      <c r="DW179" s="411"/>
      <c r="DX179" s="239" t="s">
        <v>2831</v>
      </c>
      <c r="DY179" s="411"/>
    </row>
    <row r="180" spans="1:129" s="208" customFormat="1" ht="15">
      <c r="A180" s="208" t="s">
        <v>2824</v>
      </c>
      <c r="B180" s="208" t="s">
        <v>2816</v>
      </c>
      <c r="C180" s="208" t="s">
        <v>57</v>
      </c>
      <c r="D180" s="208" t="s">
        <v>2816</v>
      </c>
      <c r="E180" s="208" t="s">
        <v>50</v>
      </c>
      <c r="F180" s="208" t="s">
        <v>2882</v>
      </c>
      <c r="G180" s="348" t="s">
        <v>3102</v>
      </c>
      <c r="H180" s="348" t="s">
        <v>3102</v>
      </c>
      <c r="I180" s="348" t="s">
        <v>3102</v>
      </c>
      <c r="J180" s="348" t="s">
        <v>3102</v>
      </c>
      <c r="K180" s="348" t="s">
        <v>3102</v>
      </c>
      <c r="L180" s="208" t="s">
        <v>2865</v>
      </c>
      <c r="M180" s="208" t="s">
        <v>2188</v>
      </c>
      <c r="N180" s="208" t="s">
        <v>2826</v>
      </c>
      <c r="O180" s="208" t="s">
        <v>2827</v>
      </c>
      <c r="Q180" s="208" t="s">
        <v>267</v>
      </c>
      <c r="R180" s="208" t="s">
        <v>112</v>
      </c>
      <c r="T180" s="295" t="s">
        <v>2828</v>
      </c>
      <c r="U180" s="208" t="s">
        <v>684</v>
      </c>
      <c r="V180" s="208" t="s">
        <v>2865</v>
      </c>
      <c r="W180" s="208" t="s">
        <v>2811</v>
      </c>
      <c r="X180" s="208" t="s">
        <v>2193</v>
      </c>
      <c r="Y180" s="209" t="s">
        <v>162</v>
      </c>
      <c r="DW180" s="411"/>
      <c r="DX180" s="239" t="s">
        <v>2831</v>
      </c>
      <c r="DY180" s="411"/>
    </row>
    <row r="181" spans="1:129" s="208" customFormat="1" ht="15">
      <c r="A181" s="208" t="s">
        <v>2824</v>
      </c>
      <c r="B181" s="208" t="s">
        <v>2816</v>
      </c>
      <c r="C181" s="208" t="s">
        <v>57</v>
      </c>
      <c r="D181" s="208" t="s">
        <v>2816</v>
      </c>
      <c r="E181" s="208" t="s">
        <v>50</v>
      </c>
      <c r="F181" s="208" t="s">
        <v>2883</v>
      </c>
      <c r="G181" s="348" t="s">
        <v>3102</v>
      </c>
      <c r="H181" s="348" t="s">
        <v>3102</v>
      </c>
      <c r="I181" s="348" t="s">
        <v>3102</v>
      </c>
      <c r="J181" s="348" t="s">
        <v>3102</v>
      </c>
      <c r="K181" s="348" t="s">
        <v>3102</v>
      </c>
      <c r="L181" s="208" t="s">
        <v>2865</v>
      </c>
      <c r="M181" s="208" t="s">
        <v>2188</v>
      </c>
      <c r="N181" s="208" t="s">
        <v>2826</v>
      </c>
      <c r="O181" s="208" t="s">
        <v>2827</v>
      </c>
      <c r="Q181" s="208" t="s">
        <v>267</v>
      </c>
      <c r="R181" s="208" t="s">
        <v>112</v>
      </c>
      <c r="T181" s="295" t="s">
        <v>2828</v>
      </c>
      <c r="U181" s="208" t="s">
        <v>685</v>
      </c>
      <c r="V181" s="208" t="s">
        <v>2865</v>
      </c>
      <c r="W181" s="208" t="s">
        <v>2811</v>
      </c>
      <c r="X181" s="208" t="s">
        <v>2193</v>
      </c>
      <c r="Y181" s="209" t="s">
        <v>163</v>
      </c>
      <c r="DW181" s="411"/>
      <c r="DX181" s="239" t="s">
        <v>2831</v>
      </c>
      <c r="DY181" s="411"/>
    </row>
    <row r="182" spans="1:129" s="208" customFormat="1" ht="15">
      <c r="A182" s="208" t="s">
        <v>2824</v>
      </c>
      <c r="B182" s="208" t="s">
        <v>2816</v>
      </c>
      <c r="C182" s="208" t="s">
        <v>57</v>
      </c>
      <c r="D182" s="208" t="s">
        <v>2816</v>
      </c>
      <c r="E182" s="208" t="s">
        <v>50</v>
      </c>
      <c r="F182" s="208" t="s">
        <v>2884</v>
      </c>
      <c r="G182" s="348" t="s">
        <v>3102</v>
      </c>
      <c r="H182" s="348" t="s">
        <v>3102</v>
      </c>
      <c r="I182" s="348" t="s">
        <v>3102</v>
      </c>
      <c r="J182" s="348" t="s">
        <v>3102</v>
      </c>
      <c r="K182" s="348" t="s">
        <v>3102</v>
      </c>
      <c r="L182" s="208" t="s">
        <v>2865</v>
      </c>
      <c r="M182" s="208" t="s">
        <v>2188</v>
      </c>
      <c r="N182" s="208" t="s">
        <v>2826</v>
      </c>
      <c r="O182" s="208" t="s">
        <v>2827</v>
      </c>
      <c r="Q182" s="208" t="s">
        <v>267</v>
      </c>
      <c r="R182" s="208" t="s">
        <v>112</v>
      </c>
      <c r="T182" s="295" t="s">
        <v>2828</v>
      </c>
      <c r="U182" s="208" t="s">
        <v>686</v>
      </c>
      <c r="V182" s="208" t="s">
        <v>2865</v>
      </c>
      <c r="W182" s="208" t="s">
        <v>2811</v>
      </c>
      <c r="X182" s="208" t="s">
        <v>2193</v>
      </c>
      <c r="Y182" s="209" t="s">
        <v>164</v>
      </c>
      <c r="DW182" s="411"/>
      <c r="DX182" s="239" t="s">
        <v>2831</v>
      </c>
      <c r="DY182" s="411"/>
    </row>
    <row r="183" spans="1:129" s="208" customFormat="1" ht="15">
      <c r="A183" s="208" t="s">
        <v>2824</v>
      </c>
      <c r="B183" s="208" t="s">
        <v>2816</v>
      </c>
      <c r="C183" s="208" t="s">
        <v>57</v>
      </c>
      <c r="D183" s="208" t="s">
        <v>2816</v>
      </c>
      <c r="E183" s="208" t="s">
        <v>50</v>
      </c>
      <c r="F183" s="208" t="s">
        <v>2885</v>
      </c>
      <c r="G183" s="348" t="s">
        <v>3102</v>
      </c>
      <c r="H183" s="348" t="s">
        <v>3102</v>
      </c>
      <c r="I183" s="348" t="s">
        <v>3102</v>
      </c>
      <c r="J183" s="348" t="s">
        <v>3102</v>
      </c>
      <c r="K183" s="348" t="s">
        <v>3102</v>
      </c>
      <c r="L183" s="208" t="s">
        <v>2865</v>
      </c>
      <c r="M183" s="208" t="s">
        <v>2188</v>
      </c>
      <c r="N183" s="208" t="s">
        <v>2826</v>
      </c>
      <c r="O183" s="208" t="s">
        <v>2827</v>
      </c>
      <c r="Q183" s="208" t="s">
        <v>267</v>
      </c>
      <c r="R183" s="208" t="s">
        <v>112</v>
      </c>
      <c r="T183" s="295" t="s">
        <v>2828</v>
      </c>
      <c r="U183" s="208" t="s">
        <v>687</v>
      </c>
      <c r="V183" s="208" t="s">
        <v>2865</v>
      </c>
      <c r="W183" s="208" t="s">
        <v>2811</v>
      </c>
      <c r="X183" s="208" t="s">
        <v>2193</v>
      </c>
      <c r="Y183" s="209" t="s">
        <v>165</v>
      </c>
      <c r="DW183" s="411"/>
      <c r="DX183" s="239" t="s">
        <v>2831</v>
      </c>
      <c r="DY183" s="411"/>
    </row>
    <row r="184" spans="1:129" s="208" customFormat="1" ht="15">
      <c r="A184" s="208" t="s">
        <v>2824</v>
      </c>
      <c r="B184" s="208" t="s">
        <v>2816</v>
      </c>
      <c r="C184" s="208" t="s">
        <v>57</v>
      </c>
      <c r="D184" s="208" t="s">
        <v>2816</v>
      </c>
      <c r="E184" s="208" t="s">
        <v>50</v>
      </c>
      <c r="F184" s="208" t="s">
        <v>2886</v>
      </c>
      <c r="G184" s="348" t="s">
        <v>3102</v>
      </c>
      <c r="H184" s="348" t="s">
        <v>3102</v>
      </c>
      <c r="I184" s="348" t="s">
        <v>3102</v>
      </c>
      <c r="J184" s="348" t="s">
        <v>3102</v>
      </c>
      <c r="K184" s="348" t="s">
        <v>3102</v>
      </c>
      <c r="L184" s="208" t="s">
        <v>2865</v>
      </c>
      <c r="M184" s="208" t="s">
        <v>2188</v>
      </c>
      <c r="N184" s="208" t="s">
        <v>2826</v>
      </c>
      <c r="O184" s="208" t="s">
        <v>2827</v>
      </c>
      <c r="Q184" s="208" t="s">
        <v>267</v>
      </c>
      <c r="R184" s="208" t="s">
        <v>112</v>
      </c>
      <c r="T184" s="295" t="s">
        <v>2828</v>
      </c>
      <c r="U184" s="208" t="s">
        <v>688</v>
      </c>
      <c r="V184" s="208" t="s">
        <v>2865</v>
      </c>
      <c r="W184" s="208" t="s">
        <v>2811</v>
      </c>
      <c r="X184" s="208" t="s">
        <v>2193</v>
      </c>
      <c r="Y184" s="209" t="s">
        <v>166</v>
      </c>
      <c r="DW184" s="411"/>
      <c r="DX184" s="239" t="s">
        <v>2831</v>
      </c>
      <c r="DY184" s="411"/>
    </row>
    <row r="185" spans="1:129" s="208" customFormat="1" ht="15">
      <c r="A185" s="208" t="s">
        <v>2824</v>
      </c>
      <c r="B185" s="208" t="s">
        <v>2816</v>
      </c>
      <c r="C185" s="208" t="s">
        <v>57</v>
      </c>
      <c r="D185" s="208" t="s">
        <v>2816</v>
      </c>
      <c r="E185" s="208" t="s">
        <v>50</v>
      </c>
      <c r="F185" s="208" t="s">
        <v>2887</v>
      </c>
      <c r="G185" s="348" t="s">
        <v>3102</v>
      </c>
      <c r="H185" s="348" t="s">
        <v>3102</v>
      </c>
      <c r="I185" s="348" t="s">
        <v>3102</v>
      </c>
      <c r="J185" s="348" t="s">
        <v>3102</v>
      </c>
      <c r="K185" s="348" t="s">
        <v>3102</v>
      </c>
      <c r="L185" s="208" t="s">
        <v>2865</v>
      </c>
      <c r="M185" s="208" t="s">
        <v>2188</v>
      </c>
      <c r="N185" s="208" t="s">
        <v>2826</v>
      </c>
      <c r="O185" s="208" t="s">
        <v>2827</v>
      </c>
      <c r="Q185" s="208" t="s">
        <v>267</v>
      </c>
      <c r="R185" s="208" t="s">
        <v>112</v>
      </c>
      <c r="T185" s="295" t="s">
        <v>2828</v>
      </c>
      <c r="U185" s="208" t="s">
        <v>689</v>
      </c>
      <c r="V185" s="208" t="s">
        <v>2865</v>
      </c>
      <c r="W185" s="208" t="s">
        <v>2811</v>
      </c>
      <c r="X185" s="208" t="s">
        <v>2193</v>
      </c>
      <c r="Y185" s="209" t="s">
        <v>167</v>
      </c>
      <c r="DW185" s="411"/>
      <c r="DX185" s="239" t="s">
        <v>2831</v>
      </c>
      <c r="DY185" s="411"/>
    </row>
    <row r="186" spans="1:129" s="208" customFormat="1" ht="15">
      <c r="A186" s="208" t="s">
        <v>2824</v>
      </c>
      <c r="B186" s="208" t="s">
        <v>2816</v>
      </c>
      <c r="C186" s="208" t="s">
        <v>57</v>
      </c>
      <c r="D186" s="208" t="s">
        <v>2816</v>
      </c>
      <c r="E186" s="208" t="s">
        <v>50</v>
      </c>
      <c r="F186" s="208" t="s">
        <v>2888</v>
      </c>
      <c r="G186" s="348" t="s">
        <v>3102</v>
      </c>
      <c r="H186" s="348" t="s">
        <v>3102</v>
      </c>
      <c r="I186" s="348" t="s">
        <v>3102</v>
      </c>
      <c r="J186" s="348" t="s">
        <v>3102</v>
      </c>
      <c r="K186" s="348" t="s">
        <v>3102</v>
      </c>
      <c r="L186" s="208" t="s">
        <v>2865</v>
      </c>
      <c r="M186" s="208" t="s">
        <v>2188</v>
      </c>
      <c r="N186" s="208" t="s">
        <v>2826</v>
      </c>
      <c r="O186" s="208" t="s">
        <v>2827</v>
      </c>
      <c r="Q186" s="208" t="s">
        <v>267</v>
      </c>
      <c r="R186" s="208" t="s">
        <v>112</v>
      </c>
      <c r="T186" s="295" t="s">
        <v>2828</v>
      </c>
      <c r="U186" s="208" t="s">
        <v>690</v>
      </c>
      <c r="V186" s="208" t="s">
        <v>2865</v>
      </c>
      <c r="W186" s="208" t="s">
        <v>2811</v>
      </c>
      <c r="X186" s="208" t="s">
        <v>2193</v>
      </c>
      <c r="Y186" s="209" t="s">
        <v>168</v>
      </c>
      <c r="DW186" s="411"/>
      <c r="DX186" s="239" t="s">
        <v>2831</v>
      </c>
      <c r="DY186" s="411"/>
    </row>
    <row r="187" spans="1:129" s="208" customFormat="1" ht="15">
      <c r="A187" s="208" t="s">
        <v>2824</v>
      </c>
      <c r="B187" s="208" t="s">
        <v>2816</v>
      </c>
      <c r="C187" s="208" t="s">
        <v>57</v>
      </c>
      <c r="D187" s="208" t="s">
        <v>2816</v>
      </c>
      <c r="E187" s="208" t="s">
        <v>50</v>
      </c>
      <c r="F187" s="208" t="s">
        <v>2889</v>
      </c>
      <c r="G187" s="348" t="s">
        <v>3102</v>
      </c>
      <c r="H187" s="348" t="s">
        <v>3102</v>
      </c>
      <c r="I187" s="348" t="s">
        <v>3102</v>
      </c>
      <c r="J187" s="348" t="s">
        <v>3102</v>
      </c>
      <c r="K187" s="348" t="s">
        <v>3102</v>
      </c>
      <c r="L187" s="208" t="s">
        <v>2865</v>
      </c>
      <c r="M187" s="208" t="s">
        <v>2188</v>
      </c>
      <c r="N187" s="208" t="s">
        <v>2826</v>
      </c>
      <c r="O187" s="208" t="s">
        <v>2827</v>
      </c>
      <c r="Q187" s="208" t="s">
        <v>267</v>
      </c>
      <c r="R187" s="208" t="s">
        <v>112</v>
      </c>
      <c r="T187" s="295" t="s">
        <v>2828</v>
      </c>
      <c r="U187" s="208" t="s">
        <v>691</v>
      </c>
      <c r="V187" s="208" t="s">
        <v>2865</v>
      </c>
      <c r="W187" s="208" t="s">
        <v>2811</v>
      </c>
      <c r="X187" s="208" t="s">
        <v>2193</v>
      </c>
      <c r="Y187" s="209" t="s">
        <v>169</v>
      </c>
      <c r="DW187" s="411"/>
      <c r="DX187" s="239" t="s">
        <v>2831</v>
      </c>
      <c r="DY187" s="411"/>
    </row>
    <row r="188" spans="1:129" s="208" customFormat="1" ht="15">
      <c r="A188" s="208" t="s">
        <v>2824</v>
      </c>
      <c r="B188" s="208" t="s">
        <v>2816</v>
      </c>
      <c r="C188" s="208" t="s">
        <v>57</v>
      </c>
      <c r="D188" s="208" t="s">
        <v>2816</v>
      </c>
      <c r="E188" s="208" t="s">
        <v>50</v>
      </c>
      <c r="F188" s="208" t="s">
        <v>2890</v>
      </c>
      <c r="G188" s="348" t="s">
        <v>3102</v>
      </c>
      <c r="H188" s="348" t="s">
        <v>3102</v>
      </c>
      <c r="I188" s="348" t="s">
        <v>3102</v>
      </c>
      <c r="J188" s="348" t="s">
        <v>3102</v>
      </c>
      <c r="K188" s="348" t="s">
        <v>3102</v>
      </c>
      <c r="L188" s="208" t="s">
        <v>2865</v>
      </c>
      <c r="M188" s="208" t="s">
        <v>2188</v>
      </c>
      <c r="N188" s="208" t="s">
        <v>2826</v>
      </c>
      <c r="O188" s="208" t="s">
        <v>2827</v>
      </c>
      <c r="Q188" s="208" t="s">
        <v>267</v>
      </c>
      <c r="R188" s="208" t="s">
        <v>112</v>
      </c>
      <c r="T188" s="295" t="s">
        <v>2828</v>
      </c>
      <c r="U188" s="208" t="s">
        <v>692</v>
      </c>
      <c r="V188" s="208" t="s">
        <v>2865</v>
      </c>
      <c r="W188" s="208" t="s">
        <v>2811</v>
      </c>
      <c r="X188" s="208" t="s">
        <v>2193</v>
      </c>
      <c r="Y188" s="209" t="s">
        <v>170</v>
      </c>
      <c r="DW188" s="411"/>
      <c r="DX188" s="239" t="s">
        <v>2831</v>
      </c>
      <c r="DY188" s="411"/>
    </row>
    <row r="189" spans="1:129" s="208" customFormat="1" ht="15">
      <c r="A189" s="208" t="s">
        <v>2824</v>
      </c>
      <c r="B189" s="208" t="s">
        <v>2816</v>
      </c>
      <c r="C189" s="208" t="s">
        <v>57</v>
      </c>
      <c r="D189" s="208" t="s">
        <v>2816</v>
      </c>
      <c r="E189" s="208" t="s">
        <v>50</v>
      </c>
      <c r="F189" s="208" t="s">
        <v>2891</v>
      </c>
      <c r="G189" s="348" t="s">
        <v>3102</v>
      </c>
      <c r="H189" s="348" t="s">
        <v>3102</v>
      </c>
      <c r="I189" s="348" t="s">
        <v>3102</v>
      </c>
      <c r="J189" s="348" t="s">
        <v>3102</v>
      </c>
      <c r="K189" s="348" t="s">
        <v>3102</v>
      </c>
      <c r="L189" s="208" t="s">
        <v>2865</v>
      </c>
      <c r="M189" s="208" t="s">
        <v>2188</v>
      </c>
      <c r="N189" s="208" t="s">
        <v>2826</v>
      </c>
      <c r="O189" s="208" t="s">
        <v>2827</v>
      </c>
      <c r="Q189" s="208" t="s">
        <v>267</v>
      </c>
      <c r="R189" s="208" t="s">
        <v>112</v>
      </c>
      <c r="T189" s="295" t="s">
        <v>2828</v>
      </c>
      <c r="U189" s="208" t="s">
        <v>693</v>
      </c>
      <c r="V189" s="208" t="s">
        <v>2865</v>
      </c>
      <c r="W189" s="208" t="s">
        <v>2811</v>
      </c>
      <c r="X189" s="208" t="s">
        <v>2193</v>
      </c>
      <c r="Y189" s="209" t="s">
        <v>171</v>
      </c>
      <c r="DW189" s="411"/>
      <c r="DX189" s="239" t="s">
        <v>2831</v>
      </c>
      <c r="DY189" s="411"/>
    </row>
    <row r="190" spans="1:129" s="208" customFormat="1" ht="15">
      <c r="A190" s="208" t="s">
        <v>2824</v>
      </c>
      <c r="B190" s="208" t="s">
        <v>2816</v>
      </c>
      <c r="C190" s="208" t="s">
        <v>57</v>
      </c>
      <c r="D190" s="208" t="s">
        <v>2816</v>
      </c>
      <c r="E190" s="208" t="s">
        <v>50</v>
      </c>
      <c r="F190" s="208" t="s">
        <v>2892</v>
      </c>
      <c r="G190" s="348" t="s">
        <v>3102</v>
      </c>
      <c r="H190" s="348" t="s">
        <v>3102</v>
      </c>
      <c r="I190" s="348" t="s">
        <v>3102</v>
      </c>
      <c r="J190" s="348" t="s">
        <v>3102</v>
      </c>
      <c r="K190" s="348" t="s">
        <v>3102</v>
      </c>
      <c r="L190" s="208" t="s">
        <v>2865</v>
      </c>
      <c r="M190" s="208" t="s">
        <v>2188</v>
      </c>
      <c r="N190" s="208" t="s">
        <v>2826</v>
      </c>
      <c r="O190" s="208" t="s">
        <v>2827</v>
      </c>
      <c r="Q190" s="208" t="s">
        <v>267</v>
      </c>
      <c r="R190" s="208" t="s">
        <v>112</v>
      </c>
      <c r="T190" s="295" t="s">
        <v>2828</v>
      </c>
      <c r="U190" s="208" t="s">
        <v>694</v>
      </c>
      <c r="V190" s="208" t="s">
        <v>2865</v>
      </c>
      <c r="W190" s="208" t="s">
        <v>2811</v>
      </c>
      <c r="X190" s="208" t="s">
        <v>2193</v>
      </c>
      <c r="Y190" s="209" t="s">
        <v>172</v>
      </c>
      <c r="DW190" s="411"/>
      <c r="DX190" s="239" t="s">
        <v>2831</v>
      </c>
      <c r="DY190" s="411"/>
    </row>
    <row r="191" spans="1:129" s="208" customFormat="1" ht="15">
      <c r="A191" s="208" t="s">
        <v>2824</v>
      </c>
      <c r="B191" s="208" t="s">
        <v>2816</v>
      </c>
      <c r="C191" s="208" t="s">
        <v>57</v>
      </c>
      <c r="D191" s="208" t="s">
        <v>2816</v>
      </c>
      <c r="E191" s="208" t="s">
        <v>50</v>
      </c>
      <c r="F191" s="208" t="s">
        <v>2893</v>
      </c>
      <c r="G191" s="348" t="s">
        <v>3102</v>
      </c>
      <c r="H191" s="348" t="s">
        <v>3102</v>
      </c>
      <c r="I191" s="348" t="s">
        <v>3102</v>
      </c>
      <c r="J191" s="348" t="s">
        <v>3102</v>
      </c>
      <c r="K191" s="348" t="s">
        <v>3102</v>
      </c>
      <c r="L191" s="208" t="s">
        <v>2865</v>
      </c>
      <c r="M191" s="208" t="s">
        <v>2188</v>
      </c>
      <c r="N191" s="208" t="s">
        <v>2826</v>
      </c>
      <c r="O191" s="208" t="s">
        <v>2827</v>
      </c>
      <c r="Q191" s="208" t="s">
        <v>267</v>
      </c>
      <c r="R191" s="208" t="s">
        <v>112</v>
      </c>
      <c r="T191" s="295" t="s">
        <v>2828</v>
      </c>
      <c r="U191" s="208" t="s">
        <v>695</v>
      </c>
      <c r="V191" s="208" t="s">
        <v>2865</v>
      </c>
      <c r="W191" s="208" t="s">
        <v>2811</v>
      </c>
      <c r="X191" s="208" t="s">
        <v>2193</v>
      </c>
      <c r="Y191" s="209" t="s">
        <v>173</v>
      </c>
      <c r="DW191" s="411"/>
      <c r="DX191" s="239" t="s">
        <v>2831</v>
      </c>
      <c r="DY191" s="411"/>
    </row>
    <row r="192" spans="1:129" s="208" customFormat="1" ht="15">
      <c r="A192" s="208" t="s">
        <v>2824</v>
      </c>
      <c r="B192" s="208" t="s">
        <v>2816</v>
      </c>
      <c r="C192" s="208" t="s">
        <v>57</v>
      </c>
      <c r="D192" s="208" t="s">
        <v>2816</v>
      </c>
      <c r="E192" s="208" t="s">
        <v>50</v>
      </c>
      <c r="F192" s="208" t="s">
        <v>2894</v>
      </c>
      <c r="G192" s="348" t="s">
        <v>3102</v>
      </c>
      <c r="H192" s="348" t="s">
        <v>3102</v>
      </c>
      <c r="I192" s="348" t="s">
        <v>3102</v>
      </c>
      <c r="J192" s="348" t="s">
        <v>3102</v>
      </c>
      <c r="K192" s="348" t="s">
        <v>3102</v>
      </c>
      <c r="L192" s="208" t="s">
        <v>2865</v>
      </c>
      <c r="M192" s="208" t="s">
        <v>2188</v>
      </c>
      <c r="N192" s="208" t="s">
        <v>2826</v>
      </c>
      <c r="O192" s="208" t="s">
        <v>2827</v>
      </c>
      <c r="Q192" s="208" t="s">
        <v>267</v>
      </c>
      <c r="R192" s="208" t="s">
        <v>112</v>
      </c>
      <c r="T192" s="295" t="s">
        <v>2828</v>
      </c>
      <c r="U192" s="208" t="s">
        <v>696</v>
      </c>
      <c r="V192" s="208" t="s">
        <v>2865</v>
      </c>
      <c r="W192" s="208" t="s">
        <v>2811</v>
      </c>
      <c r="X192" s="208" t="s">
        <v>2193</v>
      </c>
      <c r="Y192" s="209" t="s">
        <v>174</v>
      </c>
      <c r="DW192" s="411"/>
      <c r="DX192" s="239" t="s">
        <v>2831</v>
      </c>
      <c r="DY192" s="411"/>
    </row>
    <row r="193" spans="1:130" s="208" customFormat="1" ht="15">
      <c r="A193" s="208" t="s">
        <v>2824</v>
      </c>
      <c r="B193" s="208" t="s">
        <v>2816</v>
      </c>
      <c r="C193" s="208" t="s">
        <v>57</v>
      </c>
      <c r="D193" s="208" t="s">
        <v>2816</v>
      </c>
      <c r="E193" s="208" t="s">
        <v>50</v>
      </c>
      <c r="F193" s="208" t="s">
        <v>2895</v>
      </c>
      <c r="G193" s="348" t="s">
        <v>3102</v>
      </c>
      <c r="H193" s="348" t="s">
        <v>3102</v>
      </c>
      <c r="I193" s="348" t="s">
        <v>3102</v>
      </c>
      <c r="J193" s="348" t="s">
        <v>3102</v>
      </c>
      <c r="K193" s="348" t="s">
        <v>3102</v>
      </c>
      <c r="L193" s="208" t="s">
        <v>2865</v>
      </c>
      <c r="M193" s="208" t="s">
        <v>2188</v>
      </c>
      <c r="N193" s="208" t="s">
        <v>2826</v>
      </c>
      <c r="O193" s="208" t="s">
        <v>2827</v>
      </c>
      <c r="Q193" s="208" t="s">
        <v>267</v>
      </c>
      <c r="R193" s="208" t="s">
        <v>112</v>
      </c>
      <c r="T193" s="295" t="s">
        <v>2828</v>
      </c>
      <c r="U193" s="208" t="s">
        <v>697</v>
      </c>
      <c r="V193" s="208" t="s">
        <v>2865</v>
      </c>
      <c r="W193" s="208" t="s">
        <v>2811</v>
      </c>
      <c r="X193" s="208" t="s">
        <v>2193</v>
      </c>
      <c r="Y193" s="209" t="s">
        <v>175</v>
      </c>
      <c r="DW193" s="411"/>
      <c r="DX193" s="239" t="s">
        <v>2831</v>
      </c>
      <c r="DY193" s="411"/>
    </row>
    <row r="194" spans="1:130" s="208" customFormat="1" ht="15">
      <c r="A194" s="208" t="s">
        <v>2824</v>
      </c>
      <c r="B194" s="208" t="s">
        <v>2816</v>
      </c>
      <c r="C194" s="208" t="s">
        <v>57</v>
      </c>
      <c r="D194" s="208" t="s">
        <v>2816</v>
      </c>
      <c r="E194" s="208" t="s">
        <v>50</v>
      </c>
      <c r="F194" s="208" t="s">
        <v>2896</v>
      </c>
      <c r="G194" s="348" t="s">
        <v>3102</v>
      </c>
      <c r="H194" s="348" t="s">
        <v>3102</v>
      </c>
      <c r="I194" s="348" t="s">
        <v>3102</v>
      </c>
      <c r="J194" s="348" t="s">
        <v>3102</v>
      </c>
      <c r="K194" s="348" t="s">
        <v>3102</v>
      </c>
      <c r="L194" s="208" t="s">
        <v>2865</v>
      </c>
      <c r="M194" s="208" t="s">
        <v>2188</v>
      </c>
      <c r="N194" s="208" t="s">
        <v>2826</v>
      </c>
      <c r="O194" s="208" t="s">
        <v>2827</v>
      </c>
      <c r="Q194" s="208" t="s">
        <v>267</v>
      </c>
      <c r="R194" s="208" t="s">
        <v>112</v>
      </c>
      <c r="T194" s="295" t="s">
        <v>2828</v>
      </c>
      <c r="U194" s="208" t="s">
        <v>698</v>
      </c>
      <c r="V194" s="208" t="s">
        <v>2865</v>
      </c>
      <c r="W194" s="208" t="s">
        <v>2811</v>
      </c>
      <c r="X194" s="208" t="s">
        <v>2193</v>
      </c>
      <c r="Y194" s="209" t="s">
        <v>176</v>
      </c>
      <c r="DW194" s="411"/>
      <c r="DX194" s="239" t="s">
        <v>2831</v>
      </c>
      <c r="DY194" s="411"/>
    </row>
    <row r="195" spans="1:130" s="208" customFormat="1" ht="15">
      <c r="A195" s="208" t="s">
        <v>2824</v>
      </c>
      <c r="B195" s="208" t="s">
        <v>2816</v>
      </c>
      <c r="C195" s="208" t="s">
        <v>57</v>
      </c>
      <c r="D195" s="208" t="s">
        <v>2816</v>
      </c>
      <c r="E195" s="208" t="s">
        <v>50</v>
      </c>
      <c r="F195" s="208" t="s">
        <v>2897</v>
      </c>
      <c r="G195" s="348" t="s">
        <v>3102</v>
      </c>
      <c r="H195" s="348" t="s">
        <v>3102</v>
      </c>
      <c r="I195" s="348" t="s">
        <v>3102</v>
      </c>
      <c r="J195" s="348" t="s">
        <v>3102</v>
      </c>
      <c r="K195" s="348" t="s">
        <v>3102</v>
      </c>
      <c r="L195" s="208" t="s">
        <v>2865</v>
      </c>
      <c r="M195" s="208" t="s">
        <v>2188</v>
      </c>
      <c r="N195" s="208" t="s">
        <v>2826</v>
      </c>
      <c r="O195" s="208" t="s">
        <v>2827</v>
      </c>
      <c r="Q195" s="208" t="s">
        <v>267</v>
      </c>
      <c r="R195" s="208" t="s">
        <v>112</v>
      </c>
      <c r="T195" s="295" t="s">
        <v>2828</v>
      </c>
      <c r="U195" s="208" t="s">
        <v>699</v>
      </c>
      <c r="V195" s="208" t="s">
        <v>2865</v>
      </c>
      <c r="W195" s="208" t="s">
        <v>2811</v>
      </c>
      <c r="X195" s="208" t="s">
        <v>2193</v>
      </c>
      <c r="Y195" s="209" t="s">
        <v>177</v>
      </c>
      <c r="DW195" s="411"/>
      <c r="DX195" s="239" t="s">
        <v>2831</v>
      </c>
      <c r="DY195" s="411"/>
    </row>
    <row r="196" spans="1:130" s="208" customFormat="1" ht="15">
      <c r="A196" s="208" t="s">
        <v>2824</v>
      </c>
      <c r="B196" s="208" t="s">
        <v>2816</v>
      </c>
      <c r="C196" s="208" t="s">
        <v>57</v>
      </c>
      <c r="D196" s="208" t="s">
        <v>2816</v>
      </c>
      <c r="E196" s="208" t="s">
        <v>50</v>
      </c>
      <c r="F196" s="208" t="s">
        <v>2898</v>
      </c>
      <c r="G196" s="348" t="s">
        <v>3102</v>
      </c>
      <c r="H196" s="348" t="s">
        <v>3102</v>
      </c>
      <c r="I196" s="348" t="s">
        <v>3102</v>
      </c>
      <c r="J196" s="348" t="s">
        <v>3102</v>
      </c>
      <c r="K196" s="348" t="s">
        <v>3102</v>
      </c>
      <c r="L196" s="208" t="s">
        <v>2865</v>
      </c>
      <c r="M196" s="208" t="s">
        <v>2188</v>
      </c>
      <c r="N196" s="208" t="s">
        <v>2826</v>
      </c>
      <c r="O196" s="208" t="s">
        <v>2827</v>
      </c>
      <c r="Q196" s="208" t="s">
        <v>267</v>
      </c>
      <c r="R196" s="208" t="s">
        <v>112</v>
      </c>
      <c r="T196" s="295" t="s">
        <v>2828</v>
      </c>
      <c r="U196" s="208" t="s">
        <v>700</v>
      </c>
      <c r="V196" s="208" t="s">
        <v>2865</v>
      </c>
      <c r="W196" s="208" t="s">
        <v>2811</v>
      </c>
      <c r="X196" s="208" t="s">
        <v>2193</v>
      </c>
      <c r="Y196" s="209" t="s">
        <v>178</v>
      </c>
      <c r="DW196" s="411"/>
      <c r="DX196" s="239" t="s">
        <v>2831</v>
      </c>
      <c r="DY196" s="411"/>
    </row>
    <row r="197" spans="1:130" s="208" customFormat="1" ht="15">
      <c r="A197" s="208" t="s">
        <v>2824</v>
      </c>
      <c r="B197" s="208" t="s">
        <v>2816</v>
      </c>
      <c r="C197" s="208" t="s">
        <v>57</v>
      </c>
      <c r="D197" s="208" t="s">
        <v>2816</v>
      </c>
      <c r="E197" s="208" t="s">
        <v>50</v>
      </c>
      <c r="F197" s="208" t="s">
        <v>2899</v>
      </c>
      <c r="G197" s="348" t="s">
        <v>3102</v>
      </c>
      <c r="H197" s="348" t="s">
        <v>3102</v>
      </c>
      <c r="I197" s="348" t="s">
        <v>3102</v>
      </c>
      <c r="J197" s="348" t="s">
        <v>3102</v>
      </c>
      <c r="K197" s="348" t="s">
        <v>3102</v>
      </c>
      <c r="L197" s="208" t="s">
        <v>2865</v>
      </c>
      <c r="M197" s="208" t="s">
        <v>2188</v>
      </c>
      <c r="N197" s="208" t="s">
        <v>2826</v>
      </c>
      <c r="O197" s="208" t="s">
        <v>2827</v>
      </c>
      <c r="Q197" s="208" t="s">
        <v>267</v>
      </c>
      <c r="R197" s="208" t="s">
        <v>112</v>
      </c>
      <c r="T197" s="295" t="s">
        <v>2900</v>
      </c>
      <c r="U197" s="208" t="str">
        <f t="shared" ref="U197:U205" si="3">LOWER(F197)</f>
        <v>ddr_dqs0_p</v>
      </c>
      <c r="V197" s="208" t="s">
        <v>2865</v>
      </c>
      <c r="W197" s="208" t="s">
        <v>2811</v>
      </c>
      <c r="X197" s="208" t="s">
        <v>2193</v>
      </c>
      <c r="Y197" s="209" t="s">
        <v>2901</v>
      </c>
      <c r="DW197" s="411"/>
      <c r="DX197" s="239" t="s">
        <v>2831</v>
      </c>
      <c r="DY197" s="411"/>
    </row>
    <row r="198" spans="1:130" s="208" customFormat="1" ht="15">
      <c r="A198" s="208" t="s">
        <v>2824</v>
      </c>
      <c r="B198" s="208" t="s">
        <v>2816</v>
      </c>
      <c r="C198" s="208" t="s">
        <v>57</v>
      </c>
      <c r="D198" s="208" t="s">
        <v>2816</v>
      </c>
      <c r="E198" s="208" t="s">
        <v>50</v>
      </c>
      <c r="F198" s="208" t="s">
        <v>2902</v>
      </c>
      <c r="G198" s="348" t="s">
        <v>3102</v>
      </c>
      <c r="H198" s="348" t="s">
        <v>3102</v>
      </c>
      <c r="I198" s="348" t="s">
        <v>3102</v>
      </c>
      <c r="J198" s="348" t="s">
        <v>3102</v>
      </c>
      <c r="K198" s="348" t="s">
        <v>3102</v>
      </c>
      <c r="L198" s="208" t="s">
        <v>2865</v>
      </c>
      <c r="M198" s="208" t="s">
        <v>2188</v>
      </c>
      <c r="N198" s="208" t="s">
        <v>2826</v>
      </c>
      <c r="O198" s="208" t="s">
        <v>2827</v>
      </c>
      <c r="Q198" s="208" t="s">
        <v>267</v>
      </c>
      <c r="R198" s="208" t="s">
        <v>112</v>
      </c>
      <c r="T198" s="295" t="s">
        <v>2900</v>
      </c>
      <c r="U198" s="208" t="str">
        <f t="shared" si="3"/>
        <v>ddr_dqs0_n</v>
      </c>
      <c r="V198" s="208" t="s">
        <v>2865</v>
      </c>
      <c r="W198" s="208" t="s">
        <v>2811</v>
      </c>
      <c r="X198" s="208" t="s">
        <v>2193</v>
      </c>
      <c r="Y198" s="209" t="s">
        <v>2903</v>
      </c>
      <c r="DW198" s="411"/>
      <c r="DX198" s="239" t="s">
        <v>2831</v>
      </c>
      <c r="DY198" s="411"/>
    </row>
    <row r="199" spans="1:130" s="208" customFormat="1" ht="15">
      <c r="A199" s="208" t="s">
        <v>2824</v>
      </c>
      <c r="B199" s="208" t="s">
        <v>2816</v>
      </c>
      <c r="C199" s="208" t="s">
        <v>57</v>
      </c>
      <c r="D199" s="208" t="s">
        <v>2816</v>
      </c>
      <c r="E199" s="208" t="s">
        <v>50</v>
      </c>
      <c r="F199" s="208" t="s">
        <v>2904</v>
      </c>
      <c r="G199" s="348" t="s">
        <v>3102</v>
      </c>
      <c r="H199" s="348" t="s">
        <v>3102</v>
      </c>
      <c r="I199" s="348" t="s">
        <v>3102</v>
      </c>
      <c r="J199" s="348" t="s">
        <v>3102</v>
      </c>
      <c r="K199" s="348" t="s">
        <v>3102</v>
      </c>
      <c r="L199" s="208" t="s">
        <v>2865</v>
      </c>
      <c r="M199" s="208" t="s">
        <v>2188</v>
      </c>
      <c r="N199" s="208" t="s">
        <v>2826</v>
      </c>
      <c r="O199" s="208" t="s">
        <v>2827</v>
      </c>
      <c r="Q199" s="208" t="s">
        <v>267</v>
      </c>
      <c r="R199" s="208" t="s">
        <v>112</v>
      </c>
      <c r="T199" s="295" t="s">
        <v>2900</v>
      </c>
      <c r="U199" s="208" t="str">
        <f t="shared" si="3"/>
        <v>ddr_dqs1_p</v>
      </c>
      <c r="V199" s="208" t="s">
        <v>2865</v>
      </c>
      <c r="W199" s="208" t="s">
        <v>2811</v>
      </c>
      <c r="X199" s="208" t="s">
        <v>2193</v>
      </c>
      <c r="Y199" s="209" t="s">
        <v>2905</v>
      </c>
      <c r="DW199" s="411"/>
      <c r="DX199" s="239" t="s">
        <v>2831</v>
      </c>
      <c r="DY199" s="411"/>
    </row>
    <row r="200" spans="1:130" s="208" customFormat="1" ht="15">
      <c r="A200" s="208" t="s">
        <v>2824</v>
      </c>
      <c r="B200" s="208" t="s">
        <v>2816</v>
      </c>
      <c r="C200" s="208" t="s">
        <v>57</v>
      </c>
      <c r="D200" s="208" t="s">
        <v>2816</v>
      </c>
      <c r="E200" s="208" t="s">
        <v>50</v>
      </c>
      <c r="F200" s="208" t="s">
        <v>2906</v>
      </c>
      <c r="G200" s="348" t="s">
        <v>3102</v>
      </c>
      <c r="H200" s="348" t="s">
        <v>3102</v>
      </c>
      <c r="I200" s="348" t="s">
        <v>3102</v>
      </c>
      <c r="J200" s="348" t="s">
        <v>3102</v>
      </c>
      <c r="K200" s="348" t="s">
        <v>3102</v>
      </c>
      <c r="L200" s="208" t="s">
        <v>2865</v>
      </c>
      <c r="M200" s="208" t="s">
        <v>2188</v>
      </c>
      <c r="N200" s="208" t="s">
        <v>2826</v>
      </c>
      <c r="O200" s="208" t="s">
        <v>2827</v>
      </c>
      <c r="Q200" s="208" t="s">
        <v>267</v>
      </c>
      <c r="R200" s="208" t="s">
        <v>112</v>
      </c>
      <c r="T200" s="295" t="s">
        <v>2900</v>
      </c>
      <c r="U200" s="208" t="str">
        <f t="shared" si="3"/>
        <v>ddr_dqs1_n</v>
      </c>
      <c r="V200" s="208" t="s">
        <v>2865</v>
      </c>
      <c r="W200" s="208" t="s">
        <v>2811</v>
      </c>
      <c r="X200" s="208" t="s">
        <v>2193</v>
      </c>
      <c r="Y200" s="209" t="s">
        <v>2907</v>
      </c>
      <c r="DW200" s="411"/>
      <c r="DX200" s="239" t="s">
        <v>2831</v>
      </c>
      <c r="DY200" s="411"/>
    </row>
    <row r="201" spans="1:130" s="208" customFormat="1" ht="15">
      <c r="A201" s="208" t="s">
        <v>2824</v>
      </c>
      <c r="B201" s="208" t="s">
        <v>2816</v>
      </c>
      <c r="C201" s="208" t="s">
        <v>57</v>
      </c>
      <c r="D201" s="208" t="s">
        <v>2816</v>
      </c>
      <c r="E201" s="208" t="s">
        <v>50</v>
      </c>
      <c r="F201" s="208" t="s">
        <v>2908</v>
      </c>
      <c r="G201" s="348" t="s">
        <v>3102</v>
      </c>
      <c r="H201" s="348" t="s">
        <v>3102</v>
      </c>
      <c r="I201" s="348" t="s">
        <v>3102</v>
      </c>
      <c r="J201" s="348" t="s">
        <v>3102</v>
      </c>
      <c r="K201" s="348" t="s">
        <v>3102</v>
      </c>
      <c r="L201" s="208" t="s">
        <v>2865</v>
      </c>
      <c r="M201" s="208" t="s">
        <v>2188</v>
      </c>
      <c r="N201" s="208" t="s">
        <v>2826</v>
      </c>
      <c r="O201" s="208" t="s">
        <v>2827</v>
      </c>
      <c r="Q201" s="208" t="s">
        <v>267</v>
      </c>
      <c r="R201" s="208" t="s">
        <v>112</v>
      </c>
      <c r="T201" s="295" t="s">
        <v>2900</v>
      </c>
      <c r="U201" s="208" t="str">
        <f t="shared" si="3"/>
        <v>ddr_dqs2_p</v>
      </c>
      <c r="V201" s="208" t="s">
        <v>2865</v>
      </c>
      <c r="W201" s="208" t="s">
        <v>2811</v>
      </c>
      <c r="X201" s="208" t="s">
        <v>2193</v>
      </c>
      <c r="Y201" s="209" t="s">
        <v>2909</v>
      </c>
      <c r="DW201" s="411"/>
      <c r="DX201" s="239" t="s">
        <v>2831</v>
      </c>
      <c r="DY201" s="411"/>
    </row>
    <row r="202" spans="1:130" s="208" customFormat="1" ht="15">
      <c r="A202" s="208" t="s">
        <v>2824</v>
      </c>
      <c r="B202" s="208" t="s">
        <v>2816</v>
      </c>
      <c r="C202" s="208" t="s">
        <v>57</v>
      </c>
      <c r="D202" s="208" t="s">
        <v>2816</v>
      </c>
      <c r="E202" s="208" t="s">
        <v>50</v>
      </c>
      <c r="F202" s="208" t="s">
        <v>2910</v>
      </c>
      <c r="G202" s="348" t="s">
        <v>3102</v>
      </c>
      <c r="H202" s="348" t="s">
        <v>3102</v>
      </c>
      <c r="I202" s="348" t="s">
        <v>3102</v>
      </c>
      <c r="J202" s="348" t="s">
        <v>3102</v>
      </c>
      <c r="K202" s="348" t="s">
        <v>3102</v>
      </c>
      <c r="L202" s="208" t="s">
        <v>2865</v>
      </c>
      <c r="M202" s="208" t="s">
        <v>2188</v>
      </c>
      <c r="N202" s="208" t="s">
        <v>2826</v>
      </c>
      <c r="O202" s="208" t="s">
        <v>2827</v>
      </c>
      <c r="Q202" s="208" t="s">
        <v>267</v>
      </c>
      <c r="R202" s="208" t="s">
        <v>112</v>
      </c>
      <c r="T202" s="295" t="s">
        <v>2900</v>
      </c>
      <c r="U202" s="208" t="str">
        <f t="shared" si="3"/>
        <v>ddr_dqs2_n</v>
      </c>
      <c r="V202" s="208" t="s">
        <v>2865</v>
      </c>
      <c r="W202" s="208" t="s">
        <v>2811</v>
      </c>
      <c r="X202" s="208" t="s">
        <v>2193</v>
      </c>
      <c r="Y202" s="209" t="s">
        <v>2911</v>
      </c>
      <c r="DW202" s="411"/>
      <c r="DX202" s="239" t="s">
        <v>2831</v>
      </c>
      <c r="DY202" s="411"/>
    </row>
    <row r="203" spans="1:130" s="208" customFormat="1" ht="15">
      <c r="A203" s="208" t="s">
        <v>2824</v>
      </c>
      <c r="B203" s="208" t="s">
        <v>2816</v>
      </c>
      <c r="C203" s="208" t="s">
        <v>57</v>
      </c>
      <c r="D203" s="208" t="s">
        <v>2816</v>
      </c>
      <c r="E203" s="208" t="s">
        <v>50</v>
      </c>
      <c r="F203" s="208" t="s">
        <v>2912</v>
      </c>
      <c r="G203" s="348" t="s">
        <v>3102</v>
      </c>
      <c r="H203" s="348" t="s">
        <v>3102</v>
      </c>
      <c r="I203" s="348" t="s">
        <v>3102</v>
      </c>
      <c r="J203" s="348" t="s">
        <v>3102</v>
      </c>
      <c r="K203" s="348" t="s">
        <v>3102</v>
      </c>
      <c r="L203" s="208" t="s">
        <v>2865</v>
      </c>
      <c r="M203" s="208" t="s">
        <v>2188</v>
      </c>
      <c r="N203" s="208" t="s">
        <v>2826</v>
      </c>
      <c r="O203" s="208" t="s">
        <v>2827</v>
      </c>
      <c r="Q203" s="208" t="s">
        <v>267</v>
      </c>
      <c r="R203" s="208" t="s">
        <v>112</v>
      </c>
      <c r="T203" s="295" t="s">
        <v>2900</v>
      </c>
      <c r="U203" s="208" t="str">
        <f t="shared" si="3"/>
        <v>ddr_dqs3_p</v>
      </c>
      <c r="V203" s="208" t="s">
        <v>2865</v>
      </c>
      <c r="W203" s="208" t="s">
        <v>2811</v>
      </c>
      <c r="X203" s="208" t="s">
        <v>2193</v>
      </c>
      <c r="Y203" s="209" t="s">
        <v>2913</v>
      </c>
      <c r="DW203" s="411"/>
      <c r="DX203" s="239" t="s">
        <v>2831</v>
      </c>
      <c r="DY203" s="411"/>
    </row>
    <row r="204" spans="1:130" s="208" customFormat="1" ht="15">
      <c r="A204" s="208" t="s">
        <v>2824</v>
      </c>
      <c r="B204" s="208" t="s">
        <v>2816</v>
      </c>
      <c r="C204" s="208" t="s">
        <v>57</v>
      </c>
      <c r="D204" s="208" t="s">
        <v>2816</v>
      </c>
      <c r="E204" s="208" t="s">
        <v>50</v>
      </c>
      <c r="F204" s="208" t="s">
        <v>2914</v>
      </c>
      <c r="G204" s="348" t="s">
        <v>3102</v>
      </c>
      <c r="H204" s="348" t="s">
        <v>3102</v>
      </c>
      <c r="I204" s="348" t="s">
        <v>3102</v>
      </c>
      <c r="J204" s="348" t="s">
        <v>3102</v>
      </c>
      <c r="K204" s="348" t="s">
        <v>3102</v>
      </c>
      <c r="L204" s="208" t="s">
        <v>2865</v>
      </c>
      <c r="M204" s="208" t="s">
        <v>2188</v>
      </c>
      <c r="N204" s="208" t="s">
        <v>2826</v>
      </c>
      <c r="O204" s="208" t="s">
        <v>2827</v>
      </c>
      <c r="Q204" s="208" t="s">
        <v>267</v>
      </c>
      <c r="R204" s="208" t="s">
        <v>112</v>
      </c>
      <c r="T204" s="295" t="s">
        <v>2900</v>
      </c>
      <c r="U204" s="208" t="str">
        <f t="shared" si="3"/>
        <v>ddr_dqs3_n</v>
      </c>
      <c r="V204" s="208" t="s">
        <v>2865</v>
      </c>
      <c r="W204" s="208" t="s">
        <v>2811</v>
      </c>
      <c r="X204" s="208" t="s">
        <v>2193</v>
      </c>
      <c r="Y204" s="209" t="s">
        <v>2915</v>
      </c>
      <c r="DW204" s="411"/>
      <c r="DX204" s="239" t="s">
        <v>2831</v>
      </c>
      <c r="DY204" s="411"/>
    </row>
    <row r="205" spans="1:130" s="208" customFormat="1" ht="15">
      <c r="A205" s="208" t="s">
        <v>1127</v>
      </c>
      <c r="B205" s="208" t="s">
        <v>2816</v>
      </c>
      <c r="C205" s="208" t="s">
        <v>58</v>
      </c>
      <c r="D205" s="208" t="s">
        <v>2816</v>
      </c>
      <c r="E205" s="208" t="s">
        <v>50</v>
      </c>
      <c r="F205" s="208" t="s">
        <v>2916</v>
      </c>
      <c r="G205" s="348" t="s">
        <v>3102</v>
      </c>
      <c r="H205" s="348" t="s">
        <v>3102</v>
      </c>
      <c r="I205" s="348" t="s">
        <v>3102</v>
      </c>
      <c r="J205" s="348" t="s">
        <v>3102</v>
      </c>
      <c r="K205" s="348" t="s">
        <v>3102</v>
      </c>
      <c r="L205" s="208" t="s">
        <v>135</v>
      </c>
      <c r="M205" s="208" t="s">
        <v>2176</v>
      </c>
      <c r="N205" s="208" t="s">
        <v>2826</v>
      </c>
      <c r="O205" s="208" t="s">
        <v>2827</v>
      </c>
      <c r="Q205" s="208" t="s">
        <v>267</v>
      </c>
      <c r="R205" s="208" t="s">
        <v>112</v>
      </c>
      <c r="T205" s="324" t="s">
        <v>2844</v>
      </c>
      <c r="U205" s="208" t="str">
        <f t="shared" si="3"/>
        <v>ddr_vref1</v>
      </c>
      <c r="V205" s="208" t="s">
        <v>135</v>
      </c>
      <c r="W205" s="208" t="s">
        <v>2811</v>
      </c>
      <c r="X205" s="208" t="s">
        <v>2176</v>
      </c>
      <c r="Y205" s="208" t="s">
        <v>2917</v>
      </c>
      <c r="DW205" s="411"/>
      <c r="DX205" s="239" t="s">
        <v>2831</v>
      </c>
      <c r="DY205" s="411"/>
    </row>
    <row r="206" spans="1:130" s="63" customFormat="1">
      <c r="A206" s="218" t="s">
        <v>2918</v>
      </c>
      <c r="B206" s="150"/>
      <c r="C206" s="150"/>
      <c r="D206" s="150"/>
      <c r="E206" s="150"/>
      <c r="F206" s="150"/>
      <c r="G206" s="150"/>
      <c r="H206" s="150"/>
      <c r="I206" s="150"/>
      <c r="J206" s="150"/>
      <c r="K206" s="150"/>
      <c r="L206" s="61"/>
      <c r="M206" s="61"/>
      <c r="N206" s="61"/>
      <c r="O206" s="61"/>
      <c r="P206" s="61"/>
      <c r="Q206" s="61"/>
      <c r="R206" s="61"/>
      <c r="S206" s="61"/>
      <c r="T206" s="62"/>
      <c r="U206" s="62"/>
      <c r="V206" s="175"/>
      <c r="W206" s="175"/>
      <c r="X206" s="175"/>
      <c r="Y206" s="176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75"/>
      <c r="BI206" s="175"/>
      <c r="BJ206" s="175"/>
      <c r="BK206" s="175"/>
      <c r="BL206" s="175"/>
      <c r="BM206" s="175"/>
      <c r="BN206" s="175"/>
      <c r="BO206" s="175"/>
      <c r="BP206" s="175"/>
      <c r="BQ206" s="175"/>
      <c r="BR206" s="175"/>
      <c r="BS206" s="175"/>
      <c r="BT206" s="175"/>
      <c r="BU206" s="175"/>
      <c r="BV206" s="175"/>
      <c r="BW206" s="175"/>
      <c r="BX206" s="175"/>
      <c r="BY206" s="175"/>
      <c r="BZ206" s="175"/>
      <c r="CA206" s="175"/>
      <c r="CB206" s="175"/>
      <c r="CC206" s="175"/>
      <c r="CD206" s="175"/>
      <c r="CE206" s="175"/>
      <c r="CF206" s="175"/>
      <c r="CG206" s="175"/>
      <c r="CH206" s="175"/>
      <c r="CI206" s="175"/>
      <c r="CJ206" s="175"/>
      <c r="CK206" s="175"/>
      <c r="CL206" s="175"/>
      <c r="CM206" s="175"/>
      <c r="CN206" s="175"/>
      <c r="CO206" s="175"/>
      <c r="CP206" s="175"/>
      <c r="CQ206" s="175"/>
      <c r="CR206" s="175"/>
      <c r="CS206" s="175"/>
      <c r="CT206" s="175"/>
      <c r="CU206" s="175"/>
      <c r="CV206" s="175"/>
      <c r="CW206" s="175"/>
      <c r="CX206" s="175"/>
      <c r="CY206" s="175"/>
      <c r="CZ206" s="175"/>
      <c r="DA206" s="175"/>
      <c r="DB206" s="175"/>
      <c r="DC206" s="175"/>
      <c r="DD206" s="175"/>
      <c r="DE206" s="175"/>
      <c r="DF206" s="175"/>
      <c r="DG206" s="175"/>
      <c r="DH206" s="175"/>
      <c r="DI206" s="175"/>
      <c r="DJ206" s="175"/>
      <c r="DK206" s="175"/>
      <c r="DL206" s="175"/>
      <c r="DM206" s="175"/>
      <c r="DN206" s="175"/>
      <c r="DO206" s="175"/>
      <c r="DP206" s="175"/>
      <c r="DQ206" s="175"/>
      <c r="DR206" s="175"/>
      <c r="DS206" s="175"/>
      <c r="DT206" s="175"/>
      <c r="DU206" s="175"/>
      <c r="DV206" s="175"/>
      <c r="DW206" s="323"/>
      <c r="DX206" s="323"/>
      <c r="DY206" s="323"/>
      <c r="DZ206" s="323"/>
    </row>
    <row r="207" spans="1:130" s="153" customFormat="1" ht="12.75">
      <c r="A207" s="153" t="s">
        <v>2919</v>
      </c>
      <c r="B207" s="153" t="s">
        <v>2816</v>
      </c>
      <c r="C207" s="153" t="s">
        <v>2816</v>
      </c>
      <c r="D207" s="153" t="s">
        <v>2816</v>
      </c>
      <c r="E207" s="153" t="s">
        <v>2920</v>
      </c>
      <c r="F207" s="153" t="s">
        <v>2921</v>
      </c>
      <c r="G207" s="349" t="s">
        <v>3102</v>
      </c>
      <c r="H207" s="349" t="s">
        <v>3102</v>
      </c>
      <c r="I207" s="349" t="s">
        <v>3102</v>
      </c>
      <c r="J207" s="349" t="s">
        <v>3102</v>
      </c>
      <c r="K207" s="349" t="s">
        <v>3102</v>
      </c>
      <c r="L207" s="153" t="s">
        <v>179</v>
      </c>
      <c r="M207" s="153" t="s">
        <v>2922</v>
      </c>
      <c r="N207" s="153" t="s">
        <v>2826</v>
      </c>
      <c r="O207" s="153" t="s">
        <v>2923</v>
      </c>
      <c r="Q207" s="153" t="s">
        <v>2924</v>
      </c>
      <c r="R207" s="153" t="s">
        <v>2809</v>
      </c>
      <c r="T207" s="153" t="s">
        <v>2925</v>
      </c>
      <c r="U207" s="153" t="s">
        <v>2921</v>
      </c>
      <c r="V207" s="153" t="s">
        <v>179</v>
      </c>
      <c r="W207" s="153" t="s">
        <v>265</v>
      </c>
      <c r="X207" s="153" t="s">
        <v>2922</v>
      </c>
      <c r="Y207" s="155"/>
      <c r="DW207" s="391" t="s">
        <v>2926</v>
      </c>
      <c r="DY207" s="391" t="s">
        <v>2832</v>
      </c>
    </row>
    <row r="208" spans="1:130" s="153" customFormat="1" ht="12.75">
      <c r="A208" s="153" t="s">
        <v>737</v>
      </c>
      <c r="B208" s="153" t="s">
        <v>2816</v>
      </c>
      <c r="C208" s="153" t="s">
        <v>2816</v>
      </c>
      <c r="D208" s="153" t="s">
        <v>2816</v>
      </c>
      <c r="E208" s="153" t="s">
        <v>2920</v>
      </c>
      <c r="F208" s="153" t="s">
        <v>2927</v>
      </c>
      <c r="G208" s="349" t="s">
        <v>3102</v>
      </c>
      <c r="H208" s="349" t="s">
        <v>3102</v>
      </c>
      <c r="I208" s="349" t="s">
        <v>3102</v>
      </c>
      <c r="J208" s="349" t="s">
        <v>3102</v>
      </c>
      <c r="K208" s="349" t="s">
        <v>3102</v>
      </c>
      <c r="L208" s="153" t="s">
        <v>135</v>
      </c>
      <c r="M208" s="153" t="s">
        <v>2922</v>
      </c>
      <c r="N208" s="153" t="s">
        <v>2826</v>
      </c>
      <c r="O208" s="153" t="s">
        <v>2923</v>
      </c>
      <c r="Q208" s="153" t="s">
        <v>2924</v>
      </c>
      <c r="R208" s="153" t="s">
        <v>2809</v>
      </c>
      <c r="T208" s="153" t="s">
        <v>2925</v>
      </c>
      <c r="U208" s="153" t="s">
        <v>2927</v>
      </c>
      <c r="V208" s="153" t="s">
        <v>135</v>
      </c>
      <c r="W208" s="153" t="s">
        <v>265</v>
      </c>
      <c r="X208" s="153" t="s">
        <v>2922</v>
      </c>
      <c r="Y208" s="155"/>
      <c r="DW208" s="392"/>
      <c r="DY208" s="392"/>
    </row>
    <row r="209" spans="1:130" s="153" customFormat="1" ht="12.75">
      <c r="A209" s="153" t="s">
        <v>737</v>
      </c>
      <c r="B209" s="153" t="s">
        <v>2816</v>
      </c>
      <c r="C209" s="153" t="s">
        <v>2816</v>
      </c>
      <c r="D209" s="153" t="s">
        <v>2816</v>
      </c>
      <c r="E209" s="153" t="s">
        <v>2920</v>
      </c>
      <c r="F209" s="153" t="s">
        <v>2928</v>
      </c>
      <c r="G209" s="349" t="s">
        <v>3102</v>
      </c>
      <c r="H209" s="349" t="s">
        <v>3102</v>
      </c>
      <c r="I209" s="349" t="s">
        <v>3102</v>
      </c>
      <c r="J209" s="349" t="s">
        <v>3102</v>
      </c>
      <c r="K209" s="349" t="s">
        <v>3102</v>
      </c>
      <c r="L209" s="153" t="s">
        <v>179</v>
      </c>
      <c r="M209" s="153" t="s">
        <v>2929</v>
      </c>
      <c r="N209" s="153" t="s">
        <v>2826</v>
      </c>
      <c r="O209" s="153" t="s">
        <v>2923</v>
      </c>
      <c r="Q209" s="153" t="s">
        <v>2924</v>
      </c>
      <c r="R209" s="153" t="s">
        <v>2809</v>
      </c>
      <c r="T209" s="153" t="s">
        <v>2925</v>
      </c>
      <c r="U209" s="153" t="s">
        <v>2928</v>
      </c>
      <c r="V209" s="153" t="s">
        <v>179</v>
      </c>
      <c r="W209" s="153" t="s">
        <v>265</v>
      </c>
      <c r="X209" s="153" t="s">
        <v>2929</v>
      </c>
      <c r="Y209" s="155"/>
      <c r="DW209" s="392"/>
      <c r="DY209" s="392"/>
    </row>
    <row r="210" spans="1:130" s="153" customFormat="1" ht="12.75">
      <c r="A210" s="153" t="s">
        <v>737</v>
      </c>
      <c r="B210" s="153" t="s">
        <v>2816</v>
      </c>
      <c r="C210" s="153" t="s">
        <v>2816</v>
      </c>
      <c r="D210" s="153" t="s">
        <v>2816</v>
      </c>
      <c r="E210" s="153" t="s">
        <v>2920</v>
      </c>
      <c r="F210" s="153" t="s">
        <v>2930</v>
      </c>
      <c r="G210" s="349" t="s">
        <v>3102</v>
      </c>
      <c r="H210" s="349" t="s">
        <v>3102</v>
      </c>
      <c r="I210" s="349" t="s">
        <v>3102</v>
      </c>
      <c r="J210" s="349" t="s">
        <v>3102</v>
      </c>
      <c r="K210" s="349" t="s">
        <v>3102</v>
      </c>
      <c r="L210" s="153" t="s">
        <v>2931</v>
      </c>
      <c r="M210" s="153" t="s">
        <v>2929</v>
      </c>
      <c r="N210" s="153" t="s">
        <v>2826</v>
      </c>
      <c r="O210" s="153" t="s">
        <v>2923</v>
      </c>
      <c r="Q210" s="153" t="s">
        <v>2924</v>
      </c>
      <c r="R210" s="153" t="s">
        <v>2809</v>
      </c>
      <c r="T210" s="153" t="s">
        <v>2925</v>
      </c>
      <c r="U210" s="153" t="s">
        <v>2930</v>
      </c>
      <c r="V210" s="153" t="s">
        <v>179</v>
      </c>
      <c r="W210" s="153" t="s">
        <v>265</v>
      </c>
      <c r="X210" s="153" t="s">
        <v>2929</v>
      </c>
      <c r="Y210" s="155"/>
      <c r="DW210" s="392"/>
      <c r="DY210" s="392"/>
    </row>
    <row r="211" spans="1:130" s="153" customFormat="1" ht="12.75">
      <c r="A211" s="153" t="s">
        <v>738</v>
      </c>
      <c r="B211" s="153" t="s">
        <v>2816</v>
      </c>
      <c r="C211" s="153" t="s">
        <v>2816</v>
      </c>
      <c r="D211" s="153" t="s">
        <v>2816</v>
      </c>
      <c r="E211" s="153" t="s">
        <v>2920</v>
      </c>
      <c r="F211" s="153" t="s">
        <v>2932</v>
      </c>
      <c r="G211" s="349" t="s">
        <v>3102</v>
      </c>
      <c r="H211" s="349" t="s">
        <v>3102</v>
      </c>
      <c r="I211" s="349" t="s">
        <v>3102</v>
      </c>
      <c r="J211" s="349" t="s">
        <v>3102</v>
      </c>
      <c r="K211" s="349" t="s">
        <v>3102</v>
      </c>
      <c r="L211" s="153" t="s">
        <v>135</v>
      </c>
      <c r="M211" s="153" t="s">
        <v>2933</v>
      </c>
      <c r="N211" s="153" t="s">
        <v>2826</v>
      </c>
      <c r="O211" s="153" t="s">
        <v>2923</v>
      </c>
      <c r="Q211" s="153" t="s">
        <v>2924</v>
      </c>
      <c r="R211" s="153" t="s">
        <v>2809</v>
      </c>
      <c r="T211" s="153" t="s">
        <v>2925</v>
      </c>
      <c r="U211" s="153" t="s">
        <v>2932</v>
      </c>
      <c r="V211" s="153" t="s">
        <v>135</v>
      </c>
      <c r="W211" s="153" t="s">
        <v>265</v>
      </c>
      <c r="X211" s="153" t="s">
        <v>2933</v>
      </c>
      <c r="Y211" s="155"/>
      <c r="DW211" s="392"/>
      <c r="DY211" s="392"/>
    </row>
    <row r="212" spans="1:130" s="153" customFormat="1" ht="12.75">
      <c r="A212" s="153" t="s">
        <v>738</v>
      </c>
      <c r="B212" s="153" t="s">
        <v>2816</v>
      </c>
      <c r="C212" s="153" t="s">
        <v>2816</v>
      </c>
      <c r="D212" s="153" t="s">
        <v>2816</v>
      </c>
      <c r="E212" s="153" t="s">
        <v>2920</v>
      </c>
      <c r="F212" s="153" t="s">
        <v>2934</v>
      </c>
      <c r="G212" s="349" t="s">
        <v>3102</v>
      </c>
      <c r="H212" s="349" t="s">
        <v>3102</v>
      </c>
      <c r="I212" s="349" t="s">
        <v>3102</v>
      </c>
      <c r="J212" s="349" t="s">
        <v>3102</v>
      </c>
      <c r="K212" s="349" t="s">
        <v>3102</v>
      </c>
      <c r="L212" s="153" t="s">
        <v>135</v>
      </c>
      <c r="M212" s="153" t="s">
        <v>2933</v>
      </c>
      <c r="N212" s="153" t="s">
        <v>2826</v>
      </c>
      <c r="O212" s="153" t="s">
        <v>2923</v>
      </c>
      <c r="Q212" s="153" t="s">
        <v>2924</v>
      </c>
      <c r="R212" s="153" t="s">
        <v>2809</v>
      </c>
      <c r="T212" s="153" t="s">
        <v>2925</v>
      </c>
      <c r="U212" s="153" t="s">
        <v>2934</v>
      </c>
      <c r="V212" s="153" t="s">
        <v>135</v>
      </c>
      <c r="W212" s="153" t="s">
        <v>265</v>
      </c>
      <c r="X212" s="153" t="s">
        <v>2933</v>
      </c>
      <c r="Y212" s="155"/>
      <c r="DW212" s="392"/>
      <c r="DY212" s="392"/>
    </row>
    <row r="213" spans="1:130" s="153" customFormat="1" ht="12.75">
      <c r="A213" s="153" t="s">
        <v>738</v>
      </c>
      <c r="B213" s="153" t="s">
        <v>2816</v>
      </c>
      <c r="C213" s="153" t="s">
        <v>2816</v>
      </c>
      <c r="D213" s="153" t="s">
        <v>2816</v>
      </c>
      <c r="E213" s="153" t="s">
        <v>2920</v>
      </c>
      <c r="F213" s="153" t="s">
        <v>2935</v>
      </c>
      <c r="G213" s="349" t="s">
        <v>3102</v>
      </c>
      <c r="H213" s="349" t="s">
        <v>3102</v>
      </c>
      <c r="I213" s="349" t="s">
        <v>3102</v>
      </c>
      <c r="J213" s="349" t="s">
        <v>3102</v>
      </c>
      <c r="K213" s="349" t="s">
        <v>3102</v>
      </c>
      <c r="L213" s="153" t="s">
        <v>180</v>
      </c>
      <c r="M213" s="153" t="s">
        <v>2933</v>
      </c>
      <c r="N213" s="153" t="s">
        <v>2826</v>
      </c>
      <c r="O213" s="153" t="s">
        <v>2923</v>
      </c>
      <c r="Q213" s="153" t="s">
        <v>2924</v>
      </c>
      <c r="R213" s="153" t="s">
        <v>2809</v>
      </c>
      <c r="T213" s="153" t="s">
        <v>2925</v>
      </c>
      <c r="U213" s="153" t="s">
        <v>2935</v>
      </c>
      <c r="V213" s="153" t="s">
        <v>180</v>
      </c>
      <c r="W213" s="153" t="s">
        <v>265</v>
      </c>
      <c r="X213" s="153" t="s">
        <v>2933</v>
      </c>
      <c r="Y213" s="155"/>
      <c r="DW213" s="392"/>
      <c r="DY213" s="392"/>
    </row>
    <row r="214" spans="1:130" s="153" customFormat="1" ht="12.75">
      <c r="A214" s="153" t="s">
        <v>738</v>
      </c>
      <c r="B214" s="153" t="s">
        <v>2816</v>
      </c>
      <c r="C214" s="153" t="s">
        <v>2816</v>
      </c>
      <c r="D214" s="153" t="s">
        <v>2816</v>
      </c>
      <c r="E214" s="153" t="s">
        <v>2920</v>
      </c>
      <c r="F214" s="153" t="s">
        <v>2936</v>
      </c>
      <c r="G214" s="349" t="s">
        <v>3102</v>
      </c>
      <c r="H214" s="349" t="s">
        <v>3102</v>
      </c>
      <c r="I214" s="349" t="s">
        <v>3102</v>
      </c>
      <c r="J214" s="349" t="s">
        <v>3102</v>
      </c>
      <c r="K214" s="349" t="s">
        <v>3102</v>
      </c>
      <c r="L214" s="153" t="s">
        <v>180</v>
      </c>
      <c r="M214" s="153" t="s">
        <v>2933</v>
      </c>
      <c r="N214" s="153" t="s">
        <v>2826</v>
      </c>
      <c r="O214" s="153" t="s">
        <v>2923</v>
      </c>
      <c r="Q214" s="153" t="s">
        <v>2924</v>
      </c>
      <c r="R214" s="153" t="s">
        <v>2809</v>
      </c>
      <c r="T214" s="153" t="s">
        <v>2925</v>
      </c>
      <c r="U214" s="153" t="s">
        <v>2936</v>
      </c>
      <c r="V214" s="153" t="s">
        <v>180</v>
      </c>
      <c r="W214" s="153" t="s">
        <v>265</v>
      </c>
      <c r="X214" s="153" t="s">
        <v>2933</v>
      </c>
      <c r="Y214" s="155"/>
      <c r="DW214" s="392"/>
      <c r="DY214" s="392"/>
    </row>
    <row r="215" spans="1:130" s="153" customFormat="1" ht="12.75">
      <c r="A215" s="153" t="s">
        <v>2937</v>
      </c>
      <c r="B215" s="153" t="s">
        <v>2938</v>
      </c>
      <c r="C215" s="153" t="s">
        <v>2938</v>
      </c>
      <c r="D215" s="153" t="s">
        <v>2938</v>
      </c>
      <c r="E215" s="153" t="s">
        <v>2920</v>
      </c>
      <c r="F215" s="153" t="s">
        <v>2939</v>
      </c>
      <c r="G215" s="349" t="s">
        <v>3102</v>
      </c>
      <c r="H215" s="349" t="s">
        <v>3102</v>
      </c>
      <c r="I215" s="349" t="s">
        <v>3102</v>
      </c>
      <c r="J215" s="349" t="s">
        <v>3102</v>
      </c>
      <c r="K215" s="349" t="s">
        <v>3102</v>
      </c>
      <c r="L215" s="153" t="s">
        <v>2940</v>
      </c>
      <c r="M215" s="153" t="s">
        <v>2941</v>
      </c>
      <c r="N215" s="153" t="s">
        <v>2826</v>
      </c>
      <c r="O215" s="153" t="s">
        <v>2923</v>
      </c>
      <c r="Q215" s="153" t="s">
        <v>2924</v>
      </c>
      <c r="R215" s="153" t="s">
        <v>2809</v>
      </c>
      <c r="T215" s="153" t="s">
        <v>2925</v>
      </c>
      <c r="U215" s="153" t="s">
        <v>2939</v>
      </c>
      <c r="V215" s="153" t="s">
        <v>2940</v>
      </c>
      <c r="W215" s="153" t="s">
        <v>2811</v>
      </c>
      <c r="X215" s="153" t="s">
        <v>2941</v>
      </c>
      <c r="DW215" s="392"/>
      <c r="DY215" s="392"/>
    </row>
    <row r="216" spans="1:130" s="153" customFormat="1" ht="12.75">
      <c r="A216" s="153" t="s">
        <v>2937</v>
      </c>
      <c r="B216" s="153" t="s">
        <v>2938</v>
      </c>
      <c r="C216" s="153" t="s">
        <v>2938</v>
      </c>
      <c r="D216" s="153" t="s">
        <v>2938</v>
      </c>
      <c r="E216" s="153" t="s">
        <v>2920</v>
      </c>
      <c r="F216" s="153" t="s">
        <v>2942</v>
      </c>
      <c r="G216" s="349" t="s">
        <v>3102</v>
      </c>
      <c r="H216" s="349" t="s">
        <v>3102</v>
      </c>
      <c r="I216" s="349" t="s">
        <v>3102</v>
      </c>
      <c r="J216" s="349" t="s">
        <v>3102</v>
      </c>
      <c r="K216" s="349" t="s">
        <v>3102</v>
      </c>
      <c r="L216" s="153" t="s">
        <v>2940</v>
      </c>
      <c r="M216" s="153" t="s">
        <v>2941</v>
      </c>
      <c r="N216" s="153" t="s">
        <v>2826</v>
      </c>
      <c r="O216" s="153" t="s">
        <v>2923</v>
      </c>
      <c r="Q216" s="153" t="s">
        <v>2924</v>
      </c>
      <c r="R216" s="153" t="s">
        <v>2809</v>
      </c>
      <c r="T216" s="153" t="s">
        <v>2925</v>
      </c>
      <c r="U216" s="153" t="s">
        <v>2942</v>
      </c>
      <c r="V216" s="153" t="s">
        <v>2940</v>
      </c>
      <c r="W216" s="153" t="s">
        <v>2811</v>
      </c>
      <c r="X216" s="153" t="s">
        <v>2941</v>
      </c>
      <c r="DW216" s="392"/>
      <c r="DY216" s="392"/>
    </row>
    <row r="217" spans="1:130" s="153" customFormat="1" ht="12.75">
      <c r="A217" s="153" t="s">
        <v>738</v>
      </c>
      <c r="B217" s="153" t="s">
        <v>2938</v>
      </c>
      <c r="C217" s="153" t="s">
        <v>2938</v>
      </c>
      <c r="D217" s="153" t="s">
        <v>58</v>
      </c>
      <c r="E217" s="153" t="s">
        <v>2920</v>
      </c>
      <c r="F217" s="153" t="s">
        <v>2943</v>
      </c>
      <c r="G217" s="349" t="s">
        <v>3102</v>
      </c>
      <c r="H217" s="349" t="s">
        <v>3102</v>
      </c>
      <c r="I217" s="349" t="s">
        <v>3102</v>
      </c>
      <c r="J217" s="349" t="s">
        <v>3102</v>
      </c>
      <c r="K217" s="349" t="s">
        <v>3102</v>
      </c>
      <c r="L217" s="153" t="s">
        <v>2940</v>
      </c>
      <c r="M217" s="153" t="s">
        <v>2941</v>
      </c>
      <c r="N217" s="153" t="s">
        <v>2826</v>
      </c>
      <c r="O217" s="153" t="s">
        <v>2923</v>
      </c>
      <c r="Q217" s="153" t="s">
        <v>2924</v>
      </c>
      <c r="R217" s="153" t="s">
        <v>2809</v>
      </c>
      <c r="T217" s="153" t="s">
        <v>2925</v>
      </c>
      <c r="U217" s="153" t="s">
        <v>2943</v>
      </c>
      <c r="V217" s="153" t="s">
        <v>2940</v>
      </c>
      <c r="W217" s="153" t="s">
        <v>2811</v>
      </c>
      <c r="X217" s="153" t="s">
        <v>2941</v>
      </c>
      <c r="DW217" s="392"/>
      <c r="DY217" s="392"/>
    </row>
    <row r="218" spans="1:130" s="153" customFormat="1" ht="12.75">
      <c r="A218" s="153" t="s">
        <v>738</v>
      </c>
      <c r="B218" s="153" t="s">
        <v>2938</v>
      </c>
      <c r="C218" s="153" t="s">
        <v>2938</v>
      </c>
      <c r="D218" s="153" t="s">
        <v>58</v>
      </c>
      <c r="E218" s="153" t="s">
        <v>2920</v>
      </c>
      <c r="F218" s="153" t="s">
        <v>2944</v>
      </c>
      <c r="G218" s="349" t="s">
        <v>3102</v>
      </c>
      <c r="H218" s="349" t="s">
        <v>3102</v>
      </c>
      <c r="I218" s="349" t="s">
        <v>3102</v>
      </c>
      <c r="J218" s="349" t="s">
        <v>3102</v>
      </c>
      <c r="K218" s="349" t="s">
        <v>3102</v>
      </c>
      <c r="L218" s="153" t="s">
        <v>2940</v>
      </c>
      <c r="M218" s="153" t="s">
        <v>2941</v>
      </c>
      <c r="N218" s="153" t="s">
        <v>2826</v>
      </c>
      <c r="O218" s="153" t="s">
        <v>2923</v>
      </c>
      <c r="Q218" s="153" t="s">
        <v>2924</v>
      </c>
      <c r="R218" s="153" t="s">
        <v>2809</v>
      </c>
      <c r="T218" s="153" t="s">
        <v>2925</v>
      </c>
      <c r="U218" s="153" t="s">
        <v>2944</v>
      </c>
      <c r="V218" s="153" t="s">
        <v>2940</v>
      </c>
      <c r="W218" s="153" t="s">
        <v>2811</v>
      </c>
      <c r="X218" s="153" t="s">
        <v>2941</v>
      </c>
      <c r="DW218" s="392"/>
      <c r="DY218" s="392"/>
    </row>
    <row r="219" spans="1:130" s="153" customFormat="1" ht="12.75">
      <c r="A219" s="153" t="s">
        <v>739</v>
      </c>
      <c r="B219" s="153" t="s">
        <v>2816</v>
      </c>
      <c r="C219" s="153" t="s">
        <v>2816</v>
      </c>
      <c r="D219" s="153" t="s">
        <v>2816</v>
      </c>
      <c r="E219" s="153" t="s">
        <v>2920</v>
      </c>
      <c r="F219" s="153" t="s">
        <v>2945</v>
      </c>
      <c r="G219" s="349" t="s">
        <v>3102</v>
      </c>
      <c r="H219" s="349" t="s">
        <v>3102</v>
      </c>
      <c r="I219" s="349" t="s">
        <v>3102</v>
      </c>
      <c r="J219" s="349" t="s">
        <v>3102</v>
      </c>
      <c r="K219" s="349" t="s">
        <v>3102</v>
      </c>
      <c r="L219" s="153" t="s">
        <v>135</v>
      </c>
      <c r="M219" s="153" t="s">
        <v>2922</v>
      </c>
      <c r="N219" s="153" t="s">
        <v>2826</v>
      </c>
      <c r="O219" s="153" t="s">
        <v>2923</v>
      </c>
      <c r="Q219" s="153" t="s">
        <v>2924</v>
      </c>
      <c r="R219" s="153" t="s">
        <v>2809</v>
      </c>
      <c r="T219" s="153" t="s">
        <v>2925</v>
      </c>
      <c r="U219" s="153" t="s">
        <v>2945</v>
      </c>
      <c r="V219" s="153" t="s">
        <v>135</v>
      </c>
      <c r="W219" s="153" t="s">
        <v>265</v>
      </c>
      <c r="X219" s="153" t="s">
        <v>2922</v>
      </c>
      <c r="Y219" s="155"/>
      <c r="DW219" s="393"/>
      <c r="DY219" s="393"/>
    </row>
    <row r="220" spans="1:130" s="224" customFormat="1" ht="12.75">
      <c r="A220" s="221" t="s">
        <v>2946</v>
      </c>
      <c r="B220" s="221" t="s">
        <v>58</v>
      </c>
      <c r="C220" s="221" t="s">
        <v>58</v>
      </c>
      <c r="D220" s="221" t="s">
        <v>58</v>
      </c>
      <c r="E220" s="221" t="s">
        <v>50</v>
      </c>
      <c r="F220" s="221" t="s">
        <v>2947</v>
      </c>
      <c r="G220" s="350" t="s">
        <v>3102</v>
      </c>
      <c r="H220" s="350" t="s">
        <v>3102</v>
      </c>
      <c r="I220" s="350" t="s">
        <v>3102</v>
      </c>
      <c r="J220" s="350" t="s">
        <v>3102</v>
      </c>
      <c r="K220" s="350" t="s">
        <v>3102</v>
      </c>
      <c r="L220" s="221" t="s">
        <v>135</v>
      </c>
      <c r="M220" s="221" t="s">
        <v>2948</v>
      </c>
      <c r="N220" s="221" t="s">
        <v>2807</v>
      </c>
      <c r="O220" s="221" t="s">
        <v>578</v>
      </c>
      <c r="P220" s="221"/>
      <c r="Q220" s="221" t="s">
        <v>12</v>
      </c>
      <c r="R220" s="221" t="s">
        <v>2809</v>
      </c>
      <c r="S220" s="221"/>
      <c r="T220" s="159" t="s">
        <v>2949</v>
      </c>
      <c r="U220" s="222" t="str">
        <f>LOWER(F220)</f>
        <v>usbphy_clk</v>
      </c>
      <c r="V220" s="221" t="s">
        <v>135</v>
      </c>
      <c r="W220" s="221" t="s">
        <v>265</v>
      </c>
      <c r="X220" s="221" t="s">
        <v>2948</v>
      </c>
      <c r="Y220" s="223"/>
      <c r="Z220" s="221"/>
      <c r="AA220" s="221"/>
      <c r="AB220" s="221"/>
      <c r="AC220" s="221"/>
      <c r="AD220" s="221"/>
      <c r="AE220" s="221"/>
      <c r="AF220" s="221"/>
      <c r="AG220" s="221"/>
      <c r="AH220" s="221"/>
      <c r="AI220" s="221"/>
      <c r="AJ220" s="221"/>
      <c r="AK220" s="221"/>
      <c r="AL220" s="221"/>
      <c r="AM220" s="221"/>
      <c r="AN220" s="221"/>
      <c r="AO220" s="221"/>
      <c r="AP220" s="221"/>
      <c r="AQ220" s="221"/>
      <c r="AR220" s="221"/>
      <c r="AS220" s="221"/>
      <c r="AT220" s="221"/>
      <c r="AU220" s="221"/>
      <c r="AV220" s="221"/>
      <c r="AW220" s="221"/>
      <c r="AX220" s="221"/>
      <c r="AY220" s="221"/>
      <c r="AZ220" s="221"/>
      <c r="BA220" s="221"/>
      <c r="BB220" s="221"/>
      <c r="BC220" s="221"/>
      <c r="BD220" s="221"/>
      <c r="BE220" s="221"/>
      <c r="BF220" s="221"/>
      <c r="BG220" s="221"/>
      <c r="BH220" s="221"/>
      <c r="BI220" s="221"/>
      <c r="BJ220" s="221"/>
      <c r="BK220" s="221"/>
      <c r="BL220" s="221"/>
      <c r="BM220" s="221"/>
      <c r="BN220" s="221"/>
      <c r="BO220" s="221"/>
      <c r="BP220" s="221"/>
      <c r="BQ220" s="221"/>
      <c r="BR220" s="221"/>
      <c r="BS220" s="221"/>
      <c r="BT220" s="221"/>
      <c r="BU220" s="221"/>
      <c r="BV220" s="221"/>
      <c r="BW220" s="221"/>
      <c r="BX220" s="221"/>
      <c r="BY220" s="221"/>
      <c r="BZ220" s="221"/>
      <c r="CA220" s="221"/>
      <c r="CB220" s="221"/>
      <c r="CC220" s="221"/>
      <c r="CD220" s="221"/>
      <c r="CE220" s="221"/>
      <c r="CF220" s="221"/>
      <c r="CG220" s="221"/>
      <c r="CH220" s="221"/>
      <c r="CI220" s="221"/>
      <c r="CJ220" s="221"/>
      <c r="CK220" s="221"/>
      <c r="CL220" s="221"/>
      <c r="CM220" s="221"/>
      <c r="CN220" s="221"/>
      <c r="CO220" s="221"/>
      <c r="CP220" s="221"/>
      <c r="CQ220" s="221"/>
      <c r="CR220" s="221"/>
      <c r="CS220" s="221"/>
      <c r="CT220" s="221"/>
      <c r="CU220" s="221"/>
      <c r="CV220" s="221"/>
      <c r="CW220" s="221"/>
      <c r="CX220" s="221"/>
      <c r="CY220" s="221"/>
      <c r="CZ220" s="221"/>
      <c r="DA220" s="221"/>
      <c r="DB220" s="221"/>
      <c r="DC220" s="221"/>
      <c r="DD220" s="221"/>
      <c r="DE220" s="221"/>
      <c r="DF220" s="221"/>
      <c r="DG220" s="221"/>
      <c r="DH220" s="221"/>
      <c r="DI220" s="221"/>
      <c r="DJ220" s="221"/>
      <c r="DK220" s="221"/>
      <c r="DL220" s="221"/>
      <c r="DM220" s="221"/>
      <c r="DN220" s="221"/>
      <c r="DO220" s="221"/>
      <c r="DP220" s="221"/>
      <c r="DQ220" s="221"/>
      <c r="DR220" s="221"/>
      <c r="DS220" s="221"/>
      <c r="DT220" s="221"/>
      <c r="DU220" s="221"/>
      <c r="DV220" s="221"/>
      <c r="DW220" s="284" t="s">
        <v>2926</v>
      </c>
      <c r="DY220" s="284" t="s">
        <v>2086</v>
      </c>
    </row>
    <row r="221" spans="1:130" s="255" customFormat="1">
      <c r="A221" s="218" t="s">
        <v>2950</v>
      </c>
      <c r="B221" s="150"/>
      <c r="C221" s="150"/>
      <c r="D221" s="150"/>
      <c r="E221" s="150"/>
      <c r="F221" s="150"/>
      <c r="G221" s="339"/>
      <c r="H221" s="339"/>
      <c r="I221" s="339"/>
      <c r="J221" s="339"/>
      <c r="K221" s="339"/>
      <c r="L221" s="300"/>
      <c r="M221" s="300"/>
      <c r="N221" s="300"/>
      <c r="O221" s="300"/>
      <c r="P221" s="300"/>
      <c r="Q221" s="300"/>
      <c r="R221" s="300"/>
      <c r="S221" s="300"/>
      <c r="T221" s="300"/>
      <c r="U221" s="300"/>
      <c r="V221" s="300"/>
      <c r="W221" s="300"/>
      <c r="X221" s="300"/>
      <c r="Y221" s="299"/>
      <c r="Z221" s="300"/>
      <c r="AA221" s="300"/>
      <c r="AB221" s="300"/>
      <c r="AC221" s="300"/>
      <c r="AD221" s="300"/>
      <c r="AE221" s="300"/>
      <c r="AF221" s="300"/>
      <c r="AG221" s="300"/>
      <c r="AH221" s="300"/>
      <c r="AI221" s="300"/>
      <c r="AJ221" s="300"/>
      <c r="AK221" s="300"/>
      <c r="AL221" s="300"/>
      <c r="AM221" s="300"/>
      <c r="AN221" s="300"/>
      <c r="AO221" s="300"/>
      <c r="AP221" s="300"/>
      <c r="AQ221" s="300"/>
      <c r="AR221" s="300"/>
      <c r="AS221" s="300"/>
      <c r="AT221" s="300"/>
      <c r="AU221" s="300"/>
      <c r="AV221" s="300"/>
      <c r="AW221" s="300"/>
      <c r="AX221" s="300"/>
      <c r="AY221" s="300"/>
      <c r="AZ221" s="300"/>
      <c r="BA221" s="300"/>
      <c r="BB221" s="300"/>
      <c r="BC221" s="300"/>
      <c r="BD221" s="300"/>
      <c r="BE221" s="300"/>
      <c r="BF221" s="300"/>
      <c r="BG221" s="300"/>
      <c r="BH221" s="300"/>
      <c r="BI221" s="300"/>
      <c r="BJ221" s="300"/>
      <c r="BK221" s="300"/>
      <c r="BL221" s="300"/>
      <c r="BM221" s="300"/>
      <c r="BN221" s="300"/>
      <c r="BO221" s="300"/>
      <c r="BP221" s="300"/>
      <c r="BQ221" s="300"/>
      <c r="BR221" s="300"/>
      <c r="BS221" s="300"/>
      <c r="BT221" s="300"/>
      <c r="BU221" s="300"/>
      <c r="BV221" s="300"/>
      <c r="BW221" s="300"/>
      <c r="BX221" s="300"/>
      <c r="BY221" s="300"/>
      <c r="BZ221" s="300"/>
      <c r="CA221" s="300"/>
      <c r="CB221" s="300"/>
      <c r="CC221" s="300"/>
      <c r="CD221" s="300"/>
      <c r="CE221" s="300"/>
      <c r="CF221" s="300"/>
      <c r="CG221" s="300"/>
      <c r="CH221" s="300"/>
      <c r="CI221" s="300"/>
      <c r="CJ221" s="300"/>
      <c r="CK221" s="300"/>
      <c r="CL221" s="300"/>
      <c r="CM221" s="300"/>
      <c r="CN221" s="300"/>
      <c r="CO221" s="300"/>
      <c r="CP221" s="300"/>
      <c r="CQ221" s="300"/>
      <c r="CR221" s="300"/>
      <c r="CS221" s="300"/>
      <c r="CT221" s="300"/>
      <c r="CU221" s="300"/>
      <c r="CV221" s="300"/>
      <c r="CW221" s="300"/>
      <c r="CX221" s="300"/>
      <c r="CY221" s="300"/>
      <c r="CZ221" s="300"/>
      <c r="DA221" s="300"/>
      <c r="DB221" s="300"/>
      <c r="DC221" s="300"/>
      <c r="DD221" s="300"/>
      <c r="DE221" s="300"/>
      <c r="DF221" s="300"/>
      <c r="DG221" s="300"/>
      <c r="DH221" s="300"/>
      <c r="DI221" s="300"/>
      <c r="DJ221" s="300"/>
      <c r="DK221" s="300"/>
      <c r="DL221" s="300"/>
      <c r="DM221" s="300"/>
      <c r="DN221" s="300"/>
      <c r="DO221" s="300"/>
      <c r="DP221" s="300"/>
      <c r="DQ221" s="300"/>
      <c r="DR221" s="300"/>
      <c r="DS221" s="300"/>
      <c r="DT221" s="300"/>
      <c r="DU221" s="300"/>
      <c r="DV221" s="300"/>
      <c r="DW221" s="300"/>
      <c r="DX221" s="300"/>
      <c r="DY221" s="300"/>
      <c r="DZ221" s="300"/>
    </row>
    <row r="222" spans="1:130" s="259" customFormat="1" ht="12.75">
      <c r="A222" s="259" t="s">
        <v>1194</v>
      </c>
      <c r="B222" s="259" t="s">
        <v>58</v>
      </c>
      <c r="C222" s="259" t="s">
        <v>58</v>
      </c>
      <c r="D222" s="259" t="s">
        <v>58</v>
      </c>
      <c r="E222" s="259" t="s">
        <v>50</v>
      </c>
      <c r="F222" s="259" t="s">
        <v>2951</v>
      </c>
      <c r="G222" s="351" t="s">
        <v>3102</v>
      </c>
      <c r="H222" s="351" t="s">
        <v>3102</v>
      </c>
      <c r="I222" s="351" t="s">
        <v>3102</v>
      </c>
      <c r="J222" s="351" t="s">
        <v>3102</v>
      </c>
      <c r="K222" s="351" t="s">
        <v>3102</v>
      </c>
      <c r="L222" s="259" t="s">
        <v>135</v>
      </c>
      <c r="M222" s="259" t="s">
        <v>2952</v>
      </c>
      <c r="N222" s="259" t="s">
        <v>2953</v>
      </c>
      <c r="Q222" s="259" t="s">
        <v>2954</v>
      </c>
      <c r="R222" s="259" t="s">
        <v>112</v>
      </c>
      <c r="T222" s="259" t="s">
        <v>2202</v>
      </c>
      <c r="U222" s="259" t="s">
        <v>2951</v>
      </c>
      <c r="V222" s="259" t="s">
        <v>135</v>
      </c>
      <c r="W222" s="259" t="s">
        <v>2955</v>
      </c>
      <c r="X222" s="259" t="s">
        <v>2952</v>
      </c>
      <c r="Y222" s="260"/>
      <c r="DW222" s="394" t="s">
        <v>2956</v>
      </c>
      <c r="DX222" s="325" t="s">
        <v>2957</v>
      </c>
      <c r="DY222" s="394" t="s">
        <v>2958</v>
      </c>
    </row>
    <row r="223" spans="1:130" s="259" customFormat="1" ht="12.75">
      <c r="A223" s="259" t="s">
        <v>1194</v>
      </c>
      <c r="B223" s="259" t="s">
        <v>58</v>
      </c>
      <c r="C223" s="259" t="s">
        <v>58</v>
      </c>
      <c r="D223" s="259" t="s">
        <v>58</v>
      </c>
      <c r="E223" s="259" t="s">
        <v>50</v>
      </c>
      <c r="F223" s="259" t="s">
        <v>2959</v>
      </c>
      <c r="G223" s="351" t="s">
        <v>3102</v>
      </c>
      <c r="H223" s="351" t="s">
        <v>3102</v>
      </c>
      <c r="I223" s="351" t="s">
        <v>3102</v>
      </c>
      <c r="J223" s="351" t="s">
        <v>3102</v>
      </c>
      <c r="K223" s="351" t="s">
        <v>3102</v>
      </c>
      <c r="L223" s="259" t="s">
        <v>135</v>
      </c>
      <c r="M223" s="259" t="s">
        <v>2952</v>
      </c>
      <c r="N223" s="259" t="s">
        <v>2953</v>
      </c>
      <c r="Q223" s="259" t="s">
        <v>2954</v>
      </c>
      <c r="R223" s="259" t="s">
        <v>112</v>
      </c>
      <c r="T223" s="259" t="s">
        <v>2202</v>
      </c>
      <c r="U223" s="259" t="s">
        <v>2959</v>
      </c>
      <c r="V223" s="259" t="s">
        <v>135</v>
      </c>
      <c r="W223" s="259" t="s">
        <v>2955</v>
      </c>
      <c r="X223" s="259" t="s">
        <v>2952</v>
      </c>
      <c r="Y223" s="260"/>
      <c r="DW223" s="395"/>
      <c r="DX223" s="325" t="s">
        <v>2957</v>
      </c>
      <c r="DY223" s="395"/>
    </row>
    <row r="224" spans="1:130" s="259" customFormat="1" ht="12.75">
      <c r="A224" s="259" t="s">
        <v>1194</v>
      </c>
      <c r="B224" s="259" t="s">
        <v>58</v>
      </c>
      <c r="C224" s="259" t="s">
        <v>58</v>
      </c>
      <c r="D224" s="259" t="s">
        <v>58</v>
      </c>
      <c r="E224" s="259" t="s">
        <v>50</v>
      </c>
      <c r="F224" s="259" t="s">
        <v>2960</v>
      </c>
      <c r="G224" s="351" t="s">
        <v>3102</v>
      </c>
      <c r="H224" s="351" t="s">
        <v>3102</v>
      </c>
      <c r="I224" s="351" t="s">
        <v>3102</v>
      </c>
      <c r="J224" s="351" t="s">
        <v>3102</v>
      </c>
      <c r="K224" s="351" t="s">
        <v>3102</v>
      </c>
      <c r="L224" s="259" t="s">
        <v>179</v>
      </c>
      <c r="M224" s="259" t="s">
        <v>2924</v>
      </c>
      <c r="N224" s="259" t="s">
        <v>2826</v>
      </c>
      <c r="Q224" s="259" t="s">
        <v>2924</v>
      </c>
      <c r="R224" s="259" t="s">
        <v>112</v>
      </c>
      <c r="T224" s="259" t="s">
        <v>2202</v>
      </c>
      <c r="U224" s="259" t="s">
        <v>2961</v>
      </c>
      <c r="V224" s="259" t="s">
        <v>179</v>
      </c>
      <c r="W224" s="259" t="s">
        <v>2811</v>
      </c>
      <c r="X224" s="259" t="s">
        <v>2924</v>
      </c>
      <c r="Y224" s="260"/>
      <c r="DW224" s="395"/>
      <c r="DX224" s="325" t="s">
        <v>2962</v>
      </c>
      <c r="DY224" s="395"/>
    </row>
    <row r="225" spans="1:129" s="259" customFormat="1" ht="12.75">
      <c r="A225" s="259" t="s">
        <v>1194</v>
      </c>
      <c r="B225" s="259" t="s">
        <v>58</v>
      </c>
      <c r="C225" s="259" t="s">
        <v>58</v>
      </c>
      <c r="D225" s="259" t="s">
        <v>58</v>
      </c>
      <c r="E225" s="259" t="s">
        <v>50</v>
      </c>
      <c r="F225" s="259" t="s">
        <v>2963</v>
      </c>
      <c r="G225" s="351" t="s">
        <v>3102</v>
      </c>
      <c r="H225" s="351" t="s">
        <v>3102</v>
      </c>
      <c r="I225" s="351" t="s">
        <v>3102</v>
      </c>
      <c r="J225" s="351" t="s">
        <v>3102</v>
      </c>
      <c r="K225" s="351" t="s">
        <v>3102</v>
      </c>
      <c r="L225" s="259" t="s">
        <v>179</v>
      </c>
      <c r="M225" s="259" t="s">
        <v>2933</v>
      </c>
      <c r="N225" s="259" t="s">
        <v>2826</v>
      </c>
      <c r="Q225" s="259" t="s">
        <v>2924</v>
      </c>
      <c r="R225" s="259" t="s">
        <v>112</v>
      </c>
      <c r="T225" s="259" t="s">
        <v>2202</v>
      </c>
      <c r="U225" s="259" t="s">
        <v>2963</v>
      </c>
      <c r="V225" s="259" t="s">
        <v>179</v>
      </c>
      <c r="W225" s="259" t="s">
        <v>2811</v>
      </c>
      <c r="X225" s="259" t="s">
        <v>2933</v>
      </c>
      <c r="Y225" s="260"/>
      <c r="DW225" s="395"/>
      <c r="DX225" s="325" t="s">
        <v>2962</v>
      </c>
      <c r="DY225" s="395"/>
    </row>
    <row r="226" spans="1:129" s="259" customFormat="1" ht="12.75">
      <c r="A226" s="259" t="s">
        <v>2964</v>
      </c>
      <c r="B226" s="259" t="s">
        <v>58</v>
      </c>
      <c r="C226" s="259" t="s">
        <v>58</v>
      </c>
      <c r="D226" s="259" t="s">
        <v>58</v>
      </c>
      <c r="E226" s="259" t="s">
        <v>50</v>
      </c>
      <c r="F226" s="259" t="s">
        <v>2965</v>
      </c>
      <c r="G226" s="351" t="s">
        <v>3102</v>
      </c>
      <c r="H226" s="351" t="s">
        <v>3102</v>
      </c>
      <c r="I226" s="351" t="s">
        <v>3102</v>
      </c>
      <c r="J226" s="351" t="s">
        <v>3102</v>
      </c>
      <c r="K226" s="351" t="s">
        <v>3102</v>
      </c>
      <c r="L226" s="259" t="s">
        <v>179</v>
      </c>
      <c r="M226" s="259" t="s">
        <v>2933</v>
      </c>
      <c r="N226" s="259" t="s">
        <v>2826</v>
      </c>
      <c r="Q226" s="259" t="s">
        <v>2924</v>
      </c>
      <c r="R226" s="259" t="s">
        <v>112</v>
      </c>
      <c r="T226" s="259" t="s">
        <v>2202</v>
      </c>
      <c r="U226" s="259" t="s">
        <v>2965</v>
      </c>
      <c r="V226" s="259" t="s">
        <v>179</v>
      </c>
      <c r="W226" s="259" t="s">
        <v>2811</v>
      </c>
      <c r="X226" s="259" t="s">
        <v>2933</v>
      </c>
      <c r="Y226" s="260"/>
      <c r="DW226" s="395"/>
      <c r="DX226" s="325" t="s">
        <v>2962</v>
      </c>
      <c r="DY226" s="395"/>
    </row>
    <row r="227" spans="1:129" s="259" customFormat="1" ht="12.75">
      <c r="A227" s="259" t="s">
        <v>2964</v>
      </c>
      <c r="B227" s="259" t="s">
        <v>58</v>
      </c>
      <c r="C227" s="259" t="s">
        <v>58</v>
      </c>
      <c r="D227" s="259" t="s">
        <v>58</v>
      </c>
      <c r="E227" s="259" t="s">
        <v>50</v>
      </c>
      <c r="F227" s="259" t="s">
        <v>2966</v>
      </c>
      <c r="G227" s="351" t="s">
        <v>3102</v>
      </c>
      <c r="H227" s="351" t="s">
        <v>3102</v>
      </c>
      <c r="I227" s="351" t="s">
        <v>3102</v>
      </c>
      <c r="J227" s="351" t="s">
        <v>3102</v>
      </c>
      <c r="K227" s="351" t="s">
        <v>3102</v>
      </c>
      <c r="L227" s="259" t="s">
        <v>179</v>
      </c>
      <c r="M227" s="259" t="s">
        <v>2933</v>
      </c>
      <c r="N227" s="259" t="s">
        <v>2826</v>
      </c>
      <c r="Q227" s="259" t="s">
        <v>2924</v>
      </c>
      <c r="R227" s="259" t="s">
        <v>112</v>
      </c>
      <c r="T227" s="259" t="s">
        <v>2202</v>
      </c>
      <c r="U227" s="259" t="s">
        <v>2966</v>
      </c>
      <c r="V227" s="259" t="s">
        <v>179</v>
      </c>
      <c r="W227" s="259" t="s">
        <v>2811</v>
      </c>
      <c r="X227" s="259" t="s">
        <v>2933</v>
      </c>
      <c r="Y227" s="260"/>
      <c r="DW227" s="396"/>
      <c r="DX227" s="325" t="s">
        <v>2962</v>
      </c>
      <c r="DY227" s="396"/>
    </row>
    <row r="228" spans="1:129" s="259" customFormat="1" ht="12.75">
      <c r="A228" s="259" t="s">
        <v>2964</v>
      </c>
      <c r="B228" s="259" t="s">
        <v>58</v>
      </c>
      <c r="C228" s="259" t="s">
        <v>58</v>
      </c>
      <c r="D228" s="259" t="s">
        <v>58</v>
      </c>
      <c r="E228" s="259" t="s">
        <v>50</v>
      </c>
      <c r="F228" s="259" t="s">
        <v>2967</v>
      </c>
      <c r="G228" s="351" t="s">
        <v>3102</v>
      </c>
      <c r="H228" s="351" t="s">
        <v>3102</v>
      </c>
      <c r="I228" s="351" t="s">
        <v>3102</v>
      </c>
      <c r="J228" s="351" t="s">
        <v>3102</v>
      </c>
      <c r="K228" s="351" t="s">
        <v>3102</v>
      </c>
      <c r="L228" s="259" t="s">
        <v>179</v>
      </c>
      <c r="M228" s="259" t="s">
        <v>2933</v>
      </c>
      <c r="N228" s="259" t="s">
        <v>2826</v>
      </c>
      <c r="Q228" s="259" t="s">
        <v>2924</v>
      </c>
      <c r="R228" s="259" t="s">
        <v>112</v>
      </c>
      <c r="T228" s="259" t="s">
        <v>2202</v>
      </c>
      <c r="U228" s="259" t="s">
        <v>2967</v>
      </c>
      <c r="V228" s="259" t="s">
        <v>179</v>
      </c>
      <c r="W228" s="259" t="s">
        <v>2811</v>
      </c>
      <c r="X228" s="259" t="s">
        <v>2933</v>
      </c>
      <c r="Y228" s="260"/>
      <c r="DW228" s="298"/>
      <c r="DX228" s="325" t="s">
        <v>2962</v>
      </c>
      <c r="DY228" s="298"/>
    </row>
    <row r="229" spans="1:129" s="261" customFormat="1" ht="12.75">
      <c r="A229" s="261" t="s">
        <v>2968</v>
      </c>
      <c r="Y229" s="262"/>
    </row>
    <row r="231" spans="1:129" s="255" customFormat="1">
      <c r="B231" s="281" t="s">
        <v>2092</v>
      </c>
      <c r="C231" s="281" t="s">
        <v>2091</v>
      </c>
      <c r="Y231" s="254"/>
      <c r="DQ231" s="297"/>
      <c r="DR231" s="297"/>
      <c r="DS231" s="297"/>
      <c r="DT231" s="297"/>
      <c r="DU231" s="297"/>
    </row>
    <row r="232" spans="1:129">
      <c r="A232" s="263" t="s">
        <v>1214</v>
      </c>
      <c r="B232" s="264">
        <f>COUNTIF(B1:B230,"Y")</f>
        <v>204</v>
      </c>
      <c r="C232" s="283">
        <f>COUNTIF(C1:C230,"Y")</f>
        <v>146</v>
      </c>
      <c r="D232" s="264">
        <f>COUNTIF(D1:D230,"Y")</f>
        <v>209</v>
      </c>
      <c r="E232" s="255">
        <f>COUNTIF(E1:E230,"MUX_D")+COUNTIF(E1:E227,"MUX_C")</f>
        <v>92</v>
      </c>
      <c r="F232" s="180"/>
      <c r="L232" s="180"/>
      <c r="M232" s="180"/>
      <c r="N232" s="180"/>
      <c r="O232" s="180"/>
      <c r="P232" s="180"/>
      <c r="Q232" s="180"/>
      <c r="R232" s="180"/>
    </row>
    <row r="233" spans="1:129">
      <c r="E233" s="255"/>
      <c r="F233" s="180"/>
      <c r="L233" s="180"/>
      <c r="M233" s="180"/>
      <c r="N233" s="180"/>
      <c r="O233" s="180"/>
      <c r="P233" s="180"/>
      <c r="Q233" s="180"/>
      <c r="R233" s="180"/>
    </row>
    <row r="234" spans="1:129">
      <c r="B234" s="180"/>
      <c r="F234" s="180"/>
      <c r="L234" s="180"/>
      <c r="M234" s="180"/>
      <c r="N234" s="180"/>
      <c r="O234" s="180"/>
      <c r="P234" s="180"/>
      <c r="Q234" s="180"/>
      <c r="R234" s="180"/>
    </row>
    <row r="235" spans="1:129">
      <c r="M235" s="233" t="s">
        <v>1095</v>
      </c>
      <c r="N235" s="233" t="s">
        <v>1096</v>
      </c>
      <c r="O235" s="234" t="s">
        <v>1097</v>
      </c>
      <c r="P235" s="234" t="s">
        <v>1202</v>
      </c>
      <c r="Q235" s="234" t="s">
        <v>1098</v>
      </c>
      <c r="R235" s="180"/>
    </row>
    <row r="236" spans="1:129">
      <c r="M236" s="235" t="s">
        <v>1099</v>
      </c>
      <c r="N236" s="236" t="s">
        <v>1100</v>
      </c>
      <c r="O236" s="236" t="s">
        <v>1200</v>
      </c>
      <c r="P236" s="237" t="s">
        <v>1101</v>
      </c>
      <c r="Q236" s="151"/>
      <c r="R236" s="180"/>
    </row>
    <row r="237" spans="1:129">
      <c r="M237" s="235" t="s">
        <v>1102</v>
      </c>
      <c r="N237" s="236" t="s">
        <v>1211</v>
      </c>
      <c r="O237" s="181" t="s">
        <v>1201</v>
      </c>
      <c r="P237" s="237" t="s">
        <v>1203</v>
      </c>
      <c r="Q237" s="151"/>
      <c r="R237" s="180"/>
    </row>
    <row r="238" spans="1:129">
      <c r="M238" s="235" t="s">
        <v>1103</v>
      </c>
      <c r="N238" s="151" t="s">
        <v>1104</v>
      </c>
      <c r="O238" s="238" t="s">
        <v>1205</v>
      </c>
      <c r="P238" s="237" t="s">
        <v>1204</v>
      </c>
      <c r="Q238" s="151"/>
      <c r="R238" s="180"/>
    </row>
    <row r="239" spans="1:129">
      <c r="M239" s="235" t="s">
        <v>1106</v>
      </c>
      <c r="N239" s="236" t="s">
        <v>1107</v>
      </c>
      <c r="O239" s="236" t="s">
        <v>1208</v>
      </c>
      <c r="P239" s="237" t="s">
        <v>1105</v>
      </c>
      <c r="Q239" s="151"/>
    </row>
    <row r="240" spans="1:129">
      <c r="M240" s="235" t="s">
        <v>1108</v>
      </c>
      <c r="N240" s="151" t="s">
        <v>1108</v>
      </c>
      <c r="O240" s="236" t="s">
        <v>1206</v>
      </c>
      <c r="P240" s="237" t="s">
        <v>1210</v>
      </c>
      <c r="Q240" s="151"/>
    </row>
    <row r="241" spans="13:17">
      <c r="M241" s="235" t="s">
        <v>1109</v>
      </c>
      <c r="N241" s="236" t="s">
        <v>1110</v>
      </c>
      <c r="O241" s="238">
        <v>0.9</v>
      </c>
      <c r="P241" s="237" t="s">
        <v>1105</v>
      </c>
      <c r="Q241" s="236"/>
    </row>
    <row r="242" spans="13:17">
      <c r="M242" s="235" t="s">
        <v>1111</v>
      </c>
      <c r="N242" s="151" t="s">
        <v>1213</v>
      </c>
      <c r="O242" s="238" t="s">
        <v>1207</v>
      </c>
      <c r="P242" s="237" t="s">
        <v>1105</v>
      </c>
      <c r="Q242" s="236"/>
    </row>
    <row r="243" spans="13:17">
      <c r="M243" s="235" t="s">
        <v>1212</v>
      </c>
      <c r="N243" s="151" t="s">
        <v>1213</v>
      </c>
      <c r="O243" s="238" t="s">
        <v>1207</v>
      </c>
      <c r="P243" s="237" t="s">
        <v>1105</v>
      </c>
      <c r="Q243" s="236"/>
    </row>
    <row r="244" spans="13:17">
      <c r="M244" s="235" t="s">
        <v>1112</v>
      </c>
      <c r="N244" s="151" t="s">
        <v>1213</v>
      </c>
      <c r="O244" s="236" t="s">
        <v>1207</v>
      </c>
      <c r="P244" s="237" t="s">
        <v>1105</v>
      </c>
      <c r="Q244" s="236"/>
    </row>
    <row r="245" spans="13:17">
      <c r="M245" s="235" t="s">
        <v>2269</v>
      </c>
      <c r="N245" s="151" t="s">
        <v>2270</v>
      </c>
      <c r="O245" s="151" t="s">
        <v>1209</v>
      </c>
      <c r="P245" s="237" t="s">
        <v>1203</v>
      </c>
      <c r="Q245" s="151"/>
    </row>
  </sheetData>
  <autoFilter ref="T1:T245"/>
  <mergeCells count="49">
    <mergeCell ref="A1:A2"/>
    <mergeCell ref="N1:N2"/>
    <mergeCell ref="M1:M2"/>
    <mergeCell ref="L1:L2"/>
    <mergeCell ref="P1:P2"/>
    <mergeCell ref="O1:O2"/>
    <mergeCell ref="E1:E2"/>
    <mergeCell ref="B1:B2"/>
    <mergeCell ref="F1:F2"/>
    <mergeCell ref="D1:D2"/>
    <mergeCell ref="G2:K2"/>
    <mergeCell ref="DV1:DV2"/>
    <mergeCell ref="T1:T2"/>
    <mergeCell ref="Q1:Q2"/>
    <mergeCell ref="S1:S2"/>
    <mergeCell ref="R1:R2"/>
    <mergeCell ref="DW4:DW18"/>
    <mergeCell ref="DW27:DW34"/>
    <mergeCell ref="DW36:DW41"/>
    <mergeCell ref="DW43:DW58"/>
    <mergeCell ref="DW60:DW66"/>
    <mergeCell ref="DW20:DW25"/>
    <mergeCell ref="DW207:DW219"/>
    <mergeCell ref="DW222:DW227"/>
    <mergeCell ref="DW75:DW80"/>
    <mergeCell ref="DW82:DW83"/>
    <mergeCell ref="DW85:DW105"/>
    <mergeCell ref="DW107:DW138"/>
    <mergeCell ref="DY27:DY34"/>
    <mergeCell ref="DY36:DY41"/>
    <mergeCell ref="DY43:DY58"/>
    <mergeCell ref="DW161:DW205"/>
    <mergeCell ref="DY20:DY25"/>
    <mergeCell ref="DY207:DY219"/>
    <mergeCell ref="DY222:DY227"/>
    <mergeCell ref="C1:C2"/>
    <mergeCell ref="Y86:Y87"/>
    <mergeCell ref="Y89:Y90"/>
    <mergeCell ref="DW140:DW159"/>
    <mergeCell ref="DY140:DY159"/>
    <mergeCell ref="DY82:DY83"/>
    <mergeCell ref="DY85:DY105"/>
    <mergeCell ref="DY107:DY138"/>
    <mergeCell ref="DY161:DY205"/>
    <mergeCell ref="DY60:DY66"/>
    <mergeCell ref="DW68:DW73"/>
    <mergeCell ref="DY68:DY73"/>
    <mergeCell ref="DY75:DY80"/>
    <mergeCell ref="DY4:DY18"/>
  </mergeCells>
  <phoneticPr fontId="3" type="noConversion"/>
  <dataValidations count="110">
    <dataValidation type="list" allowBlank="1" showInputMessage="1" showErrorMessage="1" sqref="AK243:AK1048576 AK60:AK66 DR20:DR25 DR4:DR18 DR161:DR204 DR156 DR97:DR105 DR140:DR153 DR27:DR34 DR43:DR58 DR60:DR66 L36:L40 AF4:AF18 AP4:AP12 AK4:AK17 CN4:CN18 CS4:CS18 DM4:DM18 CX4:CX18 CI4:CI18 V4:V18 BY4:BY18 DC4:DC17 CD4:CD18 BO4:BO18 BT4:BT18 AA4:AA10 BE4:BE18 BJ4:BJ18 DH4:DH18 L4:L18 AZ4:AZ18 EB18 BY20:BY25 BE20:BE25 CD20:CD25 BJ20:BJ25 AP20:AP25 V20:V25 L20:L25 BO20:BO25 AA20:AA25 BT20:BT25 CI20:CI25 DM20:DM25 DH20:DH25 DC20:DC25 CN20:CN25 AZ20:AZ25 AF20:AF25 AK43:AK57 DM161:DM204 DM156 DH161:DH204 DH156 DC161:DC204 DC156 CX161:CX204 CX156 CN161:CN204 CN156 CI161:CI204 CI156 CS161:CS204 CS156 CD161:CD205 BY161:BY205 L165:L205 BE161:BE205 AZ161:AZ205 AU161:AU205 EB85:EB91 AP161:AP205 AF161:AF205 BO161:BO205 AA161:AA205 AK161:AK205 BJ161:BJ205 BT161:BT205 V161:V205 AZ75:AZ80 AZ38:AZ40 AZ36 EB64:EB66 EL64:EL66 AZ82:AZ83 AU60:AU66 AU28:AU32 DM97:DM105 CX97:CX105 CI97:CI105 BY97:BY105 CD97:CD105 BO97:BO105 BT97:BT105 BE97:BE105 BJ97:BJ105 DH97:DH105 DC97:DC105 CN95:CN105 AF43:AF58 AF85:AF92 AF98:AF105 AU20:AU25 AU43:AU58 DH140:DH153 DC140:DC153 CX140:CX153 CN140:CN153 CI140:CI153 CS140:CS153 DM140:DM153 CS97:CS105 V107:V138 L107:L138 AK92:AK97 AK100:AK105 AZ68:AZ73 AZ85:AZ105 AU68:AU73 AU82 V43:V58 L43:L58 AF60:AF66 CD140:CD159 AA43:AA58 AP43:AP58 AP75:AP80 AP60:AP66 AA60:AA66 AA68:AA73 L82:L83 AF82:AF83 DC75:DC80 V82:V83 CS78 AK75:AK80 AA75:AA80 AF71:AF73 V68:V73 CX75:CX80 AP68:AP73 CN75:CN80 CS71:CS73 L75:L80 L68:L73 CN68:CN73 CX68:CX73 AK68:AK73 V75:V80 AF78 AA27:AA31 AP82:AP83 CN27:CN31 AA33:AA34 AF27:AF30 V36 V38:V40 AA12:AA18 AF32:AF34 V27:V34 BO27:BO34 BT27:BT34 BY27:BY34 BE27:BE34 BJ27:BJ34 CD27:CD34 CS27:CS34 CX27:CX34 CI27:CI34 CN33:CN34 DC27:DC34 DH27:DH34 DM27:DM34 AK27:AK34 L60:L66 AZ34 AZ27:AZ32 AZ60:AZ66 AP27:AP34 V60:V66 V85:V105 AA85:AA105 BE60:BE66 L85:L105 CI43:CI58 BE43:BE58 CS43:CS58 BY43:BY58 DM43:DM58 CX43:CX58 DH43:DH58 DC43:DC58 BJ43:BJ58 CD43:CD58 BO43:BO58 BT43:BT58 CN43:CN58 CI60:CI66 CN60:CN66 BT60:BT66 BO60:BO66 CD60:CD66 BJ60:BJ66 DC60:DC66 DH60:DH66 CX60:CX66 DM60:DM66 BY60:BY66 CS60:CS66 AZ43:AZ58 AU93:AU105 L154:L159 BE140:BE159 AZ140:AZ159 AU140:AU159 V140:V159 AP140:AP159 AF140:AF159 BO140:BO159 AA140:AA159 AK140:AK159 BJ140:BJ159 BT140:BT159 BY140:BY159 L222:L229 DM207:DM220 DH207:DH220 CS207:CS220 CI207:CI220 CN207:CN220 CX207:CX220 AU207:AU220 BE207:BE220 CD207:CD220 AZ207:AZ220 L207:L220 BJ207:BJ220 AK207:AK220 AA207:AA220 BO207:BO220 AF207:AF220 V207:V220 BT207:BT220 BY207:BY220 AP207:AP220 DC207:DC220 DR207:DR220 DR222:DR229 BJ222:BJ229 V222:V229 CN222:CN229 DM222:DM229 DH222:DH229 DC222:DC229 CX222:CX229 CI222:CI229 CS222:CS229 BT222:BT229 CD222:CD229 AF222:AF229 BY222:BY229 BE222:BE229 AZ222:AZ229 AU222:AU229 AP222:AP229 BO222:BO229 AA222:AA229 AK222:AK229 DR232:DR1048576 CS243:CS1048576 CI232:CI1048576 CX232:CX1048576 DC232:DC1048576 DH232:DH1048576 DM232:DM1048576 CS232:CS234 CN232:CN234 AK232:AK234 AF237:AF1048576 BY232:BY1048576 BT232:BT1048576 BJ232:BJ1048576 AA232:AA1048576 BO232:BO1048576 AP232:AP1048576 V232:V1048576 AU232:AU1048576 AZ232:AZ1048576 BE232:BE1048576 CD232:CD1048576 AF232:AF234 CN237:CN1048576">
      <formula1>"AI,AO,AIO,SI,DI,DO,OD,OZ,B,BOD"</formula1>
    </dataValidation>
    <dataValidation showDropDown="1" showInputMessage="1" showErrorMessage="1" sqref="AB232:AB1048576 DS43:DS58 DS60:DS66 CO4:CO10 AG4:AG18 AB18 W4:W18 AB4:AB10 DI18 CT4:CT18 W20:W25 CO20:CO25 AB20:AB25 W36:W41 AG98:AG105 DS97:DS105 AB161:AB171 AB188:AB205 W161:W205 CL172:CL187 CJ161:CJ171 AD172:AD187 CJ188:CJ204 CJ156 EM64 CT60:CT66 BF97:BF105 BP97:BP105 BU97:BU105 BK97:BK105 CJ97:CJ105 DD97:DD105 CE97:CE105 CO97:CO105 CY97:CY105 DI97:DI105 CT97:CT105 DN97:DN105 CY60:CY66 AG85:AG92 CJ140:CJ153 BZ97:BZ105 AL92:AL97 AL43:AL50 CE60:CE66 AG60:AG65 AG27:AG30 W43:W58 AL61:AL62 AB60:AB65 W82:W83 AB27:AB34 W27:W34 AB43:AB58 W85:W91 CJ27:CJ32 CO27:CO34 CO60:CO66 W60:W66 DI43:DI58 CY43:CY58 CO43:CO58 CE43:CE58 DD43:DD58 CT43:CT58 CJ43:CJ58 BK43:BK58 BU43:BU58 BP43:BP58 BF43:BF58 BZ43:BZ58 DN43:DN58 DI60:DI66 DN60:DN66 BZ60:BZ66 BF60:BF66 BP60:BP66 BU60:BU66 BK60:BK66 CJ60:CJ66 DD60:DD66 AB140:AB159 W140:W159 AG45:AG56 AB207:AB220 CJ207:CJ220 W207:W220 W222:W229 CJ222:CJ229 AB222:AB229 W232:W1048576 CJ232:CJ1048576"/>
    <dataValidation type="list" allowBlank="1" showInputMessage="1" showErrorMessage="1" sqref="E246:E1048576 E20:E25 E4:E18 E161:E205 E107:E138 E43:E58 E60:E66 E82:E83 E68:E73 E85:E105 E36:E41 E27:E34 E75:E80 E140:E159 E207:E220 E222:E229 E234">
      <formula1>"MUX_NA,MUX_D,MUX_C"</formula1>
    </dataValidation>
    <dataValidation type="list" allowBlank="1" showInputMessage="1" showErrorMessage="1" sqref="B245:D1048576 B140:D159 B20:D25 B4:D18 B85:D105 B161:D205 B107:D138 B36:D41 B43:D58 B68:D73 B75:D80 B60:D66 B27:D34 B82:D83 B222:D229 B207:D220 B233:D233">
      <formula1>"Y,N"</formula1>
    </dataValidation>
    <dataValidation type="list" allowBlank="1" showInputMessage="1" showErrorMessage="1" sqref="P246:P1048576 P229">
      <formula1>"0mA,2mA,3mA,4mA,6mA,8mA,9mA,10mA,12mA,15mA,18mA"</formula1>
    </dataValidation>
    <dataValidation type="list" allowBlank="1" showInputMessage="1" showErrorMessage="1" sqref="Q246:Q1048576 Q3:Q220 Q222:Q229">
      <formula1>"PU,PD,IX,OZ,OH,OL,NA"</formula1>
    </dataValidation>
    <dataValidation type="list" allowBlank="1" showInputMessage="1" showErrorMessage="1" sqref="S222:S229 S4:S18 S20:S25 S161:S205 S107:S138 S43:S58 S60:S66 S82:S83 S68:S73 S36:S41 S27:S34 S85:S105 S75:S80 S140:S159 S207:S220">
      <formula1>"pull-up,pull-down,pull-up control,pull-down control,pull-up/down control,NA"</formula1>
    </dataValidation>
    <dataValidation type="list" allowBlank="1" showInputMessage="1" showErrorMessage="1" sqref="O222:O229 O161:O205 O140:O159 O220">
      <formula1>"SSTL,Analog,Analog Power,Analog gnd,Digital power,Digital gnd,LVCMOS,LVTTL,SSTL2,USB2,LVDS,CML,ECL"</formula1>
    </dataValidation>
    <dataValidation type="list" allowBlank="1" showInputMessage="1" showErrorMessage="1" sqref="P207:P220 P4:P18 P20:P25 P36:P41 P43:P58 P60:P66 P68:P73 P75:P80 P82:P83 P85:P105 P107:P138 P140:P159 P161:P205 P222:P228">
      <formula1>"0mA,4mA,8mA,12mA,16mA"</formula1>
    </dataValidation>
    <dataValidation type="list" allowBlank="1" showInputMessage="1" showErrorMessage="1" sqref="L161:L164 L41 V37 V41 CN32 AA32 L140:L153">
      <formula1>"AI,AO,AIO,SI,DI,DO,OD,OT,B,BOD"</formula1>
    </dataValidation>
    <dataValidation type="list" allowBlank="1" showInputMessage="1" showErrorMessage="1" sqref="AQ107:AQ138 DU68:DU73 DT107:DT138 DQ95:DQ96 DU92:DU105 DU82:DU83 DU75:DU80 DP68:DQ73 AI107:AI138 CI112:CI138 CM107:CM138 DO107:DO138 DK107:DK138 DG107:DG138 DC107:DC138 CY107:CY138 CU107:CU138 AA112:AA138 CQ107:CQ138 AE107:AE138 BK107:BK138 BS107:BS138 BO107:BO138 BW107:BW138 BG107:BG138 BC107:BC138 AY107:AY138 AU107:AU138 AM107:AM138 BD95:BD96 AQ92:AQ105 BH95:BH96 BP95:BP96 BX95:BX96 BT95:BT96 AM83 DL95:DL96 DH95:DH96 DD95:DD96 CB95:CB96 CB82:CB83 BX82:BX83 BT82:BT83 BL82:BL83 BD82:BD83 BH82:BH83 CR82:CR83 DL82:DL83 DP92:DP105 DH82:DH83 DD82:DD83 AI82:AI83 CZ82:CZ83 CV82:CV83 CZ95:CZ96 BH75:BH80 BP82:BP83 BL95:BL96 CV95:CV96 BD75:BD80 BL75:BL80 BP75:BP80 BX75:BX80 BT75:BT80 CB75:CB80 DH75:DH80 DP82:DQ83 DL75:DL80 DD68:DD73 DL68:DL73 DP75:DQ80 DH68:DH73 CB68:CB73 BT68:BT73 BX68:BX73 BP68:BP73 BL68:BL73 BD68:BD73 BH68:BH73 AE93:AE96 CR95:CR96">
      <formula1>"output,input,Bi,output-3state"</formula1>
    </dataValidation>
    <dataValidation type="list" allowBlank="1" showInputMessage="1" showErrorMessage="1" sqref="O107:O138 O4:O18 O20:O25 O63 O75:O80 O68:O73 O82:O83 O27:O34 O43:O56 O36:O41 O85:O105">
      <formula1>"Analog,Analog Power,Analog gnd,Digital power,Digital gnd,LVCMOS,LVTTL,SSTL2,USB2,LVDS,CML,ECL"</formula1>
    </dataValidation>
    <dataValidation type="list" allowBlank="1" showInputMessage="1" showErrorMessage="1" sqref="AF93:AF95 CS95 CS82:CS83">
      <formula1>"Static,Dynamic"</formula1>
    </dataValidation>
    <dataValidation type="list" allowBlank="1" showInputMessage="1" showErrorMessage="1" sqref="AH4:AH17 CU4:CU17">
      <formula1>"output-normal,output-clk,output-od,output-3state,input-normal,input-clk,Bi-normal,Bi-clk,input-shmit,input-shclk,Bi-shmit,Bi-shclk"</formula1>
    </dataValidation>
    <dataValidation type="list" allowBlank="1" showInputMessage="1" showErrorMessage="1" sqref="P27:P34">
      <formula1>"0mA,4mA,8mA,12mA,16mA,20mA,24mA,32mA,40mA"</formula1>
    </dataValidation>
    <dataValidation type="list" allowBlank="1" showInputMessage="1" showErrorMessage="1" sqref="G105">
      <formula1>_105</formula1>
    </dataValidation>
    <dataValidation type="list" allowBlank="1" showInputMessage="1" showErrorMessage="1" sqref="G104">
      <formula1>_104</formula1>
    </dataValidation>
    <dataValidation type="list" allowBlank="1" showInputMessage="1" showErrorMessage="1" sqref="G103">
      <formula1>_103</formula1>
    </dataValidation>
    <dataValidation type="list" allowBlank="1" showInputMessage="1" showErrorMessage="1" sqref="G102">
      <formula1>_102</formula1>
    </dataValidation>
    <dataValidation type="list" allowBlank="1" showInputMessage="1" showErrorMessage="1" sqref="G101">
      <formula1>_101</formula1>
    </dataValidation>
    <dataValidation type="list" allowBlank="1" showInputMessage="1" showErrorMessage="1" sqref="G100">
      <formula1>_100</formula1>
    </dataValidation>
    <dataValidation type="list" allowBlank="1" showInputMessage="1" showErrorMessage="1" sqref="G99">
      <formula1>_99</formula1>
    </dataValidation>
    <dataValidation type="list" allowBlank="1" showInputMessage="1" showErrorMessage="1" sqref="G98">
      <formula1>_98</formula1>
    </dataValidation>
    <dataValidation type="list" allowBlank="1" showInputMessage="1" showErrorMessage="1" sqref="G97">
      <formula1>_97</formula1>
    </dataValidation>
    <dataValidation type="list" allowBlank="1" showInputMessage="1" showErrorMessage="1" sqref="G96">
      <formula1>_96</formula1>
    </dataValidation>
    <dataValidation type="list" allowBlank="1" showInputMessage="1" showErrorMessage="1" sqref="G95">
      <formula1>_95</formula1>
    </dataValidation>
    <dataValidation type="list" allowBlank="1" showInputMessage="1" showErrorMessage="1" sqref="G94">
      <formula1>_94</formula1>
    </dataValidation>
    <dataValidation type="list" allowBlank="1" showInputMessage="1" showErrorMessage="1" sqref="G93">
      <formula1>_93</formula1>
    </dataValidation>
    <dataValidation type="list" allowBlank="1" showInputMessage="1" showErrorMessage="1" sqref="G92">
      <formula1>_92</formula1>
    </dataValidation>
    <dataValidation type="list" allowBlank="1" showInputMessage="1" showErrorMessage="1" sqref="G91">
      <formula1>_91</formula1>
    </dataValidation>
    <dataValidation type="list" allowBlank="1" showInputMessage="1" showErrorMessage="1" sqref="G90">
      <formula1>_90</formula1>
    </dataValidation>
    <dataValidation type="list" allowBlank="1" showInputMessage="1" showErrorMessage="1" sqref="G89">
      <formula1>_89</formula1>
    </dataValidation>
    <dataValidation type="list" allowBlank="1" showInputMessage="1" showErrorMessage="1" sqref="G88">
      <formula1>_88</formula1>
    </dataValidation>
    <dataValidation type="list" allowBlank="1" showInputMessage="1" showErrorMessage="1" sqref="G87">
      <formula1>_87</formula1>
    </dataValidation>
    <dataValidation type="list" allowBlank="1" showInputMessage="1" showErrorMessage="1" sqref="G86">
      <formula1>_86</formula1>
    </dataValidation>
    <dataValidation type="list" allowBlank="1" showInputMessage="1" showErrorMessage="1" sqref="G85">
      <formula1>_85</formula1>
    </dataValidation>
    <dataValidation type="list" allowBlank="1" showInputMessage="1" showErrorMessage="1" sqref="G83">
      <formula1>_83</formula1>
    </dataValidation>
    <dataValidation type="list" allowBlank="1" showInputMessage="1" showErrorMessage="1" sqref="G82">
      <formula1>_82</formula1>
    </dataValidation>
    <dataValidation type="list" allowBlank="1" showInputMessage="1" showErrorMessage="1" sqref="G80">
      <formula1>_80</formula1>
    </dataValidation>
    <dataValidation type="list" allowBlank="1" showInputMessage="1" showErrorMessage="1" sqref="G79">
      <formula1>_79</formula1>
    </dataValidation>
    <dataValidation type="list" allowBlank="1" showInputMessage="1" showErrorMessage="1" sqref="G78">
      <formula1>_78</formula1>
    </dataValidation>
    <dataValidation type="list" allowBlank="1" showInputMessage="1" showErrorMessage="1" sqref="G77">
      <formula1>_77</formula1>
    </dataValidation>
    <dataValidation type="list" allowBlank="1" showInputMessage="1" showErrorMessage="1" sqref="G76">
      <formula1>_76</formula1>
    </dataValidation>
    <dataValidation type="list" allowBlank="1" showInputMessage="1" showErrorMessage="1" sqref="G75">
      <formula1>_75</formula1>
    </dataValidation>
    <dataValidation type="list" allowBlank="1" showInputMessage="1" showErrorMessage="1" sqref="G73">
      <formula1>_73</formula1>
    </dataValidation>
    <dataValidation type="list" allowBlank="1" showInputMessage="1" showErrorMessage="1" sqref="G72">
      <formula1>_72</formula1>
    </dataValidation>
    <dataValidation type="list" allowBlank="1" showInputMessage="1" showErrorMessage="1" sqref="G71">
      <formula1>_71</formula1>
    </dataValidation>
    <dataValidation type="list" allowBlank="1" showInputMessage="1" showErrorMessage="1" sqref="G70">
      <formula1>_70</formula1>
    </dataValidation>
    <dataValidation type="list" allowBlank="1" showInputMessage="1" showErrorMessage="1" sqref="G69">
      <formula1>_69</formula1>
    </dataValidation>
    <dataValidation type="list" allowBlank="1" showInputMessage="1" showErrorMessage="1" sqref="G68">
      <formula1>_68</formula1>
    </dataValidation>
    <dataValidation type="list" allowBlank="1" showInputMessage="1" showErrorMessage="1" sqref="G66">
      <formula1>_66</formula1>
    </dataValidation>
    <dataValidation type="list" allowBlank="1" showInputMessage="1" showErrorMessage="1" sqref="G65">
      <formula1>_65</formula1>
    </dataValidation>
    <dataValidation type="list" allowBlank="1" showInputMessage="1" showErrorMessage="1" sqref="G64">
      <formula1>_64</formula1>
    </dataValidation>
    <dataValidation type="list" allowBlank="1" showInputMessage="1" showErrorMessage="1" sqref="G63">
      <formula1>_63</formula1>
    </dataValidation>
    <dataValidation type="list" allowBlank="1" showInputMessage="1" showErrorMessage="1" sqref="G62">
      <formula1>_62</formula1>
    </dataValidation>
    <dataValidation type="list" allowBlank="1" showInputMessage="1" showErrorMessage="1" sqref="G61">
      <formula1>_61</formula1>
    </dataValidation>
    <dataValidation type="list" allowBlank="1" showInputMessage="1" showErrorMessage="1" sqref="G60">
      <formula1>_60</formula1>
    </dataValidation>
    <dataValidation type="list" allowBlank="1" showInputMessage="1" showErrorMessage="1" sqref="G58">
      <formula1>_58</formula1>
    </dataValidation>
    <dataValidation type="list" allowBlank="1" showInputMessage="1" showErrorMessage="1" sqref="G57">
      <formula1>_57</formula1>
    </dataValidation>
    <dataValidation type="list" allowBlank="1" showInputMessage="1" showErrorMessage="1" sqref="G56">
      <formula1>_56</formula1>
    </dataValidation>
    <dataValidation type="list" allowBlank="1" showInputMessage="1" showErrorMessage="1" sqref="G55">
      <formula1>_55</formula1>
    </dataValidation>
    <dataValidation type="list" allowBlank="1" showInputMessage="1" showErrorMessage="1" sqref="G54">
      <formula1>_54</formula1>
    </dataValidation>
    <dataValidation type="list" allowBlank="1" showInputMessage="1" showErrorMessage="1" sqref="G53">
      <formula1>_53</formula1>
    </dataValidation>
    <dataValidation type="list" allowBlank="1" showInputMessage="1" showErrorMessage="1" sqref="G52">
      <formula1>_52</formula1>
    </dataValidation>
    <dataValidation type="list" allowBlank="1" showInputMessage="1" showErrorMessage="1" sqref="G51">
      <formula1>_51</formula1>
    </dataValidation>
    <dataValidation type="list" allowBlank="1" showInputMessage="1" showErrorMessage="1" sqref="G50">
      <formula1>_50</formula1>
    </dataValidation>
    <dataValidation type="list" allowBlank="1" showInputMessage="1" showErrorMessage="1" sqref="G49">
      <formula1>_49</formula1>
    </dataValidation>
    <dataValidation type="list" allowBlank="1" showInputMessage="1" showErrorMessage="1" sqref="G48">
      <formula1>_48</formula1>
    </dataValidation>
    <dataValidation type="list" allowBlank="1" showInputMessage="1" showErrorMessage="1" sqref="G47">
      <formula1>_47</formula1>
    </dataValidation>
    <dataValidation type="list" allowBlank="1" showInputMessage="1" showErrorMessage="1" sqref="G46">
      <formula1>_46</formula1>
    </dataValidation>
    <dataValidation type="list" allowBlank="1" showInputMessage="1" showErrorMessage="1" sqref="G45">
      <formula1>_45</formula1>
    </dataValidation>
    <dataValidation type="list" allowBlank="1" showInputMessage="1" showErrorMessage="1" sqref="G44">
      <formula1>_44</formula1>
    </dataValidation>
    <dataValidation type="list" allowBlank="1" showInputMessage="1" showErrorMessage="1" sqref="G43">
      <formula1>_43</formula1>
    </dataValidation>
    <dataValidation type="list" allowBlank="1" showInputMessage="1" showErrorMessage="1" sqref="G41">
      <formula1>_41</formula1>
    </dataValidation>
    <dataValidation type="list" allowBlank="1" showInputMessage="1" showErrorMessage="1" sqref="G40">
      <formula1>_40</formula1>
    </dataValidation>
    <dataValidation type="list" allowBlank="1" showInputMessage="1" showErrorMessage="1" sqref="G39">
      <formula1>_39</formula1>
    </dataValidation>
    <dataValidation type="list" allowBlank="1" showInputMessage="1" showErrorMessage="1" sqref="G38">
      <formula1>_38</formula1>
    </dataValidation>
    <dataValidation type="list" allowBlank="1" showInputMessage="1" showErrorMessage="1" sqref="G37">
      <formula1>_37</formula1>
    </dataValidation>
    <dataValidation type="list" allowBlank="1" showInputMessage="1" showErrorMessage="1" sqref="G36">
      <formula1>_36</formula1>
    </dataValidation>
    <dataValidation type="list" allowBlank="1" showInputMessage="1" showErrorMessage="1" sqref="G32">
      <formula1>_32</formula1>
    </dataValidation>
    <dataValidation type="list" allowBlank="1" showInputMessage="1" showErrorMessage="1" sqref="G31">
      <formula1>_31</formula1>
    </dataValidation>
    <dataValidation type="list" allowBlank="1" showInputMessage="1" showErrorMessage="1" sqref="G30">
      <formula1>_30</formula1>
    </dataValidation>
    <dataValidation type="list" allowBlank="1" showInputMessage="1" showErrorMessage="1" sqref="G29">
      <formula1>_29</formula1>
    </dataValidation>
    <dataValidation type="list" allowBlank="1" showInputMessage="1" showErrorMessage="1" sqref="G28">
      <formula1>_28</formula1>
    </dataValidation>
    <dataValidation type="list" allowBlank="1" showInputMessage="1" showErrorMessage="1" sqref="G27">
      <formula1>_27</formula1>
    </dataValidation>
    <dataValidation type="list" allowBlank="1" showInputMessage="1" showErrorMessage="1" sqref="G25">
      <formula1>_25</formula1>
    </dataValidation>
    <dataValidation type="list" allowBlank="1" showInputMessage="1" showErrorMessage="1" sqref="G24">
      <formula1>_24</formula1>
    </dataValidation>
    <dataValidation type="list" allowBlank="1" showInputMessage="1" showErrorMessage="1" sqref="G23">
      <formula1>_23</formula1>
    </dataValidation>
    <dataValidation type="list" allowBlank="1" showInputMessage="1" showErrorMessage="1" sqref="G22">
      <formula1>_22</formula1>
    </dataValidation>
    <dataValidation type="list" allowBlank="1" showInputMessage="1" showErrorMessage="1" sqref="G21">
      <formula1>_21</formula1>
    </dataValidation>
    <dataValidation type="list" allowBlank="1" showInputMessage="1" showErrorMessage="1" sqref="G20">
      <formula1>_20</formula1>
    </dataValidation>
    <dataValidation type="list" allowBlank="1" showInputMessage="1" showErrorMessage="1" sqref="G18">
      <formula1>_18</formula1>
    </dataValidation>
    <dataValidation type="list" allowBlank="1" showInputMessage="1" showErrorMessage="1" sqref="G17">
      <formula1>_17</formula1>
    </dataValidation>
    <dataValidation type="list" allowBlank="1" showInputMessage="1" showErrorMessage="1" sqref="G16">
      <formula1>_16</formula1>
    </dataValidation>
    <dataValidation type="list" allowBlank="1" showInputMessage="1" showErrorMessage="1" sqref="G15">
      <formula1>_15</formula1>
    </dataValidation>
    <dataValidation type="list" allowBlank="1" showInputMessage="1" showErrorMessage="1" sqref="G14">
      <formula1>_14</formula1>
    </dataValidation>
    <dataValidation type="list" allowBlank="1" showInputMessage="1" showErrorMessage="1" sqref="G13">
      <formula1>_13</formula1>
    </dataValidation>
    <dataValidation type="list" allowBlank="1" showInputMessage="1" showErrorMessage="1" sqref="G12">
      <formula1>_12</formula1>
    </dataValidation>
    <dataValidation type="list" allowBlank="1" showInputMessage="1" showErrorMessage="1" sqref="G11">
      <formula1>_11</formula1>
    </dataValidation>
    <dataValidation type="list" allowBlank="1" showInputMessage="1" showErrorMessage="1" sqref="G10">
      <formula1>_10</formula1>
    </dataValidation>
    <dataValidation type="list" allowBlank="1" showInputMessage="1" showErrorMessage="1" sqref="G9">
      <formula1>_9</formula1>
    </dataValidation>
    <dataValidation type="list" allowBlank="1" showInputMessage="1" showErrorMessage="1" sqref="G8">
      <formula1>_8</formula1>
    </dataValidation>
    <dataValidation type="list" allowBlank="1" showInputMessage="1" showErrorMessage="1" sqref="G7">
      <formula1>_7</formula1>
    </dataValidation>
    <dataValidation type="list" allowBlank="1" showInputMessage="1" showErrorMessage="1" sqref="G6">
      <formula1>_6</formula1>
    </dataValidation>
    <dataValidation type="list" allowBlank="1" showInputMessage="1" showErrorMessage="1" sqref="G5">
      <formula1>_5</formula1>
    </dataValidation>
    <dataValidation type="list" allowBlank="1" showInputMessage="1" showErrorMessage="1" sqref="G4">
      <formula1>_4</formula1>
    </dataValidation>
    <dataValidation type="list" allowBlank="1" showInputMessage="1" showErrorMessage="1" sqref="I27:I32">
      <formula1>"default,0mA,4mA,8mA,12mA,16mA,20mA,24mA,32mA,40mA"</formula1>
    </dataValidation>
    <dataValidation type="list" allowBlank="1" showInputMessage="1" showErrorMessage="1" sqref="I4:I18 I85:I105 I82:I83 I75:I80 I68:I73 I60:I66 I43:I58 I36:I41 I20:I25">
      <formula1>"default,0mA,4mA,8mA,12mA,16mA"</formula1>
    </dataValidation>
    <dataValidation type="list" allowBlank="1" showInputMessage="1" showErrorMessage="1" sqref="H4:H18 H85:H105 H82:H83 H75:H80 H68:H73 H60:H66 H43:H58 H27:H32 H20:H25">
      <formula1>"default,pull-up,pull-down,no-pull"</formula1>
    </dataValidation>
    <dataValidation type="list" allowBlank="1" showInputMessage="1" showErrorMessage="1" sqref="J4:K18 J85:K105 J82:K83 J75:K80 J68:K73 J60:K66 J43:K58 J36:K41 J27:K32 J20:K25">
      <formula1>"Yes,No"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landscape" horizontalDpi="1200" verticalDpi="1200" r:id="rId1"/>
  <headerFooter alignWithMargins="0">
    <oddHeader>&amp;LHi6910 V100R001 SI&amp;PKG_REQ&amp;R机密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J30"/>
  <sheetViews>
    <sheetView workbookViewId="0">
      <selection activeCell="A11" sqref="A11:XFD13"/>
    </sheetView>
  </sheetViews>
  <sheetFormatPr defaultRowHeight="14.25"/>
  <cols>
    <col min="1" max="1" width="6.5" style="163" bestFit="1" customWidth="1"/>
    <col min="2" max="3" width="12.75" style="163" bestFit="1" customWidth="1"/>
    <col min="4" max="5" width="15" style="163" bestFit="1" customWidth="1"/>
    <col min="6" max="8" width="9" style="163"/>
    <col min="9" max="10" width="10.5" style="163" bestFit="1" customWidth="1"/>
    <col min="11" max="16384" width="9" style="163"/>
  </cols>
  <sheetData>
    <row r="1" spans="1:10">
      <c r="A1" s="151" t="s">
        <v>591</v>
      </c>
      <c r="B1" s="151" t="s">
        <v>594</v>
      </c>
      <c r="C1" s="151" t="s">
        <v>595</v>
      </c>
      <c r="D1" s="151" t="s">
        <v>596</v>
      </c>
      <c r="E1" s="151" t="s">
        <v>597</v>
      </c>
      <c r="F1" s="163">
        <v>1.8</v>
      </c>
    </row>
    <row r="2" spans="1:10">
      <c r="A2" s="151" t="s">
        <v>592</v>
      </c>
      <c r="B2" s="151" t="s">
        <v>598</v>
      </c>
      <c r="C2" s="151" t="s">
        <v>579</v>
      </c>
      <c r="D2" s="151" t="s">
        <v>580</v>
      </c>
      <c r="E2" s="151" t="s">
        <v>581</v>
      </c>
      <c r="F2" s="163">
        <v>1.8</v>
      </c>
    </row>
    <row r="3" spans="1:10">
      <c r="A3" s="151" t="s">
        <v>593</v>
      </c>
      <c r="B3" s="151" t="s">
        <v>599</v>
      </c>
      <c r="C3" s="151" t="s">
        <v>582</v>
      </c>
      <c r="D3" s="151" t="s">
        <v>583</v>
      </c>
      <c r="E3" s="151" t="s">
        <v>584</v>
      </c>
      <c r="F3" s="163">
        <v>1.8</v>
      </c>
    </row>
    <row r="4" spans="1:10">
      <c r="A4" s="151" t="s">
        <v>759</v>
      </c>
      <c r="B4" s="151" t="s">
        <v>761</v>
      </c>
      <c r="C4" s="151" t="s">
        <v>762</v>
      </c>
      <c r="D4" s="151" t="s">
        <v>763</v>
      </c>
      <c r="E4" s="151" t="s">
        <v>764</v>
      </c>
      <c r="F4" s="163">
        <v>1.8</v>
      </c>
    </row>
    <row r="5" spans="1:10" ht="13.5" customHeight="1">
      <c r="A5" s="151">
        <v>1</v>
      </c>
      <c r="B5" s="151" t="s">
        <v>767</v>
      </c>
      <c r="C5" s="151" t="s">
        <v>600</v>
      </c>
      <c r="D5" s="151" t="s">
        <v>601</v>
      </c>
      <c r="E5" s="151" t="s">
        <v>602</v>
      </c>
      <c r="G5" s="192" t="s">
        <v>777</v>
      </c>
      <c r="H5" s="193" t="s">
        <v>778</v>
      </c>
    </row>
    <row r="6" spans="1:10" ht="13.5" customHeight="1">
      <c r="A6" s="151">
        <v>2</v>
      </c>
      <c r="B6" s="151" t="s">
        <v>604</v>
      </c>
      <c r="C6" s="151" t="s">
        <v>603</v>
      </c>
      <c r="D6" s="151" t="s">
        <v>605</v>
      </c>
      <c r="E6" s="151" t="s">
        <v>606</v>
      </c>
      <c r="I6" s="190" t="s">
        <v>780</v>
      </c>
    </row>
    <row r="7" spans="1:10" ht="13.5" customHeight="1">
      <c r="A7" s="151">
        <v>3</v>
      </c>
      <c r="B7" s="151" t="s">
        <v>608</v>
      </c>
      <c r="C7" s="151" t="s">
        <v>607</v>
      </c>
      <c r="D7" s="151" t="s">
        <v>609</v>
      </c>
      <c r="E7" s="151" t="s">
        <v>610</v>
      </c>
      <c r="H7" s="193" t="s">
        <v>779</v>
      </c>
      <c r="I7" s="191" t="s">
        <v>782</v>
      </c>
    </row>
    <row r="8" spans="1:10" ht="13.5" customHeight="1">
      <c r="A8" s="151">
        <v>4</v>
      </c>
      <c r="B8" s="151" t="s">
        <v>611</v>
      </c>
      <c r="C8" s="151" t="s">
        <v>612</v>
      </c>
      <c r="D8" s="151" t="s">
        <v>613</v>
      </c>
      <c r="E8" s="151" t="s">
        <v>614</v>
      </c>
      <c r="I8" s="194" t="s">
        <v>781</v>
      </c>
      <c r="J8" s="195" t="s">
        <v>784</v>
      </c>
    </row>
    <row r="9" spans="1:10">
      <c r="A9" s="151">
        <v>5</v>
      </c>
      <c r="B9" s="151" t="s">
        <v>616</v>
      </c>
      <c r="C9" s="151" t="s">
        <v>615</v>
      </c>
      <c r="D9" s="151" t="s">
        <v>617</v>
      </c>
      <c r="E9" s="151" t="s">
        <v>618</v>
      </c>
      <c r="G9" s="186"/>
    </row>
    <row r="10" spans="1:10">
      <c r="A10" s="151">
        <v>6</v>
      </c>
      <c r="B10" s="151" t="s">
        <v>625</v>
      </c>
      <c r="C10" s="151" t="s">
        <v>625</v>
      </c>
      <c r="D10" s="151" t="s">
        <v>617</v>
      </c>
      <c r="E10" s="151" t="s">
        <v>618</v>
      </c>
      <c r="G10" s="186"/>
    </row>
    <row r="11" spans="1:10">
      <c r="A11" s="151">
        <v>7</v>
      </c>
      <c r="B11" s="151" t="s">
        <v>616</v>
      </c>
      <c r="C11" s="151" t="s">
        <v>615</v>
      </c>
      <c r="D11" s="151" t="s">
        <v>625</v>
      </c>
      <c r="E11" s="151" t="s">
        <v>625</v>
      </c>
      <c r="G11" s="192" t="s">
        <v>776</v>
      </c>
      <c r="J11" s="195" t="s">
        <v>785</v>
      </c>
    </row>
    <row r="12" spans="1:10">
      <c r="A12" s="151">
        <v>8</v>
      </c>
      <c r="B12" s="151" t="s">
        <v>619</v>
      </c>
      <c r="C12" s="151" t="s">
        <v>620</v>
      </c>
      <c r="D12" s="151" t="s">
        <v>621</v>
      </c>
      <c r="E12" s="151" t="s">
        <v>622</v>
      </c>
    </row>
    <row r="13" spans="1:10">
      <c r="A13" s="151">
        <v>9</v>
      </c>
      <c r="B13" s="151" t="s">
        <v>623</v>
      </c>
      <c r="C13" s="151" t="s">
        <v>624</v>
      </c>
      <c r="D13" s="151" t="s">
        <v>625</v>
      </c>
      <c r="E13" s="151" t="s">
        <v>625</v>
      </c>
      <c r="G13" s="192" t="s">
        <v>775</v>
      </c>
      <c r="H13" s="193" t="s">
        <v>775</v>
      </c>
    </row>
    <row r="14" spans="1:10">
      <c r="A14" s="151">
        <v>10</v>
      </c>
      <c r="B14" s="151" t="s">
        <v>611</v>
      </c>
      <c r="C14" s="151" t="s">
        <v>612</v>
      </c>
      <c r="D14" s="151" t="s">
        <v>625</v>
      </c>
      <c r="E14" s="151" t="s">
        <v>625</v>
      </c>
      <c r="I14" s="188"/>
      <c r="J14" s="189"/>
    </row>
    <row r="15" spans="1:10">
      <c r="A15" s="151">
        <v>11</v>
      </c>
      <c r="B15" s="151" t="s">
        <v>603</v>
      </c>
      <c r="C15" s="151" t="s">
        <v>604</v>
      </c>
      <c r="D15" s="151" t="s">
        <v>625</v>
      </c>
      <c r="E15" s="151" t="s">
        <v>625</v>
      </c>
      <c r="I15" s="188"/>
    </row>
    <row r="16" spans="1:10">
      <c r="A16" s="151">
        <v>12</v>
      </c>
      <c r="B16" s="181" t="s">
        <v>615</v>
      </c>
      <c r="C16" s="181" t="s">
        <v>616</v>
      </c>
      <c r="D16" s="181" t="s">
        <v>623</v>
      </c>
      <c r="E16" s="181" t="s">
        <v>624</v>
      </c>
      <c r="G16" s="186"/>
    </row>
    <row r="18" spans="1:10">
      <c r="A18" s="185" t="s">
        <v>771</v>
      </c>
      <c r="J18" s="163" t="s">
        <v>788</v>
      </c>
    </row>
    <row r="19" spans="1:10">
      <c r="A19" s="186" t="s">
        <v>772</v>
      </c>
      <c r="J19" s="163" t="s">
        <v>789</v>
      </c>
    </row>
    <row r="20" spans="1:10">
      <c r="A20" s="187" t="s">
        <v>773</v>
      </c>
      <c r="J20" s="163" t="s">
        <v>790</v>
      </c>
    </row>
    <row r="21" spans="1:10">
      <c r="A21" s="188" t="s">
        <v>774</v>
      </c>
      <c r="J21" s="163" t="s">
        <v>791</v>
      </c>
    </row>
    <row r="22" spans="1:10">
      <c r="A22" s="189" t="s">
        <v>783</v>
      </c>
      <c r="J22" s="163" t="s">
        <v>786</v>
      </c>
    </row>
    <row r="23" spans="1:10">
      <c r="J23" s="163" t="s">
        <v>787</v>
      </c>
    </row>
    <row r="24" spans="1:10">
      <c r="J24" s="163" t="s">
        <v>792</v>
      </c>
    </row>
    <row r="25" spans="1:10">
      <c r="J25" s="163" t="s">
        <v>793</v>
      </c>
    </row>
    <row r="26" spans="1:10">
      <c r="J26" s="163" t="s">
        <v>794</v>
      </c>
    </row>
    <row r="27" spans="1:10">
      <c r="J27" s="163" t="s">
        <v>795</v>
      </c>
    </row>
    <row r="28" spans="1:10">
      <c r="J28" s="163" t="s">
        <v>796</v>
      </c>
    </row>
    <row r="29" spans="1:10">
      <c r="J29" s="163" t="s">
        <v>797</v>
      </c>
    </row>
    <row r="30" spans="1:10">
      <c r="J30" s="163" t="s">
        <v>798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3"/>
  <dimension ref="A1:J90"/>
  <sheetViews>
    <sheetView workbookViewId="0">
      <selection activeCell="E29" sqref="E29"/>
    </sheetView>
  </sheetViews>
  <sheetFormatPr defaultRowHeight="14.25"/>
  <cols>
    <col min="1" max="1" width="18.375" style="294" customWidth="1"/>
    <col min="2" max="2" width="11.5" style="294" customWidth="1"/>
    <col min="3" max="3" width="24.75" style="294" customWidth="1"/>
    <col min="4" max="4" width="15.625" style="294" customWidth="1"/>
    <col min="5" max="5" width="29.75" style="294" customWidth="1"/>
    <col min="6" max="6" width="21.25" style="294" hidden="1" customWidth="1"/>
    <col min="7" max="7" width="22.5" style="294" customWidth="1"/>
    <col min="8" max="16384" width="9" style="294"/>
  </cols>
  <sheetData>
    <row r="1" spans="1:9" ht="15.75">
      <c r="A1" s="327" t="s">
        <v>3050</v>
      </c>
      <c r="B1" s="327" t="s">
        <v>3051</v>
      </c>
      <c r="C1" s="327" t="s">
        <v>3052</v>
      </c>
      <c r="D1" s="327" t="s">
        <v>3053</v>
      </c>
      <c r="E1" s="327" t="s">
        <v>3054</v>
      </c>
      <c r="F1" s="327" t="s">
        <v>3055</v>
      </c>
      <c r="G1" s="327" t="s">
        <v>3056</v>
      </c>
      <c r="H1" s="293"/>
      <c r="I1" s="294" t="s">
        <v>2969</v>
      </c>
    </row>
    <row r="2" spans="1:9" ht="15">
      <c r="A2" s="328" t="s">
        <v>3057</v>
      </c>
      <c r="B2" s="328">
        <v>0.9</v>
      </c>
      <c r="C2" s="328" t="s">
        <v>2970</v>
      </c>
      <c r="D2" s="328"/>
      <c r="E2" s="328" t="s">
        <v>2970</v>
      </c>
      <c r="F2" s="328"/>
      <c r="G2" s="328"/>
    </row>
    <row r="3" spans="1:9" ht="15">
      <c r="A3" s="328" t="s">
        <v>3058</v>
      </c>
      <c r="B3" s="328">
        <v>0.9</v>
      </c>
      <c r="C3" s="328" t="s">
        <v>2971</v>
      </c>
      <c r="D3" s="328"/>
      <c r="E3" s="328" t="s">
        <v>2971</v>
      </c>
      <c r="F3" s="328"/>
      <c r="G3" s="328"/>
    </row>
    <row r="4" spans="1:9" ht="15">
      <c r="A4" s="328" t="s">
        <v>3059</v>
      </c>
      <c r="B4" s="328">
        <v>0</v>
      </c>
      <c r="C4" s="328" t="s">
        <v>2972</v>
      </c>
      <c r="D4" s="328"/>
      <c r="E4" s="328" t="s">
        <v>2972</v>
      </c>
      <c r="F4" s="328"/>
      <c r="G4" s="328"/>
    </row>
    <row r="5" spans="1:9" ht="15">
      <c r="A5" s="437" t="s">
        <v>3060</v>
      </c>
      <c r="B5" s="329">
        <v>1.8</v>
      </c>
      <c r="C5" s="329" t="s">
        <v>2973</v>
      </c>
      <c r="D5" s="329"/>
      <c r="E5" s="329" t="s">
        <v>2974</v>
      </c>
      <c r="F5" s="328"/>
      <c r="G5" s="439"/>
    </row>
    <row r="6" spans="1:9" ht="15">
      <c r="A6" s="441"/>
      <c r="B6" s="329">
        <v>1.8</v>
      </c>
      <c r="C6" s="329" t="s">
        <v>3061</v>
      </c>
      <c r="D6" s="329"/>
      <c r="E6" s="329" t="s">
        <v>2978</v>
      </c>
      <c r="F6" s="328"/>
      <c r="G6" s="442"/>
    </row>
    <row r="7" spans="1:9" ht="15">
      <c r="A7" s="441"/>
      <c r="B7" s="329">
        <v>1.8</v>
      </c>
      <c r="C7" s="329" t="s">
        <v>2087</v>
      </c>
      <c r="D7" s="329"/>
      <c r="E7" s="329" t="s">
        <v>2974</v>
      </c>
      <c r="F7" s="328"/>
      <c r="G7" s="442"/>
    </row>
    <row r="8" spans="1:9" ht="15">
      <c r="A8" s="441"/>
      <c r="B8" s="329">
        <v>1.8</v>
      </c>
      <c r="C8" s="329" t="s">
        <v>2088</v>
      </c>
      <c r="D8" s="329"/>
      <c r="E8" s="329" t="s">
        <v>2974</v>
      </c>
      <c r="F8" s="328"/>
      <c r="G8" s="442"/>
    </row>
    <row r="9" spans="1:9" ht="15">
      <c r="A9" s="441"/>
      <c r="B9" s="329">
        <v>1.8</v>
      </c>
      <c r="C9" s="329" t="s">
        <v>2089</v>
      </c>
      <c r="D9" s="329"/>
      <c r="E9" s="329" t="s">
        <v>2974</v>
      </c>
      <c r="F9" s="328"/>
      <c r="G9" s="442"/>
    </row>
    <row r="10" spans="1:9" ht="15">
      <c r="A10" s="441"/>
      <c r="B10" s="329">
        <v>1.8</v>
      </c>
      <c r="C10" s="329" t="s">
        <v>3062</v>
      </c>
      <c r="D10" s="329"/>
      <c r="E10" s="329" t="s">
        <v>2974</v>
      </c>
      <c r="F10" s="328"/>
      <c r="G10" s="442"/>
    </row>
    <row r="11" spans="1:9" ht="15">
      <c r="A11" s="438"/>
      <c r="B11" s="329">
        <v>1.8</v>
      </c>
      <c r="C11" s="329" t="s">
        <v>2975</v>
      </c>
      <c r="D11" s="329"/>
      <c r="E11" s="329" t="s">
        <v>2974</v>
      </c>
      <c r="F11" s="328"/>
      <c r="G11" s="440"/>
    </row>
    <row r="12" spans="1:9" ht="15">
      <c r="A12" s="441" t="s">
        <v>3063</v>
      </c>
      <c r="B12" s="328" t="s">
        <v>2976</v>
      </c>
      <c r="C12" s="328" t="s">
        <v>2977</v>
      </c>
      <c r="D12" s="328"/>
      <c r="E12" s="328" t="s">
        <v>2977</v>
      </c>
      <c r="F12" s="328"/>
      <c r="G12" s="443" t="s">
        <v>3037</v>
      </c>
    </row>
    <row r="13" spans="1:9" ht="15">
      <c r="A13" s="441"/>
      <c r="B13" s="328">
        <v>1.8</v>
      </c>
      <c r="C13" s="328" t="s">
        <v>2978</v>
      </c>
      <c r="D13" s="328"/>
      <c r="E13" s="328" t="s">
        <v>2978</v>
      </c>
      <c r="F13" s="328"/>
      <c r="G13" s="444"/>
    </row>
    <row r="14" spans="1:9" ht="15">
      <c r="A14" s="438"/>
      <c r="B14" s="328" t="s">
        <v>2979</v>
      </c>
      <c r="C14" s="328" t="s">
        <v>2980</v>
      </c>
      <c r="D14" s="328"/>
      <c r="E14" s="328" t="s">
        <v>2980</v>
      </c>
      <c r="F14" s="328"/>
      <c r="G14" s="445"/>
    </row>
    <row r="15" spans="1:9" ht="15">
      <c r="A15" s="437" t="s">
        <v>2981</v>
      </c>
      <c r="B15" s="329">
        <v>1.2</v>
      </c>
      <c r="C15" s="329" t="s">
        <v>2982</v>
      </c>
      <c r="D15" s="329"/>
      <c r="E15" s="329" t="s">
        <v>2982</v>
      </c>
      <c r="F15" s="328"/>
      <c r="G15" s="439" t="s">
        <v>3064</v>
      </c>
    </row>
    <row r="16" spans="1:9" ht="15">
      <c r="A16" s="441"/>
      <c r="B16" s="329">
        <v>0</v>
      </c>
      <c r="C16" s="329" t="s">
        <v>2983</v>
      </c>
      <c r="D16" s="329"/>
      <c r="E16" s="329" t="s">
        <v>2972</v>
      </c>
      <c r="F16" s="328"/>
      <c r="G16" s="442"/>
    </row>
    <row r="17" spans="1:7" ht="15">
      <c r="A17" s="441"/>
      <c r="B17" s="329">
        <v>1.2</v>
      </c>
      <c r="C17" s="329" t="s">
        <v>2984</v>
      </c>
      <c r="D17" s="329"/>
      <c r="E17" s="329" t="s">
        <v>2984</v>
      </c>
      <c r="F17" s="328"/>
      <c r="G17" s="442"/>
    </row>
    <row r="18" spans="1:7" ht="15">
      <c r="A18" s="441"/>
      <c r="B18" s="329">
        <v>0</v>
      </c>
      <c r="C18" s="329" t="s">
        <v>2985</v>
      </c>
      <c r="D18" s="329"/>
      <c r="E18" s="329" t="s">
        <v>2972</v>
      </c>
      <c r="F18" s="328"/>
      <c r="G18" s="442"/>
    </row>
    <row r="19" spans="1:7" ht="15">
      <c r="A19" s="441"/>
      <c r="B19" s="329">
        <v>1.8</v>
      </c>
      <c r="C19" s="329" t="s">
        <v>2986</v>
      </c>
      <c r="D19" s="329"/>
      <c r="E19" s="329" t="s">
        <v>2986</v>
      </c>
      <c r="F19" s="328"/>
      <c r="G19" s="442"/>
    </row>
    <row r="20" spans="1:7" ht="15">
      <c r="A20" s="441"/>
      <c r="B20" s="329">
        <v>1.8</v>
      </c>
      <c r="C20" s="329" t="s">
        <v>2987</v>
      </c>
      <c r="D20" s="329"/>
      <c r="E20" s="329" t="s">
        <v>2988</v>
      </c>
      <c r="F20" s="328"/>
      <c r="G20" s="442"/>
    </row>
    <row r="21" spans="1:7" ht="15">
      <c r="A21" s="441"/>
      <c r="B21" s="329">
        <v>0.6</v>
      </c>
      <c r="C21" s="329" t="s">
        <v>2989</v>
      </c>
      <c r="D21" s="329"/>
      <c r="E21" s="329" t="s">
        <v>2989</v>
      </c>
      <c r="F21" s="328"/>
      <c r="G21" s="442"/>
    </row>
    <row r="22" spans="1:7" ht="15">
      <c r="A22" s="441"/>
      <c r="B22" s="329">
        <v>0.6</v>
      </c>
      <c r="C22" s="329" t="s">
        <v>2990</v>
      </c>
      <c r="D22" s="329"/>
      <c r="E22" s="329" t="s">
        <v>2989</v>
      </c>
      <c r="F22" s="328"/>
      <c r="G22" s="442"/>
    </row>
    <row r="23" spans="1:7" ht="15">
      <c r="A23" s="441"/>
      <c r="B23" s="329">
        <v>0.6</v>
      </c>
      <c r="C23" s="329" t="s">
        <v>2991</v>
      </c>
      <c r="D23" s="329"/>
      <c r="E23" s="329" t="s">
        <v>2992</v>
      </c>
      <c r="F23" s="328"/>
      <c r="G23" s="442"/>
    </row>
    <row r="24" spans="1:7" ht="15">
      <c r="A24" s="437" t="s">
        <v>1108</v>
      </c>
      <c r="B24" s="329">
        <v>1.8</v>
      </c>
      <c r="C24" s="330" t="s">
        <v>3065</v>
      </c>
      <c r="D24" s="329"/>
      <c r="E24" s="331" t="s">
        <v>3066</v>
      </c>
      <c r="F24" s="328"/>
      <c r="G24" s="439" t="s">
        <v>3037</v>
      </c>
    </row>
    <row r="25" spans="1:7" ht="15">
      <c r="A25" s="446"/>
      <c r="B25" s="329">
        <v>0</v>
      </c>
      <c r="C25" s="330" t="s">
        <v>2995</v>
      </c>
      <c r="D25" s="329"/>
      <c r="E25" s="331" t="s">
        <v>2972</v>
      </c>
      <c r="F25" s="328"/>
      <c r="G25" s="448"/>
    </row>
    <row r="26" spans="1:7" ht="15">
      <c r="A26" s="446"/>
      <c r="B26" s="329">
        <v>0</v>
      </c>
      <c r="C26" s="330" t="s">
        <v>3038</v>
      </c>
      <c r="D26" s="329"/>
      <c r="E26" s="331" t="s">
        <v>3067</v>
      </c>
      <c r="F26" s="328"/>
      <c r="G26" s="448"/>
    </row>
    <row r="27" spans="1:7" ht="15">
      <c r="A27" s="446"/>
      <c r="B27" s="329">
        <v>0</v>
      </c>
      <c r="C27" s="330" t="s">
        <v>3068</v>
      </c>
      <c r="D27" s="329"/>
      <c r="E27" s="331" t="s">
        <v>3067</v>
      </c>
      <c r="F27" s="328"/>
      <c r="G27" s="448"/>
    </row>
    <row r="28" spans="1:7" ht="15">
      <c r="A28" s="446"/>
      <c r="B28" s="329">
        <v>0</v>
      </c>
      <c r="C28" s="330" t="s">
        <v>3069</v>
      </c>
      <c r="D28" s="329"/>
      <c r="E28" s="331" t="s">
        <v>3067</v>
      </c>
      <c r="F28" s="328"/>
      <c r="G28" s="448"/>
    </row>
    <row r="29" spans="1:7" ht="15">
      <c r="A29" s="446"/>
      <c r="B29" s="329">
        <v>0</v>
      </c>
      <c r="C29" s="330" t="s">
        <v>3070</v>
      </c>
      <c r="D29" s="329"/>
      <c r="E29" s="331" t="s">
        <v>3067</v>
      </c>
      <c r="F29" s="328"/>
      <c r="G29" s="448"/>
    </row>
    <row r="30" spans="1:7" ht="15">
      <c r="A30" s="446"/>
      <c r="B30" s="329">
        <v>0</v>
      </c>
      <c r="C30" s="330" t="s">
        <v>3071</v>
      </c>
      <c r="D30" s="329"/>
      <c r="E30" s="331" t="s">
        <v>3067</v>
      </c>
      <c r="F30" s="328"/>
      <c r="G30" s="448"/>
    </row>
    <row r="31" spans="1:7" ht="15">
      <c r="A31" s="446"/>
      <c r="B31" s="329">
        <v>0</v>
      </c>
      <c r="C31" s="330" t="s">
        <v>3072</v>
      </c>
      <c r="D31" s="329"/>
      <c r="E31" s="331" t="s">
        <v>3067</v>
      </c>
      <c r="F31" s="328"/>
      <c r="G31" s="448"/>
    </row>
    <row r="32" spans="1:7" ht="15">
      <c r="A32" s="446"/>
      <c r="B32" s="329">
        <v>0.9</v>
      </c>
      <c r="C32" s="330" t="s">
        <v>3073</v>
      </c>
      <c r="D32" s="329"/>
      <c r="E32" s="331" t="s">
        <v>2993</v>
      </c>
      <c r="F32" s="328"/>
      <c r="G32" s="448"/>
    </row>
    <row r="33" spans="1:7" ht="15">
      <c r="A33" s="446"/>
      <c r="B33" s="329">
        <v>1.3</v>
      </c>
      <c r="C33" s="330" t="s">
        <v>3039</v>
      </c>
      <c r="D33" s="329"/>
      <c r="E33" s="331" t="s">
        <v>3074</v>
      </c>
      <c r="F33" s="328"/>
      <c r="G33" s="448"/>
    </row>
    <row r="34" spans="1:7" ht="15">
      <c r="A34" s="446"/>
      <c r="B34" s="329">
        <v>1.8</v>
      </c>
      <c r="C34" s="330" t="s">
        <v>3075</v>
      </c>
      <c r="D34" s="329"/>
      <c r="E34" s="331" t="s">
        <v>3066</v>
      </c>
      <c r="F34" s="328"/>
      <c r="G34" s="448"/>
    </row>
    <row r="35" spans="1:7" ht="15">
      <c r="A35" s="446"/>
      <c r="B35" s="329">
        <v>1.8</v>
      </c>
      <c r="C35" s="330" t="s">
        <v>3076</v>
      </c>
      <c r="D35" s="329"/>
      <c r="E35" s="331" t="s">
        <v>3066</v>
      </c>
      <c r="F35" s="328"/>
      <c r="G35" s="448"/>
    </row>
    <row r="36" spans="1:7" ht="15">
      <c r="A36" s="446"/>
      <c r="B36" s="329">
        <v>1.8</v>
      </c>
      <c r="C36" s="330" t="s">
        <v>3077</v>
      </c>
      <c r="D36" s="329"/>
      <c r="E36" s="331" t="s">
        <v>3066</v>
      </c>
      <c r="F36" s="328"/>
      <c r="G36" s="448"/>
    </row>
    <row r="37" spans="1:7" ht="15">
      <c r="A37" s="446"/>
      <c r="B37" s="329">
        <v>1.8</v>
      </c>
      <c r="C37" s="330" t="s">
        <v>3078</v>
      </c>
      <c r="D37" s="329"/>
      <c r="E37" s="331" t="s">
        <v>3066</v>
      </c>
      <c r="F37" s="328"/>
      <c r="G37" s="448"/>
    </row>
    <row r="38" spans="1:7" ht="15">
      <c r="A38" s="446"/>
      <c r="B38" s="329">
        <v>0</v>
      </c>
      <c r="C38" s="330" t="s">
        <v>3079</v>
      </c>
      <c r="D38" s="329"/>
      <c r="E38" s="331" t="s">
        <v>3067</v>
      </c>
      <c r="F38" s="328"/>
      <c r="G38" s="448"/>
    </row>
    <row r="39" spans="1:7" ht="15">
      <c r="A39" s="446"/>
      <c r="B39" s="329">
        <v>0</v>
      </c>
      <c r="C39" s="330" t="s">
        <v>3080</v>
      </c>
      <c r="D39" s="329"/>
      <c r="E39" s="331" t="s">
        <v>3067</v>
      </c>
      <c r="F39" s="328"/>
      <c r="G39" s="448"/>
    </row>
    <row r="40" spans="1:7" ht="15">
      <c r="A40" s="446"/>
      <c r="B40" s="329">
        <v>0.9</v>
      </c>
      <c r="C40" s="330" t="s">
        <v>3081</v>
      </c>
      <c r="D40" s="329"/>
      <c r="E40" s="331" t="s">
        <v>2993</v>
      </c>
      <c r="F40" s="328"/>
      <c r="G40" s="448"/>
    </row>
    <row r="41" spans="1:7" ht="15">
      <c r="A41" s="446"/>
      <c r="B41" s="329">
        <v>0.9</v>
      </c>
      <c r="C41" s="330" t="s">
        <v>3082</v>
      </c>
      <c r="D41" s="329"/>
      <c r="E41" s="331" t="s">
        <v>2993</v>
      </c>
      <c r="F41" s="328"/>
      <c r="G41" s="448"/>
    </row>
    <row r="42" spans="1:7" ht="15">
      <c r="A42" s="446"/>
      <c r="B42" s="329">
        <v>0</v>
      </c>
      <c r="C42" s="330" t="s">
        <v>3083</v>
      </c>
      <c r="D42" s="329"/>
      <c r="E42" s="331" t="s">
        <v>3067</v>
      </c>
      <c r="F42" s="328"/>
      <c r="G42" s="448"/>
    </row>
    <row r="43" spans="1:7" ht="15">
      <c r="A43" s="446"/>
      <c r="B43" s="329">
        <v>0</v>
      </c>
      <c r="C43" s="330" t="s">
        <v>3084</v>
      </c>
      <c r="D43" s="329"/>
      <c r="E43" s="331" t="s">
        <v>3067</v>
      </c>
      <c r="F43" s="328"/>
      <c r="G43" s="448"/>
    </row>
    <row r="44" spans="1:7" ht="15">
      <c r="A44" s="446"/>
      <c r="B44" s="329">
        <v>0</v>
      </c>
      <c r="C44" s="330" t="s">
        <v>3085</v>
      </c>
      <c r="D44" s="329"/>
      <c r="E44" s="331" t="s">
        <v>3067</v>
      </c>
      <c r="F44" s="328"/>
      <c r="G44" s="448"/>
    </row>
    <row r="45" spans="1:7" ht="15">
      <c r="A45" s="446"/>
      <c r="B45" s="329">
        <v>0</v>
      </c>
      <c r="C45" s="330" t="s">
        <v>3040</v>
      </c>
      <c r="D45" s="329"/>
      <c r="E45" s="331" t="s">
        <v>3067</v>
      </c>
      <c r="F45" s="328"/>
      <c r="G45" s="448"/>
    </row>
    <row r="46" spans="1:7" ht="15">
      <c r="A46" s="446"/>
      <c r="B46" s="329">
        <v>0</v>
      </c>
      <c r="C46" s="330" t="s">
        <v>3041</v>
      </c>
      <c r="D46" s="329"/>
      <c r="E46" s="331" t="s">
        <v>3067</v>
      </c>
      <c r="F46" s="328"/>
      <c r="G46" s="448"/>
    </row>
    <row r="47" spans="1:7" ht="15">
      <c r="A47" s="446"/>
      <c r="B47" s="329">
        <v>0</v>
      </c>
      <c r="C47" s="330" t="s">
        <v>3042</v>
      </c>
      <c r="D47" s="329"/>
      <c r="E47" s="331" t="s">
        <v>3067</v>
      </c>
      <c r="F47" s="328"/>
      <c r="G47" s="448"/>
    </row>
    <row r="48" spans="1:7" ht="15">
      <c r="A48" s="446"/>
      <c r="B48" s="329">
        <v>0.9</v>
      </c>
      <c r="C48" s="330" t="s">
        <v>3043</v>
      </c>
      <c r="D48" s="329"/>
      <c r="E48" s="331" t="s">
        <v>2994</v>
      </c>
      <c r="F48" s="328"/>
      <c r="G48" s="448"/>
    </row>
    <row r="49" spans="1:10" ht="15">
      <c r="A49" s="446"/>
      <c r="B49" s="329">
        <v>1.3</v>
      </c>
      <c r="C49" s="330" t="s">
        <v>3086</v>
      </c>
      <c r="D49" s="329"/>
      <c r="E49" s="331" t="s">
        <v>3074</v>
      </c>
      <c r="F49" s="328"/>
      <c r="G49" s="448"/>
    </row>
    <row r="50" spans="1:10" ht="15">
      <c r="A50" s="446"/>
      <c r="B50" s="329">
        <v>1.8</v>
      </c>
      <c r="C50" s="330" t="s">
        <v>3087</v>
      </c>
      <c r="D50" s="329"/>
      <c r="E50" s="331" t="s">
        <v>3066</v>
      </c>
      <c r="F50" s="328"/>
      <c r="G50" s="448"/>
    </row>
    <row r="51" spans="1:10" ht="15">
      <c r="A51" s="446"/>
      <c r="B51" s="329">
        <v>1.8</v>
      </c>
      <c r="C51" s="330" t="s">
        <v>3044</v>
      </c>
      <c r="D51" s="329"/>
      <c r="E51" s="331" t="s">
        <v>3066</v>
      </c>
      <c r="F51" s="328"/>
      <c r="G51" s="448"/>
    </row>
    <row r="52" spans="1:10" ht="15">
      <c r="A52" s="446"/>
      <c r="B52" s="329">
        <v>1.8</v>
      </c>
      <c r="C52" s="330" t="s">
        <v>3045</v>
      </c>
      <c r="D52" s="329"/>
      <c r="E52" s="331" t="s">
        <v>3066</v>
      </c>
      <c r="F52" s="328"/>
      <c r="G52" s="448"/>
    </row>
    <row r="53" spans="1:10" ht="15">
      <c r="A53" s="446"/>
      <c r="B53" s="329">
        <v>1.8</v>
      </c>
      <c r="C53" s="330" t="s">
        <v>3046</v>
      </c>
      <c r="D53" s="329"/>
      <c r="E53" s="331" t="s">
        <v>3066</v>
      </c>
      <c r="F53" s="328"/>
      <c r="G53" s="448"/>
    </row>
    <row r="54" spans="1:10" ht="15">
      <c r="A54" s="446"/>
      <c r="B54" s="329">
        <v>0</v>
      </c>
      <c r="C54" s="330" t="s">
        <v>3088</v>
      </c>
      <c r="D54" s="329"/>
      <c r="E54" s="331" t="s">
        <v>3067</v>
      </c>
      <c r="F54" s="328"/>
      <c r="G54" s="448"/>
    </row>
    <row r="55" spans="1:10" ht="15">
      <c r="A55" s="446"/>
      <c r="B55" s="329">
        <v>0</v>
      </c>
      <c r="C55" s="330" t="s">
        <v>3047</v>
      </c>
      <c r="D55" s="329"/>
      <c r="E55" s="331" t="s">
        <v>3067</v>
      </c>
      <c r="F55" s="328"/>
      <c r="G55" s="448"/>
    </row>
    <row r="56" spans="1:10" ht="15">
      <c r="A56" s="446"/>
      <c r="B56" s="329">
        <v>0.9</v>
      </c>
      <c r="C56" s="330" t="s">
        <v>3089</v>
      </c>
      <c r="D56" s="329"/>
      <c r="E56" s="331" t="s">
        <v>2994</v>
      </c>
      <c r="F56" s="328"/>
      <c r="G56" s="448"/>
    </row>
    <row r="57" spans="1:10" ht="15">
      <c r="A57" s="447"/>
      <c r="B57" s="329">
        <v>0.9</v>
      </c>
      <c r="C57" s="330" t="s">
        <v>3048</v>
      </c>
      <c r="D57" s="329"/>
      <c r="E57" s="331" t="s">
        <v>2994</v>
      </c>
      <c r="F57" s="328"/>
      <c r="G57" s="449"/>
    </row>
    <row r="58" spans="1:10" ht="15">
      <c r="A58" s="437" t="s">
        <v>1106</v>
      </c>
      <c r="B58" s="328">
        <v>0.9</v>
      </c>
      <c r="C58" s="328" t="s">
        <v>2996</v>
      </c>
      <c r="D58" s="328"/>
      <c r="E58" s="328" t="s">
        <v>2996</v>
      </c>
      <c r="F58" s="328"/>
      <c r="G58" s="439" t="s">
        <v>3090</v>
      </c>
    </row>
    <row r="59" spans="1:10" ht="18">
      <c r="A59" s="441"/>
      <c r="B59" s="328">
        <v>0.9</v>
      </c>
      <c r="C59" s="332" t="s">
        <v>2997</v>
      </c>
      <c r="D59" s="328"/>
      <c r="E59" s="332" t="s">
        <v>2997</v>
      </c>
      <c r="F59" s="328"/>
      <c r="G59" s="442"/>
      <c r="I59" s="333"/>
      <c r="J59" s="334"/>
    </row>
    <row r="60" spans="1:10" ht="18">
      <c r="A60" s="441"/>
      <c r="B60" s="328">
        <v>0.9</v>
      </c>
      <c r="C60" s="332" t="s">
        <v>2998</v>
      </c>
      <c r="D60" s="328"/>
      <c r="E60" s="332" t="s">
        <v>2998</v>
      </c>
      <c r="F60" s="328"/>
      <c r="G60" s="442"/>
      <c r="I60" s="333"/>
      <c r="J60" s="335"/>
    </row>
    <row r="61" spans="1:10" ht="18">
      <c r="A61" s="441"/>
      <c r="B61" s="329">
        <v>3.3</v>
      </c>
      <c r="C61" s="336" t="s">
        <v>2999</v>
      </c>
      <c r="D61" s="329"/>
      <c r="E61" s="336" t="s">
        <v>3000</v>
      </c>
      <c r="F61" s="328"/>
      <c r="G61" s="442"/>
      <c r="I61" s="333"/>
      <c r="J61" s="337"/>
    </row>
    <row r="62" spans="1:10" ht="18">
      <c r="A62" s="441"/>
      <c r="B62" s="329">
        <v>3.3</v>
      </c>
      <c r="C62" s="336" t="s">
        <v>3001</v>
      </c>
      <c r="D62" s="329"/>
      <c r="E62" s="336" t="s">
        <v>3000</v>
      </c>
      <c r="F62" s="328"/>
      <c r="G62" s="442"/>
      <c r="I62" s="333"/>
      <c r="J62" s="337"/>
    </row>
    <row r="63" spans="1:10" ht="18">
      <c r="A63" s="441"/>
      <c r="B63" s="329">
        <v>0</v>
      </c>
      <c r="C63" s="336" t="s">
        <v>3002</v>
      </c>
      <c r="D63" s="329"/>
      <c r="E63" s="329" t="s">
        <v>2972</v>
      </c>
      <c r="F63" s="328"/>
      <c r="G63" s="442"/>
      <c r="I63" s="333"/>
      <c r="J63" s="337"/>
    </row>
    <row r="64" spans="1:10" ht="18">
      <c r="A64" s="441"/>
      <c r="B64" s="329">
        <v>0</v>
      </c>
      <c r="C64" s="329" t="s">
        <v>3003</v>
      </c>
      <c r="D64" s="329"/>
      <c r="E64" s="329" t="s">
        <v>2972</v>
      </c>
      <c r="F64" s="328"/>
      <c r="G64" s="442"/>
      <c r="I64" s="333"/>
      <c r="J64" s="337"/>
    </row>
    <row r="65" spans="1:10" ht="18">
      <c r="A65" s="438"/>
      <c r="B65" s="328">
        <v>0</v>
      </c>
      <c r="C65" s="328" t="s">
        <v>2972</v>
      </c>
      <c r="D65" s="328"/>
      <c r="E65" s="328" t="s">
        <v>2972</v>
      </c>
      <c r="F65" s="328"/>
      <c r="G65" s="440"/>
      <c r="I65" s="333"/>
      <c r="J65" s="337"/>
    </row>
    <row r="66" spans="1:10" ht="14.25" customHeight="1">
      <c r="A66" s="437" t="s">
        <v>2269</v>
      </c>
      <c r="B66" s="338">
        <v>0.9</v>
      </c>
      <c r="C66" s="338" t="s">
        <v>3004</v>
      </c>
      <c r="D66" s="338"/>
      <c r="E66" s="338" t="s">
        <v>3005</v>
      </c>
      <c r="F66" s="328"/>
      <c r="G66" s="443"/>
      <c r="I66" s="333"/>
      <c r="J66" s="337"/>
    </row>
    <row r="67" spans="1:10" ht="18">
      <c r="A67" s="441"/>
      <c r="B67" s="338">
        <v>0.9</v>
      </c>
      <c r="C67" s="338" t="s">
        <v>3006</v>
      </c>
      <c r="D67" s="338"/>
      <c r="E67" s="338" t="s">
        <v>3007</v>
      </c>
      <c r="F67" s="328"/>
      <c r="G67" s="444"/>
      <c r="I67" s="333"/>
      <c r="J67" s="334"/>
    </row>
    <row r="68" spans="1:10" ht="18">
      <c r="A68" s="441"/>
      <c r="B68" s="338">
        <v>1.8</v>
      </c>
      <c r="C68" s="338" t="s">
        <v>3008</v>
      </c>
      <c r="D68" s="338"/>
      <c r="E68" s="338" t="s">
        <v>3009</v>
      </c>
      <c r="F68" s="328"/>
      <c r="G68" s="444"/>
      <c r="I68" s="333"/>
      <c r="J68" s="334"/>
    </row>
    <row r="69" spans="1:10" ht="18">
      <c r="A69" s="438"/>
      <c r="B69" s="329">
        <v>0</v>
      </c>
      <c r="C69" s="329" t="s">
        <v>3010</v>
      </c>
      <c r="D69" s="329"/>
      <c r="E69" s="329" t="s">
        <v>2972</v>
      </c>
      <c r="F69" s="328"/>
      <c r="G69" s="445"/>
      <c r="I69" s="333"/>
      <c r="J69" s="334"/>
    </row>
    <row r="70" spans="1:10" ht="18">
      <c r="A70" s="437" t="s">
        <v>3011</v>
      </c>
      <c r="B70" s="328">
        <v>1.2</v>
      </c>
      <c r="C70" s="328" t="s">
        <v>3012</v>
      </c>
      <c r="D70" s="328">
        <v>1</v>
      </c>
      <c r="E70" s="328" t="s">
        <v>3012</v>
      </c>
      <c r="F70" s="328"/>
      <c r="G70" s="439" t="s">
        <v>3064</v>
      </c>
      <c r="I70" s="333"/>
      <c r="J70" s="334"/>
    </row>
    <row r="71" spans="1:10" ht="18">
      <c r="A71" s="438"/>
      <c r="B71" s="328">
        <v>0</v>
      </c>
      <c r="C71" s="328" t="s">
        <v>3013</v>
      </c>
      <c r="D71" s="328">
        <v>1</v>
      </c>
      <c r="E71" s="328" t="s">
        <v>3013</v>
      </c>
      <c r="F71" s="328"/>
      <c r="G71" s="440"/>
      <c r="I71" s="333"/>
      <c r="J71" s="334"/>
    </row>
    <row r="72" spans="1:10" ht="18">
      <c r="A72" s="437" t="s">
        <v>1112</v>
      </c>
      <c r="B72" s="328">
        <v>1.8</v>
      </c>
      <c r="C72" s="328" t="s">
        <v>3014</v>
      </c>
      <c r="D72" s="328">
        <v>3</v>
      </c>
      <c r="E72" s="328" t="s">
        <v>3014</v>
      </c>
      <c r="F72" s="328"/>
      <c r="G72" s="439"/>
      <c r="I72" s="333"/>
      <c r="J72" s="334"/>
    </row>
    <row r="73" spans="1:10" ht="18">
      <c r="A73" s="441"/>
      <c r="B73" s="328">
        <v>0.9</v>
      </c>
      <c r="C73" s="328" t="s">
        <v>3015</v>
      </c>
      <c r="D73" s="328">
        <v>3</v>
      </c>
      <c r="E73" s="328" t="s">
        <v>3015</v>
      </c>
      <c r="F73" s="328"/>
      <c r="G73" s="442"/>
      <c r="I73" s="333"/>
      <c r="J73" s="337"/>
    </row>
    <row r="74" spans="1:10" ht="18">
      <c r="A74" s="438"/>
      <c r="B74" s="328">
        <v>0</v>
      </c>
      <c r="C74" s="328" t="s">
        <v>3016</v>
      </c>
      <c r="D74" s="328">
        <v>3</v>
      </c>
      <c r="E74" s="328" t="s">
        <v>3016</v>
      </c>
      <c r="F74" s="328"/>
      <c r="G74" s="440"/>
      <c r="I74" s="333"/>
      <c r="J74" s="337"/>
    </row>
    <row r="75" spans="1:10" ht="18">
      <c r="A75" s="437" t="s">
        <v>3017</v>
      </c>
      <c r="B75" s="328">
        <v>1.8</v>
      </c>
      <c r="C75" s="328" t="s">
        <v>3018</v>
      </c>
      <c r="D75" s="328">
        <v>1</v>
      </c>
      <c r="E75" s="328" t="s">
        <v>3019</v>
      </c>
      <c r="F75" s="328"/>
      <c r="G75" s="439"/>
      <c r="I75" s="333"/>
      <c r="J75" s="334"/>
    </row>
    <row r="76" spans="1:10" ht="18">
      <c r="A76" s="441"/>
      <c r="B76" s="328">
        <v>0.9</v>
      </c>
      <c r="C76" s="328" t="s">
        <v>3020</v>
      </c>
      <c r="D76" s="328">
        <v>1</v>
      </c>
      <c r="E76" s="328" t="s">
        <v>3021</v>
      </c>
      <c r="F76" s="328"/>
      <c r="G76" s="442"/>
      <c r="I76" s="333"/>
      <c r="J76" s="334"/>
    </row>
    <row r="77" spans="1:10" ht="18">
      <c r="A77" s="438"/>
      <c r="B77" s="328">
        <v>0</v>
      </c>
      <c r="C77" s="328" t="s">
        <v>3022</v>
      </c>
      <c r="D77" s="328">
        <v>1</v>
      </c>
      <c r="E77" s="328" t="s">
        <v>3023</v>
      </c>
      <c r="F77" s="328"/>
      <c r="G77" s="440"/>
      <c r="I77" s="333"/>
      <c r="J77" s="337"/>
    </row>
    <row r="78" spans="1:10" ht="18">
      <c r="A78" s="437" t="s">
        <v>1212</v>
      </c>
      <c r="B78" s="328">
        <v>1.8</v>
      </c>
      <c r="C78" s="328" t="s">
        <v>3024</v>
      </c>
      <c r="D78" s="328">
        <v>1</v>
      </c>
      <c r="E78" s="328" t="s">
        <v>3024</v>
      </c>
      <c r="F78" s="328"/>
      <c r="G78" s="439"/>
      <c r="I78" s="333"/>
      <c r="J78" s="337"/>
    </row>
    <row r="79" spans="1:10" ht="18">
      <c r="A79" s="438"/>
      <c r="B79" s="329">
        <v>0</v>
      </c>
      <c r="C79" s="329" t="s">
        <v>3025</v>
      </c>
      <c r="D79" s="329">
        <v>1</v>
      </c>
      <c r="E79" s="329" t="s">
        <v>2972</v>
      </c>
      <c r="F79" s="328"/>
      <c r="G79" s="440"/>
      <c r="I79" s="333"/>
      <c r="J79" s="337"/>
    </row>
    <row r="80" spans="1:10" ht="18">
      <c r="A80" s="338" t="s">
        <v>3026</v>
      </c>
      <c r="B80" s="328">
        <v>1.8</v>
      </c>
      <c r="C80" s="328" t="s">
        <v>3027</v>
      </c>
      <c r="D80" s="328">
        <v>1</v>
      </c>
      <c r="E80" s="328" t="s">
        <v>3027</v>
      </c>
      <c r="F80" s="328"/>
      <c r="G80" s="328" t="s">
        <v>3064</v>
      </c>
      <c r="I80" s="333"/>
      <c r="J80" s="337"/>
    </row>
    <row r="81" spans="1:10" ht="18">
      <c r="A81" s="437" t="s">
        <v>3028</v>
      </c>
      <c r="B81" s="328">
        <v>1.8</v>
      </c>
      <c r="C81" s="328" t="s">
        <v>3029</v>
      </c>
      <c r="D81" s="328"/>
      <c r="E81" s="328" t="s">
        <v>3029</v>
      </c>
      <c r="F81" s="328"/>
      <c r="G81" s="439" t="s">
        <v>3064</v>
      </c>
      <c r="I81" s="333"/>
      <c r="J81" s="337"/>
    </row>
    <row r="82" spans="1:10" ht="18">
      <c r="A82" s="438"/>
      <c r="B82" s="328">
        <v>0</v>
      </c>
      <c r="C82" s="328" t="s">
        <v>3030</v>
      </c>
      <c r="D82" s="328"/>
      <c r="E82" s="328" t="s">
        <v>3030</v>
      </c>
      <c r="F82" s="328"/>
      <c r="G82" s="440"/>
      <c r="I82" s="333"/>
      <c r="J82" s="337"/>
    </row>
    <row r="83" spans="1:10" ht="18">
      <c r="I83" s="333"/>
      <c r="J83" s="334"/>
    </row>
    <row r="84" spans="1:10" ht="18">
      <c r="I84" s="333"/>
      <c r="J84" s="334"/>
    </row>
    <row r="85" spans="1:10" ht="18">
      <c r="I85" s="333"/>
      <c r="J85" s="334"/>
    </row>
    <row r="86" spans="1:10" ht="18">
      <c r="I86" s="333"/>
      <c r="J86" s="334"/>
    </row>
    <row r="87" spans="1:10" ht="18">
      <c r="I87" s="333"/>
      <c r="J87" s="337"/>
    </row>
    <row r="88" spans="1:10" ht="18">
      <c r="I88" s="333"/>
      <c r="J88" s="337"/>
    </row>
    <row r="89" spans="1:10" ht="18">
      <c r="I89" s="333"/>
      <c r="J89" s="334"/>
    </row>
    <row r="90" spans="1:10" ht="18">
      <c r="I90" s="333"/>
      <c r="J90" s="334"/>
    </row>
  </sheetData>
  <mergeCells count="22">
    <mergeCell ref="A70:A71"/>
    <mergeCell ref="G70:G71"/>
    <mergeCell ref="A72:A74"/>
    <mergeCell ref="G72:G74"/>
    <mergeCell ref="A75:A77"/>
    <mergeCell ref="G75:G77"/>
    <mergeCell ref="A78:A79"/>
    <mergeCell ref="G78:G79"/>
    <mergeCell ref="A81:A82"/>
    <mergeCell ref="G81:G82"/>
    <mergeCell ref="A5:A11"/>
    <mergeCell ref="G5:G11"/>
    <mergeCell ref="A12:A14"/>
    <mergeCell ref="G12:G14"/>
    <mergeCell ref="A15:A23"/>
    <mergeCell ref="G15:G23"/>
    <mergeCell ref="A24:A57"/>
    <mergeCell ref="G24:G57"/>
    <mergeCell ref="A58:A65"/>
    <mergeCell ref="G58:G65"/>
    <mergeCell ref="A66:A69"/>
    <mergeCell ref="G66:G69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4:B43"/>
  <sheetViews>
    <sheetView workbookViewId="0">
      <selection activeCell="B31" sqref="B31"/>
    </sheetView>
  </sheetViews>
  <sheetFormatPr defaultRowHeight="14.25"/>
  <cols>
    <col min="1" max="1" width="22.125" customWidth="1"/>
    <col min="2" max="2" width="61" customWidth="1"/>
  </cols>
  <sheetData>
    <row r="4" spans="1:2">
      <c r="A4" s="81" t="s">
        <v>190</v>
      </c>
    </row>
    <row r="6" spans="1:2">
      <c r="A6" s="79" t="s">
        <v>192</v>
      </c>
    </row>
    <row r="7" spans="1:2">
      <c r="A7" t="s">
        <v>191</v>
      </c>
      <c r="B7" t="s">
        <v>198</v>
      </c>
    </row>
    <row r="9" spans="1:2">
      <c r="A9" s="78" t="s">
        <v>133</v>
      </c>
    </row>
    <row r="10" spans="1:2">
      <c r="A10" t="s">
        <v>193</v>
      </c>
      <c r="B10" t="s">
        <v>197</v>
      </c>
    </row>
    <row r="11" spans="1:2">
      <c r="A11" t="s">
        <v>194</v>
      </c>
      <c r="B11" t="s">
        <v>196</v>
      </c>
    </row>
    <row r="12" spans="1:2">
      <c r="A12" t="s">
        <v>195</v>
      </c>
      <c r="B12" s="82">
        <v>43239</v>
      </c>
    </row>
    <row r="15" spans="1:2" ht="13.5" customHeight="1">
      <c r="A15" s="78" t="s">
        <v>134</v>
      </c>
    </row>
    <row r="16" spans="1:2">
      <c r="A16" t="s">
        <v>199</v>
      </c>
      <c r="B16" t="s">
        <v>200</v>
      </c>
    </row>
    <row r="17" spans="1:2">
      <c r="A17" t="s">
        <v>201</v>
      </c>
      <c r="B17" t="s">
        <v>202</v>
      </c>
    </row>
    <row r="18" spans="1:2">
      <c r="B18" s="82"/>
    </row>
    <row r="19" spans="1:2" ht="13.5" customHeight="1">
      <c r="A19" s="78" t="s">
        <v>203</v>
      </c>
    </row>
    <row r="20" spans="1:2">
      <c r="A20" t="s">
        <v>204</v>
      </c>
      <c r="B20" t="s">
        <v>208</v>
      </c>
    </row>
    <row r="21" spans="1:2">
      <c r="A21" t="s">
        <v>205</v>
      </c>
      <c r="B21" t="s">
        <v>209</v>
      </c>
    </row>
    <row r="22" spans="1:2">
      <c r="A22" t="s">
        <v>206</v>
      </c>
      <c r="B22" t="s">
        <v>210</v>
      </c>
    </row>
    <row r="23" spans="1:2">
      <c r="A23" t="s">
        <v>207</v>
      </c>
      <c r="B23" t="s">
        <v>210</v>
      </c>
    </row>
    <row r="25" spans="1:2" ht="13.5" customHeight="1">
      <c r="A25" s="78" t="s">
        <v>211</v>
      </c>
    </row>
    <row r="26" spans="1:2">
      <c r="A26" t="s">
        <v>212</v>
      </c>
    </row>
    <row r="27" spans="1:2">
      <c r="A27" t="s">
        <v>213</v>
      </c>
    </row>
    <row r="29" spans="1:2" ht="13.5" customHeight="1">
      <c r="A29" s="78" t="s">
        <v>214</v>
      </c>
    </row>
    <row r="30" spans="1:2">
      <c r="A30" t="s">
        <v>215</v>
      </c>
    </row>
    <row r="31" spans="1:2">
      <c r="A31" t="s">
        <v>216</v>
      </c>
    </row>
    <row r="32" spans="1:2">
      <c r="A32" t="s">
        <v>217</v>
      </c>
    </row>
    <row r="34" spans="1:1">
      <c r="A34" s="78" t="s">
        <v>218</v>
      </c>
    </row>
    <row r="35" spans="1:1">
      <c r="A35" t="s">
        <v>219</v>
      </c>
    </row>
    <row r="36" spans="1:1">
      <c r="A36" t="s">
        <v>220</v>
      </c>
    </row>
    <row r="37" spans="1:1">
      <c r="A37" t="s">
        <v>221</v>
      </c>
    </row>
    <row r="39" spans="1:1">
      <c r="A39" s="78" t="s">
        <v>222</v>
      </c>
    </row>
    <row r="40" spans="1:1">
      <c r="A40" t="s">
        <v>223</v>
      </c>
    </row>
    <row r="41" spans="1:1">
      <c r="A41" t="s">
        <v>224</v>
      </c>
    </row>
    <row r="43" spans="1:1">
      <c r="A43" t="s">
        <v>225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&amp;L&amp;D&amp;C海思机密，未经许可不得扩散&amp;R第&amp;P页，共&amp;N页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F11:AJ112"/>
  <sheetViews>
    <sheetView topLeftCell="F13" zoomScale="70" zoomScaleNormal="70" workbookViewId="0">
      <selection activeCell="W109" sqref="W109"/>
    </sheetView>
  </sheetViews>
  <sheetFormatPr defaultRowHeight="14.25"/>
  <cols>
    <col min="7" max="7" width="4.25" bestFit="1" customWidth="1"/>
    <col min="8" max="8" width="6.375" bestFit="1" customWidth="1"/>
    <col min="9" max="9" width="4.75" bestFit="1" customWidth="1"/>
    <col min="10" max="10" width="8.25" customWidth="1"/>
    <col min="11" max="11" width="12" customWidth="1"/>
    <col min="12" max="12" width="17.5" customWidth="1"/>
    <col min="13" max="13" width="16.75" customWidth="1"/>
    <col min="15" max="15" width="7.625" customWidth="1"/>
    <col min="16" max="16" width="7.75" customWidth="1"/>
    <col min="17" max="17" width="11" customWidth="1"/>
    <col min="18" max="18" width="8.5" customWidth="1"/>
    <col min="19" max="19" width="8.375" customWidth="1"/>
    <col min="20" max="20" width="15.875" customWidth="1"/>
    <col min="21" max="21" width="11.375" customWidth="1"/>
    <col min="22" max="22" width="8.5" customWidth="1"/>
    <col min="23" max="23" width="8.625" customWidth="1"/>
    <col min="24" max="24" width="9.75" customWidth="1"/>
    <col min="25" max="25" width="11.125" style="129" customWidth="1"/>
    <col min="26" max="26" width="4" customWidth="1"/>
    <col min="28" max="28" width="17.125" customWidth="1"/>
    <col min="29" max="29" width="15.375" customWidth="1"/>
    <col min="30" max="30" width="12" customWidth="1"/>
    <col min="31" max="31" width="11.875" customWidth="1"/>
    <col min="32" max="32" width="11.875" style="219" customWidth="1"/>
  </cols>
  <sheetData>
    <row r="11" spans="6:36">
      <c r="F11" s="48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50"/>
    </row>
    <row r="12" spans="6:36" ht="14.25" customHeight="1">
      <c r="F12" s="51"/>
      <c r="I12" s="52"/>
      <c r="J12" s="52"/>
      <c r="K12" s="52"/>
      <c r="L12" s="52"/>
      <c r="M12" s="52"/>
      <c r="N12" s="52"/>
      <c r="O12" s="52"/>
      <c r="R12" s="178"/>
      <c r="S12" s="178"/>
      <c r="T12" s="178"/>
      <c r="U12" s="52"/>
      <c r="V12" s="52"/>
      <c r="W12" s="52"/>
      <c r="X12" s="52"/>
      <c r="Y12" s="128"/>
      <c r="Z12" s="52"/>
      <c r="AA12" s="52"/>
      <c r="AB12" s="52"/>
      <c r="AC12" s="52"/>
      <c r="AD12" s="52"/>
      <c r="AE12" s="52"/>
      <c r="AF12" s="220"/>
      <c r="AG12" s="52"/>
      <c r="AH12" s="52"/>
      <c r="AI12" s="52"/>
      <c r="AJ12" s="53"/>
    </row>
    <row r="13" spans="6:36">
      <c r="F13" s="51"/>
      <c r="G13" s="52"/>
      <c r="H13" s="52"/>
      <c r="I13" s="52"/>
      <c r="J13" s="52"/>
      <c r="K13" s="52"/>
      <c r="L13" s="52"/>
      <c r="M13" s="52"/>
      <c r="N13" s="52"/>
      <c r="O13" s="52"/>
      <c r="R13" s="178"/>
      <c r="S13" s="178"/>
      <c r="T13" s="178"/>
      <c r="U13" s="52"/>
      <c r="V13" s="54"/>
      <c r="W13" s="52"/>
      <c r="X13" s="52"/>
      <c r="Y13" s="128"/>
      <c r="Z13" s="52"/>
      <c r="AA13" s="52"/>
      <c r="AB13" s="52"/>
      <c r="AC13" s="52"/>
      <c r="AD13" s="52"/>
      <c r="AE13" s="52"/>
      <c r="AF13" s="220"/>
      <c r="AG13" s="52"/>
      <c r="AH13" s="52"/>
      <c r="AI13" s="52"/>
      <c r="AJ13" s="53"/>
    </row>
    <row r="14" spans="6:36" ht="14.25" customHeight="1">
      <c r="F14" s="51"/>
      <c r="G14" s="52"/>
      <c r="H14" s="52"/>
      <c r="I14" s="52"/>
      <c r="J14" s="52"/>
      <c r="K14" s="52"/>
      <c r="L14" s="52"/>
      <c r="M14" s="52"/>
      <c r="N14" s="52"/>
      <c r="O14" s="52"/>
      <c r="R14" s="178"/>
      <c r="S14" s="178"/>
      <c r="T14" s="178"/>
      <c r="U14" s="52"/>
      <c r="V14" s="52"/>
      <c r="W14" s="52"/>
      <c r="X14" s="52"/>
      <c r="Y14" s="128"/>
      <c r="Z14" s="52"/>
      <c r="AA14" s="52"/>
      <c r="AB14" s="52"/>
      <c r="AC14" s="52"/>
      <c r="AD14" s="52"/>
      <c r="AE14" s="52"/>
      <c r="AF14" s="220"/>
      <c r="AG14" s="52"/>
      <c r="AH14" s="52"/>
      <c r="AI14" s="52"/>
      <c r="AJ14" s="53"/>
    </row>
    <row r="15" spans="6:36">
      <c r="F15" s="51"/>
      <c r="G15" s="52"/>
      <c r="H15" s="52"/>
      <c r="I15" s="52"/>
      <c r="J15" s="52"/>
      <c r="K15" s="52"/>
      <c r="L15" s="52"/>
      <c r="M15" s="52"/>
      <c r="N15" s="52"/>
      <c r="O15" s="52"/>
      <c r="R15" s="52"/>
      <c r="S15" s="52"/>
      <c r="T15" s="52"/>
      <c r="U15" s="128"/>
      <c r="V15" s="52"/>
      <c r="W15" s="52"/>
      <c r="X15" s="52"/>
      <c r="Y15" s="128"/>
      <c r="Z15" s="52"/>
      <c r="AA15" s="52"/>
      <c r="AB15" s="52"/>
      <c r="AC15" s="52"/>
      <c r="AD15" s="52"/>
      <c r="AE15" s="52"/>
      <c r="AF15" s="220"/>
      <c r="AG15" s="52"/>
      <c r="AH15" s="52"/>
      <c r="AI15" s="52"/>
      <c r="AJ15" s="53"/>
    </row>
    <row r="16" spans="6:36">
      <c r="F16" s="51"/>
      <c r="G16" s="52"/>
      <c r="H16" s="52"/>
      <c r="I16" s="52"/>
      <c r="J16" s="52"/>
      <c r="K16" s="52"/>
      <c r="L16" s="52"/>
      <c r="M16" s="52"/>
      <c r="N16" s="52"/>
      <c r="O16" s="52"/>
      <c r="R16" s="52"/>
      <c r="S16" s="52"/>
      <c r="T16" s="52"/>
      <c r="U16" s="128"/>
      <c r="V16" s="52"/>
      <c r="W16" s="52"/>
      <c r="X16" s="52"/>
      <c r="Y16" s="128"/>
      <c r="Z16" s="52"/>
      <c r="AA16" s="52"/>
      <c r="AB16" s="52"/>
      <c r="AC16" s="52"/>
      <c r="AD16" s="52"/>
      <c r="AE16" s="52"/>
      <c r="AF16" s="220"/>
      <c r="AG16" s="52"/>
      <c r="AH16" s="52"/>
      <c r="AI16" s="52"/>
      <c r="AJ16" s="53"/>
    </row>
    <row r="17" spans="6:36">
      <c r="F17" s="51"/>
      <c r="G17" s="52"/>
      <c r="H17" s="52"/>
      <c r="I17" s="52"/>
      <c r="J17" s="52"/>
      <c r="N17" s="52"/>
      <c r="O17" s="472" t="s">
        <v>992</v>
      </c>
      <c r="P17" s="473"/>
      <c r="Q17" s="482" t="s">
        <v>1188</v>
      </c>
      <c r="R17" s="483"/>
      <c r="S17" s="483"/>
      <c r="T17" s="484"/>
      <c r="U17" s="474" t="s">
        <v>757</v>
      </c>
      <c r="V17" s="475"/>
      <c r="W17" s="476"/>
      <c r="X17" s="476"/>
      <c r="Y17" s="476"/>
      <c r="Z17" s="477"/>
      <c r="AA17" s="52"/>
      <c r="AC17" s="247"/>
      <c r="AD17" s="246"/>
      <c r="AE17" s="246"/>
      <c r="AF17" s="220"/>
      <c r="AG17" s="52"/>
      <c r="AH17" s="52"/>
      <c r="AI17" s="52"/>
      <c r="AJ17" s="53"/>
    </row>
    <row r="18" spans="6:36">
      <c r="F18" s="51"/>
      <c r="G18" s="52"/>
      <c r="H18" s="52"/>
      <c r="I18" s="52"/>
      <c r="J18" s="52"/>
      <c r="N18" s="52"/>
      <c r="O18" s="472" t="s">
        <v>258</v>
      </c>
      <c r="P18" s="473"/>
      <c r="Q18" s="482" t="s">
        <v>1189</v>
      </c>
      <c r="R18" s="483"/>
      <c r="S18" s="483"/>
      <c r="T18" s="484"/>
      <c r="U18" s="478" t="s">
        <v>1013</v>
      </c>
      <c r="V18" s="479"/>
      <c r="W18" s="479" t="s">
        <v>248</v>
      </c>
      <c r="X18" s="479"/>
      <c r="Y18" s="479"/>
      <c r="Z18" s="480"/>
      <c r="AA18" s="52"/>
      <c r="AC18" s="247"/>
      <c r="AD18" s="246"/>
      <c r="AE18" s="246"/>
      <c r="AF18" s="220"/>
      <c r="AG18" s="52"/>
      <c r="AH18" s="52"/>
      <c r="AI18" s="52"/>
      <c r="AJ18" s="53"/>
    </row>
    <row r="19" spans="6:36">
      <c r="F19" s="51"/>
      <c r="G19" s="52"/>
      <c r="H19" s="52"/>
      <c r="I19" s="52"/>
      <c r="J19" s="52"/>
      <c r="N19" s="52"/>
      <c r="O19" s="472">
        <v>22</v>
      </c>
      <c r="P19" s="473"/>
      <c r="Q19" s="482">
        <v>6</v>
      </c>
      <c r="R19" s="483"/>
      <c r="S19" s="483"/>
      <c r="T19" s="484"/>
      <c r="U19" s="474">
        <v>32</v>
      </c>
      <c r="V19" s="475"/>
      <c r="W19" s="475"/>
      <c r="X19" s="475"/>
      <c r="Y19" s="475"/>
      <c r="Z19" s="481"/>
      <c r="AA19" s="52"/>
      <c r="AC19" s="247"/>
      <c r="AD19" s="246"/>
      <c r="AE19" s="246"/>
      <c r="AF19" s="220"/>
      <c r="AG19" s="52"/>
      <c r="AH19" s="52"/>
      <c r="AI19" s="52"/>
      <c r="AJ19" s="53"/>
    </row>
    <row r="20" spans="6:36" s="219" customFormat="1">
      <c r="F20" s="51"/>
      <c r="G20" s="220"/>
      <c r="H20" s="220"/>
      <c r="I20" s="220"/>
      <c r="J20" s="220"/>
      <c r="N20" s="220"/>
      <c r="O20" s="472"/>
      <c r="P20" s="473"/>
      <c r="Q20" s="482" t="s">
        <v>1190</v>
      </c>
      <c r="R20" s="483"/>
      <c r="S20" s="483"/>
      <c r="T20" s="484"/>
      <c r="U20" s="474"/>
      <c r="V20" s="475"/>
      <c r="W20" s="475"/>
      <c r="X20" s="475"/>
      <c r="Y20" s="475"/>
      <c r="Z20" s="481"/>
      <c r="AA20" s="220"/>
      <c r="AC20" s="247"/>
      <c r="AD20" s="246"/>
      <c r="AE20" s="246"/>
      <c r="AF20" s="220"/>
      <c r="AG20" s="220"/>
      <c r="AH20" s="220"/>
      <c r="AI20" s="220"/>
      <c r="AJ20" s="53"/>
    </row>
    <row r="21" spans="6:36" ht="14.25" customHeight="1">
      <c r="F21" s="51"/>
      <c r="G21" s="52"/>
      <c r="H21" s="52"/>
      <c r="I21" s="52"/>
      <c r="J21" s="52"/>
      <c r="N21" s="52"/>
      <c r="O21" s="472"/>
      <c r="P21" s="473"/>
      <c r="Q21" s="482" t="s">
        <v>1191</v>
      </c>
      <c r="R21" s="483"/>
      <c r="S21" s="483"/>
      <c r="T21" s="484"/>
      <c r="U21" s="474"/>
      <c r="V21" s="475"/>
      <c r="W21" s="476"/>
      <c r="X21" s="476"/>
      <c r="Y21" s="476"/>
      <c r="Z21" s="477"/>
      <c r="AA21" s="52"/>
      <c r="AC21" s="247"/>
      <c r="AD21" s="246"/>
      <c r="AE21" s="246"/>
      <c r="AF21" s="220"/>
      <c r="AG21" s="52"/>
      <c r="AH21" s="52"/>
      <c r="AI21" s="52"/>
      <c r="AJ21" s="53"/>
    </row>
    <row r="22" spans="6:36">
      <c r="F22" s="51"/>
      <c r="G22" s="52"/>
      <c r="H22" s="52"/>
      <c r="I22" s="52"/>
      <c r="J22" s="52"/>
      <c r="N22" s="52"/>
      <c r="O22" s="472"/>
      <c r="P22" s="473"/>
      <c r="Q22" s="482" t="s">
        <v>1192</v>
      </c>
      <c r="R22" s="483"/>
      <c r="S22" s="483"/>
      <c r="T22" s="484"/>
      <c r="U22" s="474"/>
      <c r="V22" s="475"/>
      <c r="W22" s="476"/>
      <c r="X22" s="476"/>
      <c r="Y22" s="476"/>
      <c r="Z22" s="477"/>
      <c r="AA22" s="52"/>
      <c r="AC22" s="247"/>
      <c r="AD22" s="246"/>
      <c r="AE22" s="246"/>
      <c r="AF22" s="220"/>
      <c r="AG22" s="52"/>
      <c r="AH22" s="52"/>
      <c r="AI22" s="52"/>
      <c r="AJ22" s="53"/>
    </row>
    <row r="23" spans="6:36">
      <c r="F23" s="51"/>
      <c r="G23" s="52"/>
      <c r="H23" s="52"/>
      <c r="I23" s="52"/>
      <c r="J23" s="52"/>
      <c r="N23" s="52"/>
      <c r="O23" s="472" t="s">
        <v>1006</v>
      </c>
      <c r="P23" s="473"/>
      <c r="Q23" s="482" t="s">
        <v>1193</v>
      </c>
      <c r="R23" s="483"/>
      <c r="S23" s="483"/>
      <c r="T23" s="484"/>
      <c r="U23" s="474"/>
      <c r="V23" s="475"/>
      <c r="W23" s="476"/>
      <c r="X23" s="476"/>
      <c r="Y23" s="476"/>
      <c r="Z23" s="477" t="s">
        <v>260</v>
      </c>
      <c r="AA23" s="52"/>
      <c r="AC23" s="247"/>
      <c r="AD23" s="246"/>
      <c r="AE23" s="246"/>
      <c r="AF23" s="220"/>
      <c r="AG23" s="52"/>
      <c r="AH23" s="52"/>
      <c r="AI23" s="52"/>
      <c r="AJ23" s="53"/>
    </row>
    <row r="24" spans="6:36">
      <c r="F24" s="51"/>
      <c r="G24" s="52"/>
      <c r="H24" s="52"/>
      <c r="I24" s="52"/>
      <c r="J24" s="52"/>
      <c r="N24" s="52"/>
      <c r="O24" s="472" t="s">
        <v>1000</v>
      </c>
      <c r="P24" s="473"/>
      <c r="Q24" s="482" t="s">
        <v>1143</v>
      </c>
      <c r="R24" s="483"/>
      <c r="S24" s="483"/>
      <c r="T24" s="484"/>
      <c r="U24" s="474" t="s">
        <v>757</v>
      </c>
      <c r="V24" s="475"/>
      <c r="W24" s="476" t="s">
        <v>499</v>
      </c>
      <c r="X24" s="476"/>
      <c r="Y24" s="476"/>
      <c r="Z24" s="477" t="s">
        <v>520</v>
      </c>
      <c r="AA24" s="52"/>
      <c r="AC24" s="247"/>
      <c r="AD24" s="246"/>
      <c r="AE24" s="246"/>
      <c r="AF24" s="220"/>
      <c r="AG24" s="52"/>
      <c r="AH24" s="52"/>
      <c r="AI24" s="52"/>
      <c r="AJ24" s="53"/>
    </row>
    <row r="25" spans="6:36">
      <c r="F25" s="51"/>
      <c r="G25" s="46" t="s">
        <v>249</v>
      </c>
      <c r="H25" s="46" t="s">
        <v>250</v>
      </c>
      <c r="I25" s="47" t="s">
        <v>251</v>
      </c>
      <c r="J25" s="47" t="s">
        <v>252</v>
      </c>
      <c r="K25" s="47" t="s">
        <v>253</v>
      </c>
      <c r="L25" s="47" t="s">
        <v>254</v>
      </c>
      <c r="M25" s="47" t="s">
        <v>255</v>
      </c>
      <c r="N25" s="52"/>
      <c r="O25" s="488" t="s">
        <v>47</v>
      </c>
      <c r="P25" s="488"/>
      <c r="Q25" s="488"/>
      <c r="R25" s="488"/>
      <c r="S25" s="488"/>
      <c r="T25" s="488"/>
      <c r="U25" s="488"/>
      <c r="V25" s="488"/>
      <c r="W25" s="488"/>
      <c r="X25" s="488"/>
      <c r="Y25" s="488"/>
      <c r="Z25" s="488"/>
      <c r="AA25" s="52"/>
      <c r="AB25" s="52"/>
      <c r="AC25" s="52"/>
      <c r="AD25" s="52"/>
      <c r="AE25" s="52"/>
      <c r="AF25" s="220"/>
      <c r="AG25" s="52"/>
      <c r="AH25" s="52"/>
      <c r="AI25" s="52"/>
      <c r="AJ25" s="53"/>
    </row>
    <row r="26" spans="6:36" ht="14.25" customHeight="1">
      <c r="F26" s="51"/>
      <c r="G26" s="456" t="s">
        <v>991</v>
      </c>
      <c r="H26" s="469" t="s">
        <v>262</v>
      </c>
      <c r="I26" s="469">
        <v>62</v>
      </c>
      <c r="J26" s="210"/>
      <c r="K26" s="210"/>
      <c r="L26" s="210"/>
      <c r="M26" s="459" t="s">
        <v>264</v>
      </c>
      <c r="N26" s="462" t="s">
        <v>256</v>
      </c>
      <c r="O26" s="52"/>
      <c r="P26" s="52"/>
      <c r="Q26" s="52"/>
      <c r="R26" s="52"/>
      <c r="S26" s="52"/>
      <c r="T26" s="54">
        <f>SUM(O19:Z19)</f>
        <v>60</v>
      </c>
      <c r="U26" s="52"/>
      <c r="V26" s="52"/>
      <c r="W26" s="52"/>
      <c r="X26" s="52"/>
      <c r="Y26" s="128"/>
      <c r="Z26" s="52"/>
      <c r="AA26" s="462" t="s">
        <v>257</v>
      </c>
      <c r="AB26" s="468" t="s">
        <v>259</v>
      </c>
      <c r="AC26" s="468" t="s">
        <v>1149</v>
      </c>
      <c r="AD26" s="468" t="s">
        <v>1141</v>
      </c>
      <c r="AE26" s="468" t="s">
        <v>1142</v>
      </c>
      <c r="AF26" s="468"/>
      <c r="AG26" s="468">
        <v>6</v>
      </c>
      <c r="AH26" s="468" t="s">
        <v>1135</v>
      </c>
      <c r="AI26" s="468" t="s">
        <v>1136</v>
      </c>
      <c r="AJ26" s="56"/>
    </row>
    <row r="27" spans="6:36">
      <c r="F27" s="51"/>
      <c r="G27" s="457"/>
      <c r="H27" s="470"/>
      <c r="I27" s="470"/>
      <c r="J27" s="210"/>
      <c r="K27" s="210"/>
      <c r="L27" s="210"/>
      <c r="M27" s="460"/>
      <c r="N27" s="46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128"/>
      <c r="Z27" s="52"/>
      <c r="AA27" s="462"/>
      <c r="AB27" s="468"/>
      <c r="AC27" s="468"/>
      <c r="AD27" s="468"/>
      <c r="AE27" s="468"/>
      <c r="AF27" s="468"/>
      <c r="AG27" s="468"/>
      <c r="AH27" s="468" t="s">
        <v>258</v>
      </c>
      <c r="AI27" s="468" t="s">
        <v>266</v>
      </c>
      <c r="AJ27" s="56"/>
    </row>
    <row r="28" spans="6:36">
      <c r="F28" s="51"/>
      <c r="G28" s="457"/>
      <c r="H28" s="470"/>
      <c r="I28" s="470"/>
      <c r="J28" s="210"/>
      <c r="K28" s="210"/>
      <c r="L28" s="210"/>
      <c r="M28" s="460"/>
      <c r="N28" s="46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128"/>
      <c r="Z28" s="52"/>
      <c r="AA28" s="462"/>
      <c r="AB28" s="468"/>
      <c r="AC28" s="468"/>
      <c r="AD28" s="468"/>
      <c r="AE28" s="468"/>
      <c r="AF28" s="468"/>
      <c r="AG28" s="468"/>
      <c r="AH28" s="468"/>
      <c r="AI28" s="468"/>
      <c r="AJ28" s="56"/>
    </row>
    <row r="29" spans="6:36">
      <c r="F29" s="51"/>
      <c r="G29" s="457"/>
      <c r="H29" s="470"/>
      <c r="I29" s="470"/>
      <c r="J29" s="210"/>
      <c r="K29" s="210"/>
      <c r="L29" s="210"/>
      <c r="M29" s="460"/>
      <c r="N29" s="462"/>
      <c r="O29" s="52"/>
      <c r="P29" s="52"/>
      <c r="Q29" s="52"/>
      <c r="R29" s="52"/>
      <c r="S29" s="52"/>
      <c r="T29" s="212"/>
      <c r="U29" s="212"/>
      <c r="V29" s="52"/>
      <c r="W29" s="52"/>
      <c r="X29" s="52"/>
      <c r="Y29" s="128"/>
      <c r="Z29" s="52"/>
      <c r="AA29" s="462"/>
      <c r="AB29" s="468"/>
      <c r="AC29" s="468"/>
      <c r="AD29" s="468"/>
      <c r="AE29" s="468"/>
      <c r="AF29" s="468"/>
      <c r="AG29" s="468"/>
      <c r="AH29" s="468"/>
      <c r="AI29" s="468"/>
      <c r="AJ29" s="56"/>
    </row>
    <row r="30" spans="6:36" ht="14.25" customHeight="1">
      <c r="F30" s="51"/>
      <c r="G30" s="457"/>
      <c r="H30" s="470"/>
      <c r="I30" s="470"/>
      <c r="J30" s="210"/>
      <c r="K30" s="210"/>
      <c r="L30" s="210"/>
      <c r="M30" s="460"/>
      <c r="N30" s="462"/>
      <c r="O30" s="52"/>
      <c r="P30" s="52"/>
      <c r="Q30" s="52"/>
      <c r="R30" s="52"/>
      <c r="S30" s="52"/>
      <c r="T30" s="212"/>
      <c r="U30" s="212"/>
      <c r="V30" s="52"/>
      <c r="W30" s="52"/>
      <c r="X30" s="52"/>
      <c r="Y30" s="128"/>
      <c r="Z30" s="52"/>
      <c r="AA30" s="462"/>
      <c r="AB30" s="468"/>
      <c r="AC30" s="468"/>
      <c r="AD30" s="468"/>
      <c r="AE30" s="468"/>
      <c r="AF30" s="468"/>
      <c r="AG30" s="468"/>
      <c r="AH30" s="468"/>
      <c r="AI30" s="468"/>
      <c r="AJ30" s="53"/>
    </row>
    <row r="31" spans="6:36">
      <c r="F31" s="51"/>
      <c r="G31" s="457"/>
      <c r="H31" s="470"/>
      <c r="I31" s="470"/>
      <c r="J31" s="210"/>
      <c r="K31" s="210"/>
      <c r="L31" s="210"/>
      <c r="M31" s="460"/>
      <c r="N31" s="462"/>
      <c r="O31" s="52"/>
      <c r="P31" s="52"/>
      <c r="Q31" s="52"/>
      <c r="R31" s="52"/>
      <c r="S31" s="52"/>
      <c r="T31" s="215"/>
      <c r="U31" s="52"/>
      <c r="V31" s="52"/>
      <c r="W31" s="52"/>
      <c r="X31" s="52"/>
      <c r="Y31" s="128"/>
      <c r="Z31" s="52"/>
      <c r="AA31" s="462"/>
      <c r="AB31" s="468"/>
      <c r="AC31" s="468"/>
      <c r="AD31" s="468"/>
      <c r="AE31" s="468"/>
      <c r="AF31" s="468"/>
      <c r="AG31" s="468"/>
      <c r="AH31" s="468"/>
      <c r="AI31" s="468"/>
      <c r="AJ31" s="53"/>
    </row>
    <row r="32" spans="6:36" ht="14.25" customHeight="1">
      <c r="F32" s="51"/>
      <c r="G32" s="457"/>
      <c r="H32" s="470"/>
      <c r="I32" s="470"/>
      <c r="J32" s="210"/>
      <c r="K32" s="210"/>
      <c r="L32" s="210"/>
      <c r="M32" s="460"/>
      <c r="N32" s="46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128"/>
      <c r="Z32" s="52"/>
      <c r="AA32" s="462"/>
      <c r="AB32" s="485" t="s">
        <v>1131</v>
      </c>
      <c r="AC32" s="485" t="s">
        <v>1195</v>
      </c>
      <c r="AD32" s="485"/>
      <c r="AE32" s="485"/>
      <c r="AF32" s="485"/>
      <c r="AG32" s="485">
        <v>28</v>
      </c>
      <c r="AH32" s="485" t="s">
        <v>1196</v>
      </c>
      <c r="AI32" s="485" t="s">
        <v>1188</v>
      </c>
      <c r="AJ32" s="53"/>
    </row>
    <row r="33" spans="6:36">
      <c r="F33" s="51"/>
      <c r="G33" s="457"/>
      <c r="H33" s="470"/>
      <c r="I33" s="470"/>
      <c r="J33" s="210"/>
      <c r="K33" s="210"/>
      <c r="L33" s="210"/>
      <c r="M33" s="460"/>
      <c r="N33" s="46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128"/>
      <c r="Z33" s="52"/>
      <c r="AA33" s="462"/>
      <c r="AB33" s="486"/>
      <c r="AC33" s="486"/>
      <c r="AD33" s="486"/>
      <c r="AE33" s="486"/>
      <c r="AF33" s="486"/>
      <c r="AG33" s="486"/>
      <c r="AH33" s="486" t="s">
        <v>1194</v>
      </c>
      <c r="AI33" s="486" t="s">
        <v>246</v>
      </c>
      <c r="AJ33" s="53"/>
    </row>
    <row r="34" spans="6:36" ht="14.25" customHeight="1">
      <c r="F34" s="51"/>
      <c r="G34" s="457"/>
      <c r="H34" s="470"/>
      <c r="I34" s="470"/>
      <c r="J34" s="210"/>
      <c r="K34" s="210"/>
      <c r="L34" s="210"/>
      <c r="M34" s="460"/>
      <c r="N34" s="46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128"/>
      <c r="Z34" s="52"/>
      <c r="AA34" s="462"/>
      <c r="AB34" s="486"/>
      <c r="AC34" s="486"/>
      <c r="AD34" s="486"/>
      <c r="AE34" s="486"/>
      <c r="AF34" s="486"/>
      <c r="AG34" s="486"/>
      <c r="AH34" s="486"/>
      <c r="AI34" s="486"/>
      <c r="AJ34" s="53"/>
    </row>
    <row r="35" spans="6:36" ht="12.75" customHeight="1">
      <c r="F35" s="51"/>
      <c r="G35" s="457"/>
      <c r="H35" s="470"/>
      <c r="I35" s="470"/>
      <c r="J35" s="210"/>
      <c r="K35" s="210"/>
      <c r="L35" s="210"/>
      <c r="M35" s="460"/>
      <c r="N35" s="46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128"/>
      <c r="Z35" s="52"/>
      <c r="AA35" s="462"/>
      <c r="AB35" s="486"/>
      <c r="AC35" s="486"/>
      <c r="AD35" s="486"/>
      <c r="AE35" s="486"/>
      <c r="AF35" s="486"/>
      <c r="AG35" s="486"/>
      <c r="AH35" s="486"/>
      <c r="AI35" s="486"/>
      <c r="AJ35" s="53"/>
    </row>
    <row r="36" spans="6:36">
      <c r="F36" s="55"/>
      <c r="G36" s="457"/>
      <c r="H36" s="470"/>
      <c r="I36" s="470"/>
      <c r="J36" s="210"/>
      <c r="K36" s="210"/>
      <c r="L36" s="210"/>
      <c r="M36" s="460"/>
      <c r="N36" s="46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128"/>
      <c r="Z36" s="52"/>
      <c r="AA36" s="462"/>
      <c r="AB36" s="486"/>
      <c r="AC36" s="486"/>
      <c r="AD36" s="486"/>
      <c r="AE36" s="486"/>
      <c r="AF36" s="486"/>
      <c r="AG36" s="486"/>
      <c r="AH36" s="486"/>
      <c r="AI36" s="486"/>
      <c r="AJ36" s="53"/>
    </row>
    <row r="37" spans="6:36" ht="14.25" customHeight="1">
      <c r="F37" s="51"/>
      <c r="G37" s="457"/>
      <c r="H37" s="470"/>
      <c r="I37" s="470"/>
      <c r="J37" s="210"/>
      <c r="K37" s="210"/>
      <c r="L37" s="210"/>
      <c r="M37" s="460"/>
      <c r="N37" s="462"/>
      <c r="O37" s="52"/>
      <c r="T37" s="52"/>
      <c r="U37" s="52"/>
      <c r="V37" s="52"/>
      <c r="W37" s="52"/>
      <c r="X37" s="52"/>
      <c r="Y37" s="128"/>
      <c r="Z37" s="52"/>
      <c r="AA37" s="462"/>
      <c r="AB37" s="486"/>
      <c r="AC37" s="486"/>
      <c r="AD37" s="486"/>
      <c r="AE37" s="486"/>
      <c r="AF37" s="486"/>
      <c r="AG37" s="486"/>
      <c r="AH37" s="486"/>
      <c r="AI37" s="486"/>
      <c r="AJ37" s="56"/>
    </row>
    <row r="38" spans="6:36" ht="14.25" customHeight="1">
      <c r="F38" s="51"/>
      <c r="G38" s="457"/>
      <c r="H38" s="470"/>
      <c r="I38" s="470"/>
      <c r="J38" s="210"/>
      <c r="K38" s="210"/>
      <c r="L38" s="210"/>
      <c r="M38" s="460"/>
      <c r="N38" s="462"/>
      <c r="O38" s="57"/>
      <c r="V38" s="52"/>
      <c r="W38" s="52"/>
      <c r="X38" s="52"/>
      <c r="Y38" s="128"/>
      <c r="Z38" s="52"/>
      <c r="AA38" s="462"/>
      <c r="AB38" s="486"/>
      <c r="AC38" s="486"/>
      <c r="AD38" s="486"/>
      <c r="AE38" s="486"/>
      <c r="AF38" s="486"/>
      <c r="AG38" s="486"/>
      <c r="AH38" s="486"/>
      <c r="AI38" s="486"/>
      <c r="AJ38" s="53"/>
    </row>
    <row r="39" spans="6:36" ht="16.5" customHeight="1">
      <c r="F39" s="51"/>
      <c r="G39" s="457"/>
      <c r="H39" s="470"/>
      <c r="I39" s="470"/>
      <c r="J39" s="210"/>
      <c r="K39" s="210"/>
      <c r="L39" s="210"/>
      <c r="M39" s="460"/>
      <c r="N39" s="462"/>
      <c r="O39" s="52"/>
      <c r="V39" s="52"/>
      <c r="W39" s="52"/>
      <c r="X39" s="52"/>
      <c r="Y39" s="128"/>
      <c r="Z39" s="52"/>
      <c r="AA39" s="462"/>
      <c r="AB39" s="486"/>
      <c r="AC39" s="486"/>
      <c r="AD39" s="486"/>
      <c r="AE39" s="486"/>
      <c r="AF39" s="486"/>
      <c r="AG39" s="486"/>
      <c r="AH39" s="486"/>
      <c r="AI39" s="486"/>
      <c r="AJ39" s="53"/>
    </row>
    <row r="40" spans="6:36" ht="14.25" customHeight="1">
      <c r="F40" s="51"/>
      <c r="G40" s="457"/>
      <c r="H40" s="470"/>
      <c r="I40" s="470"/>
      <c r="J40" s="210"/>
      <c r="K40" s="210"/>
      <c r="L40" s="210"/>
      <c r="M40" s="460"/>
      <c r="N40" s="462"/>
      <c r="O40" s="52"/>
      <c r="V40" s="52"/>
      <c r="W40" s="52"/>
      <c r="X40" s="52"/>
      <c r="Y40" s="128"/>
      <c r="Z40" s="52"/>
      <c r="AA40" s="462"/>
      <c r="AB40" s="486"/>
      <c r="AC40" s="486"/>
      <c r="AD40" s="486"/>
      <c r="AE40" s="486"/>
      <c r="AF40" s="486"/>
      <c r="AG40" s="486"/>
      <c r="AH40" s="486"/>
      <c r="AI40" s="486"/>
      <c r="AJ40" s="53"/>
    </row>
    <row r="41" spans="6:36">
      <c r="F41" s="51"/>
      <c r="G41" s="457"/>
      <c r="H41" s="470"/>
      <c r="I41" s="470"/>
      <c r="J41" s="210"/>
      <c r="K41" s="210"/>
      <c r="L41" s="210"/>
      <c r="M41" s="460"/>
      <c r="N41" s="462"/>
      <c r="O41" s="54">
        <f>SUM(I22:I61)</f>
        <v>62</v>
      </c>
      <c r="Q41" s="214"/>
      <c r="R41" s="214"/>
      <c r="T41" s="88">
        <f>SUM(T26+O41+T59+Z41)</f>
        <v>239</v>
      </c>
      <c r="V41" s="52"/>
      <c r="W41" s="52"/>
      <c r="X41" s="52"/>
      <c r="Y41" s="212"/>
      <c r="Z41" s="52">
        <f>SUM(AG22:AG65)</f>
        <v>67</v>
      </c>
      <c r="AA41" s="462"/>
      <c r="AB41" s="486"/>
      <c r="AC41" s="486"/>
      <c r="AD41" s="486"/>
      <c r="AE41" s="486"/>
      <c r="AF41" s="486"/>
      <c r="AG41" s="486"/>
      <c r="AH41" s="486"/>
      <c r="AI41" s="486"/>
      <c r="AJ41" s="53"/>
    </row>
    <row r="42" spans="6:36">
      <c r="F42" s="51"/>
      <c r="G42" s="457"/>
      <c r="H42" s="470"/>
      <c r="I42" s="470"/>
      <c r="J42" s="210"/>
      <c r="K42" s="210"/>
      <c r="L42" s="210"/>
      <c r="M42" s="460"/>
      <c r="N42" s="462"/>
      <c r="O42" s="52"/>
      <c r="P42" s="52"/>
      <c r="Q42" s="52"/>
      <c r="V42" s="52"/>
      <c r="W42" s="52"/>
      <c r="X42" s="52"/>
      <c r="Y42" s="212"/>
      <c r="Z42" s="52"/>
      <c r="AA42" s="462"/>
      <c r="AB42" s="487"/>
      <c r="AC42" s="487"/>
      <c r="AD42" s="487"/>
      <c r="AE42" s="487"/>
      <c r="AF42" s="487"/>
      <c r="AG42" s="487"/>
      <c r="AH42" s="487"/>
      <c r="AI42" s="487"/>
      <c r="AJ42" s="53"/>
    </row>
    <row r="43" spans="6:36">
      <c r="F43" s="51"/>
      <c r="G43" s="457"/>
      <c r="H43" s="470"/>
      <c r="I43" s="470"/>
      <c r="J43" s="210"/>
      <c r="K43" s="210"/>
      <c r="L43" s="210"/>
      <c r="M43" s="460"/>
      <c r="N43" s="462"/>
      <c r="O43" s="52"/>
      <c r="P43" s="52"/>
      <c r="Q43" s="52"/>
      <c r="V43" s="52"/>
      <c r="W43" s="52"/>
      <c r="X43" s="52"/>
      <c r="Y43" s="128"/>
      <c r="Z43" s="52"/>
      <c r="AA43" s="462"/>
      <c r="AB43" s="468" t="s">
        <v>1171</v>
      </c>
      <c r="AC43" s="468"/>
      <c r="AD43" s="468" t="s">
        <v>1150</v>
      </c>
      <c r="AE43" s="468"/>
      <c r="AF43" s="468"/>
      <c r="AG43" s="468">
        <v>19</v>
      </c>
      <c r="AH43" s="468" t="s">
        <v>1135</v>
      </c>
      <c r="AI43" s="468" t="s">
        <v>1136</v>
      </c>
      <c r="AJ43" s="53"/>
    </row>
    <row r="44" spans="6:36">
      <c r="F44" s="51"/>
      <c r="G44" s="457"/>
      <c r="H44" s="470"/>
      <c r="I44" s="470"/>
      <c r="J44" s="210"/>
      <c r="K44" s="210"/>
      <c r="L44" s="210"/>
      <c r="M44" s="460"/>
      <c r="N44" s="462"/>
      <c r="O44" s="52"/>
      <c r="Q44" s="179"/>
      <c r="S44" s="217"/>
      <c r="W44" s="52"/>
      <c r="X44" s="52"/>
      <c r="Y44" s="216"/>
      <c r="Z44" s="52"/>
      <c r="AA44" s="462"/>
      <c r="AB44" s="468"/>
      <c r="AC44" s="468"/>
      <c r="AD44" s="468"/>
      <c r="AE44" s="468"/>
      <c r="AF44" s="468"/>
      <c r="AG44" s="468"/>
      <c r="AH44" s="468"/>
      <c r="AI44" s="468"/>
      <c r="AJ44" s="53"/>
    </row>
    <row r="45" spans="6:36">
      <c r="F45" s="51"/>
      <c r="G45" s="457"/>
      <c r="H45" s="470"/>
      <c r="I45" s="470"/>
      <c r="J45" s="210"/>
      <c r="K45" s="210"/>
      <c r="L45" s="210"/>
      <c r="M45" s="460"/>
      <c r="N45" s="462"/>
      <c r="O45" s="52"/>
      <c r="W45" s="52"/>
      <c r="X45" s="52"/>
      <c r="Y45" s="128"/>
      <c r="Z45" s="52"/>
      <c r="AA45" s="462"/>
      <c r="AB45" s="468"/>
      <c r="AC45" s="468"/>
      <c r="AD45" s="468"/>
      <c r="AE45" s="468"/>
      <c r="AF45" s="468"/>
      <c r="AG45" s="468"/>
      <c r="AH45" s="468"/>
      <c r="AI45" s="468"/>
      <c r="AJ45" s="53"/>
    </row>
    <row r="46" spans="6:36">
      <c r="F46" s="51"/>
      <c r="G46" s="457"/>
      <c r="H46" s="470"/>
      <c r="I46" s="470"/>
      <c r="J46" s="210"/>
      <c r="K46" s="210"/>
      <c r="L46" s="210"/>
      <c r="M46" s="460"/>
      <c r="N46" s="462"/>
      <c r="O46" s="52"/>
      <c r="W46" s="52"/>
      <c r="X46" s="52"/>
      <c r="Y46" s="128"/>
      <c r="Z46" s="52"/>
      <c r="AA46" s="462"/>
      <c r="AB46" s="468"/>
      <c r="AC46" s="468"/>
      <c r="AD46" s="468"/>
      <c r="AE46" s="468"/>
      <c r="AF46" s="468"/>
      <c r="AG46" s="468"/>
      <c r="AH46" s="468"/>
      <c r="AI46" s="468"/>
      <c r="AJ46" s="53"/>
    </row>
    <row r="47" spans="6:36">
      <c r="F47" s="51"/>
      <c r="G47" s="457"/>
      <c r="H47" s="470"/>
      <c r="I47" s="470"/>
      <c r="J47" s="210"/>
      <c r="K47" s="210"/>
      <c r="L47" s="210"/>
      <c r="M47" s="460"/>
      <c r="N47" s="462"/>
      <c r="O47" s="52"/>
      <c r="P47" s="52"/>
      <c r="Q47" s="52"/>
      <c r="R47" s="52"/>
      <c r="S47" s="52"/>
      <c r="T47" s="212"/>
      <c r="U47" s="52"/>
      <c r="V47" s="52"/>
      <c r="W47" s="52"/>
      <c r="X47" s="52"/>
      <c r="Y47" s="128"/>
      <c r="Z47" s="52"/>
      <c r="AA47" s="462"/>
      <c r="AB47" s="468"/>
      <c r="AC47" s="468"/>
      <c r="AD47" s="468"/>
      <c r="AE47" s="468"/>
      <c r="AF47" s="468"/>
      <c r="AG47" s="468"/>
      <c r="AH47" s="468"/>
      <c r="AI47" s="468"/>
      <c r="AJ47" s="53"/>
    </row>
    <row r="48" spans="6:36" ht="14.25" customHeight="1">
      <c r="F48" s="51"/>
      <c r="G48" s="457"/>
      <c r="H48" s="470"/>
      <c r="I48" s="470"/>
      <c r="J48" s="210"/>
      <c r="K48" s="211"/>
      <c r="L48" s="210"/>
      <c r="M48" s="460"/>
      <c r="N48" s="46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128"/>
      <c r="Z48" s="52"/>
      <c r="AA48" s="462"/>
      <c r="AB48" s="489" t="s">
        <v>1009</v>
      </c>
      <c r="AC48" s="489" t="s">
        <v>1137</v>
      </c>
      <c r="AD48" s="489" t="s">
        <v>1138</v>
      </c>
      <c r="AE48" s="489"/>
      <c r="AF48" s="489"/>
      <c r="AG48" s="489">
        <v>8</v>
      </c>
      <c r="AH48" s="489" t="s">
        <v>1139</v>
      </c>
      <c r="AI48" s="489" t="s">
        <v>1140</v>
      </c>
      <c r="AJ48" s="53"/>
    </row>
    <row r="49" spans="6:36">
      <c r="F49" s="51"/>
      <c r="G49" s="457"/>
      <c r="H49" s="470"/>
      <c r="I49" s="470"/>
      <c r="J49" s="210"/>
      <c r="K49" s="211"/>
      <c r="L49" s="211"/>
      <c r="M49" s="460"/>
      <c r="N49" s="46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128"/>
      <c r="Z49" s="52"/>
      <c r="AA49" s="462"/>
      <c r="AB49" s="489"/>
      <c r="AC49" s="489"/>
      <c r="AD49" s="489"/>
      <c r="AE49" s="489"/>
      <c r="AF49" s="489"/>
      <c r="AG49" s="489"/>
      <c r="AH49" s="489"/>
      <c r="AI49" s="489"/>
      <c r="AJ49" s="53"/>
    </row>
    <row r="50" spans="6:36">
      <c r="F50" s="51"/>
      <c r="G50" s="457"/>
      <c r="H50" s="470"/>
      <c r="I50" s="470"/>
      <c r="J50" s="210"/>
      <c r="K50" s="210"/>
      <c r="L50" s="210"/>
      <c r="M50" s="460"/>
      <c r="N50" s="87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128"/>
      <c r="Z50" s="52"/>
      <c r="AA50" s="87"/>
      <c r="AB50" s="489"/>
      <c r="AC50" s="489"/>
      <c r="AD50" s="489"/>
      <c r="AE50" s="489"/>
      <c r="AF50" s="489"/>
      <c r="AG50" s="489"/>
      <c r="AH50" s="489"/>
      <c r="AI50" s="489"/>
      <c r="AJ50" s="53"/>
    </row>
    <row r="51" spans="6:36">
      <c r="F51" s="51"/>
      <c r="G51" s="457"/>
      <c r="H51" s="470"/>
      <c r="I51" s="470"/>
      <c r="J51" s="210"/>
      <c r="K51" s="210"/>
      <c r="L51" s="211"/>
      <c r="M51" s="460"/>
      <c r="N51" s="87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128"/>
      <c r="Z51" s="52"/>
      <c r="AA51" s="87"/>
      <c r="AB51" s="489"/>
      <c r="AC51" s="489"/>
      <c r="AD51" s="489"/>
      <c r="AE51" s="489"/>
      <c r="AF51" s="489"/>
      <c r="AG51" s="489"/>
      <c r="AH51" s="489"/>
      <c r="AI51" s="489"/>
      <c r="AJ51" s="53"/>
    </row>
    <row r="52" spans="6:36">
      <c r="F52" s="51"/>
      <c r="G52" s="457"/>
      <c r="H52" s="470"/>
      <c r="I52" s="470"/>
      <c r="J52" s="210"/>
      <c r="K52" s="210"/>
      <c r="L52" s="211"/>
      <c r="M52" s="460"/>
      <c r="N52" s="87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128"/>
      <c r="Z52" s="52"/>
      <c r="AA52" s="87"/>
      <c r="AB52" s="489"/>
      <c r="AC52" s="489"/>
      <c r="AD52" s="489"/>
      <c r="AE52" s="489"/>
      <c r="AF52" s="489"/>
      <c r="AG52" s="489"/>
      <c r="AH52" s="489"/>
      <c r="AI52" s="489"/>
      <c r="AJ52" s="53"/>
    </row>
    <row r="53" spans="6:36">
      <c r="F53" s="51"/>
      <c r="G53" s="457"/>
      <c r="H53" s="470"/>
      <c r="I53" s="470"/>
      <c r="J53" s="210"/>
      <c r="K53" s="210"/>
      <c r="L53" s="211"/>
      <c r="M53" s="460"/>
      <c r="N53" s="87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128"/>
      <c r="Z53" s="52"/>
      <c r="AA53" s="87"/>
      <c r="AB53" s="489"/>
      <c r="AC53" s="489"/>
      <c r="AD53" s="489"/>
      <c r="AE53" s="489"/>
      <c r="AF53" s="489"/>
      <c r="AG53" s="489"/>
      <c r="AH53" s="489"/>
      <c r="AI53" s="489"/>
      <c r="AJ53" s="53"/>
    </row>
    <row r="54" spans="6:36">
      <c r="F54" s="51"/>
      <c r="G54" s="457"/>
      <c r="H54" s="470"/>
      <c r="I54" s="470"/>
      <c r="J54" s="210"/>
      <c r="K54" s="210"/>
      <c r="L54" s="211"/>
      <c r="M54" s="460"/>
      <c r="N54" s="87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128"/>
      <c r="Z54" s="52"/>
      <c r="AA54" s="87"/>
      <c r="AB54" s="489"/>
      <c r="AC54" s="489"/>
      <c r="AD54" s="489"/>
      <c r="AE54" s="489"/>
      <c r="AF54" s="489"/>
      <c r="AG54" s="489"/>
      <c r="AH54" s="489"/>
      <c r="AI54" s="489"/>
      <c r="AJ54" s="53"/>
    </row>
    <row r="55" spans="6:36">
      <c r="F55" s="51"/>
      <c r="G55" s="457"/>
      <c r="H55" s="470"/>
      <c r="I55" s="470"/>
      <c r="J55" s="210"/>
      <c r="K55" s="210"/>
      <c r="L55" s="210"/>
      <c r="M55" s="460"/>
      <c r="N55" s="87"/>
      <c r="O55" s="52"/>
      <c r="P55" s="52"/>
      <c r="Q55" s="52"/>
      <c r="R55" s="52"/>
      <c r="S55" s="52"/>
      <c r="T55" s="216"/>
      <c r="U55" s="52"/>
      <c r="V55" s="52"/>
      <c r="W55" s="52"/>
      <c r="X55" s="52"/>
      <c r="Y55" s="128"/>
      <c r="Z55" s="52"/>
      <c r="AA55" s="87"/>
      <c r="AB55" s="468" t="s">
        <v>1012</v>
      </c>
      <c r="AC55" s="468"/>
      <c r="AD55" s="468"/>
      <c r="AE55" s="468"/>
      <c r="AF55" s="468"/>
      <c r="AG55" s="468">
        <v>6</v>
      </c>
      <c r="AH55" s="468" t="s">
        <v>1135</v>
      </c>
      <c r="AI55" s="468" t="s">
        <v>1136</v>
      </c>
      <c r="AJ55" s="53"/>
    </row>
    <row r="56" spans="6:36">
      <c r="F56" s="51"/>
      <c r="G56" s="457"/>
      <c r="H56" s="470"/>
      <c r="I56" s="470"/>
      <c r="J56" s="210"/>
      <c r="K56" s="210"/>
      <c r="L56" s="211"/>
      <c r="M56" s="460"/>
      <c r="N56" s="87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128"/>
      <c r="Z56" s="52"/>
      <c r="AA56" s="87"/>
      <c r="AB56" s="468"/>
      <c r="AC56" s="468"/>
      <c r="AD56" s="468"/>
      <c r="AE56" s="468"/>
      <c r="AF56" s="468"/>
      <c r="AG56" s="468"/>
      <c r="AH56" s="468"/>
      <c r="AI56" s="468"/>
      <c r="AJ56" s="53"/>
    </row>
    <row r="57" spans="6:36">
      <c r="F57" s="51"/>
      <c r="G57" s="457"/>
      <c r="H57" s="470"/>
      <c r="I57" s="470"/>
      <c r="J57" s="210"/>
      <c r="K57" s="210"/>
      <c r="L57" s="211"/>
      <c r="M57" s="460"/>
      <c r="N57" s="87"/>
      <c r="O57" s="52"/>
      <c r="P57" s="52"/>
      <c r="Q57" s="52"/>
      <c r="S57" s="52"/>
      <c r="T57" s="212"/>
      <c r="U57" s="212"/>
      <c r="V57" s="212"/>
      <c r="W57" s="212"/>
      <c r="X57" s="213"/>
      <c r="Y57" s="128"/>
      <c r="Z57" s="52"/>
      <c r="AA57" s="87"/>
      <c r="AB57" s="468"/>
      <c r="AC57" s="468"/>
      <c r="AD57" s="468"/>
      <c r="AE57" s="468"/>
      <c r="AF57" s="468"/>
      <c r="AG57" s="468"/>
      <c r="AH57" s="468"/>
      <c r="AI57" s="468"/>
      <c r="AJ57" s="53"/>
    </row>
    <row r="58" spans="6:36">
      <c r="F58" s="51"/>
      <c r="G58" s="457"/>
      <c r="H58" s="470"/>
      <c r="I58" s="470"/>
      <c r="J58" s="210"/>
      <c r="K58" s="210"/>
      <c r="L58" s="211"/>
      <c r="M58" s="460"/>
      <c r="N58" s="87"/>
      <c r="O58" s="52"/>
      <c r="P58" s="52"/>
      <c r="Q58" s="52"/>
      <c r="S58" s="52"/>
      <c r="T58" s="52"/>
      <c r="U58" s="52"/>
      <c r="V58" s="52"/>
      <c r="W58" s="52"/>
      <c r="X58" s="52"/>
      <c r="Y58" s="128"/>
      <c r="Z58" s="52"/>
      <c r="AA58" s="87"/>
      <c r="AB58" s="468"/>
      <c r="AC58" s="468"/>
      <c r="AD58" s="468"/>
      <c r="AE58" s="468"/>
      <c r="AF58" s="468"/>
      <c r="AG58" s="468"/>
      <c r="AH58" s="468"/>
      <c r="AI58" s="468"/>
      <c r="AJ58" s="53"/>
    </row>
    <row r="59" spans="6:36">
      <c r="F59" s="51"/>
      <c r="G59" s="458"/>
      <c r="H59" s="471"/>
      <c r="I59" s="471"/>
      <c r="J59" s="210"/>
      <c r="K59" s="210"/>
      <c r="L59" s="210"/>
      <c r="M59" s="461"/>
      <c r="N59" s="87"/>
      <c r="O59" s="52"/>
      <c r="P59" s="52"/>
      <c r="Q59" s="52"/>
      <c r="R59" s="52"/>
      <c r="S59" s="52"/>
      <c r="T59" s="54">
        <f>SUM(P65:Z65)</f>
        <v>50</v>
      </c>
      <c r="U59" s="52"/>
      <c r="V59" s="52"/>
      <c r="W59" s="52"/>
      <c r="X59" s="52"/>
      <c r="Y59" s="128"/>
      <c r="Z59" s="52"/>
      <c r="AA59" s="87"/>
      <c r="AB59" s="468"/>
      <c r="AC59" s="468"/>
      <c r="AD59" s="468"/>
      <c r="AE59" s="468"/>
      <c r="AF59" s="468"/>
      <c r="AG59" s="468"/>
      <c r="AH59" s="468"/>
      <c r="AI59" s="468"/>
      <c r="AJ59" s="53"/>
    </row>
    <row r="60" spans="6:36">
      <c r="F60" s="51"/>
      <c r="G60" s="52"/>
      <c r="H60" s="52"/>
      <c r="I60" s="52"/>
      <c r="J60" s="52"/>
      <c r="K60" s="52"/>
      <c r="L60" s="52"/>
      <c r="M60" s="52"/>
      <c r="N60" s="52"/>
      <c r="O60" s="463" t="s">
        <v>261</v>
      </c>
      <c r="P60" s="463"/>
      <c r="Q60" s="463"/>
      <c r="R60" s="463"/>
      <c r="S60" s="463"/>
      <c r="T60" s="463"/>
      <c r="U60" s="463"/>
      <c r="V60" s="463"/>
      <c r="W60" s="463"/>
      <c r="X60" s="463"/>
      <c r="Y60" s="463"/>
      <c r="Z60" s="463"/>
      <c r="AA60" s="52"/>
      <c r="AB60" s="231"/>
      <c r="AC60" s="231"/>
      <c r="AD60" s="231"/>
      <c r="AE60" s="231"/>
      <c r="AF60" s="231"/>
      <c r="AG60" s="231"/>
      <c r="AH60" s="231"/>
      <c r="AI60" s="231"/>
      <c r="AJ60" s="53"/>
    </row>
    <row r="61" spans="6:36" ht="14.25" customHeight="1">
      <c r="F61" s="51"/>
      <c r="G61" s="52"/>
      <c r="H61" s="52"/>
      <c r="I61" s="52"/>
      <c r="J61" s="52"/>
      <c r="K61" s="52"/>
      <c r="L61" s="52"/>
      <c r="M61" s="52"/>
      <c r="N61" s="52"/>
      <c r="P61" s="240" t="s">
        <v>2055</v>
      </c>
      <c r="Q61" s="241" t="s">
        <v>1010</v>
      </c>
      <c r="R61" s="240" t="s">
        <v>1016</v>
      </c>
      <c r="S61" s="241" t="s">
        <v>1008</v>
      </c>
      <c r="T61" s="240" t="s">
        <v>2056</v>
      </c>
      <c r="U61" s="229" t="s">
        <v>1011</v>
      </c>
      <c r="V61" s="243" t="s">
        <v>1130</v>
      </c>
      <c r="W61" s="228" t="s">
        <v>1002</v>
      </c>
      <c r="X61" s="229" t="s">
        <v>1011</v>
      </c>
      <c r="Y61" s="466" t="s">
        <v>1001</v>
      </c>
      <c r="Z61" s="467"/>
      <c r="AC61" s="52"/>
      <c r="AD61" s="52"/>
      <c r="AE61" s="52"/>
      <c r="AF61" s="220"/>
      <c r="AG61" s="52"/>
      <c r="AH61" s="52"/>
      <c r="AI61" s="52"/>
      <c r="AJ61" s="53"/>
    </row>
    <row r="62" spans="6:36" s="230" customFormat="1">
      <c r="F62" s="248"/>
      <c r="G62" s="249"/>
      <c r="H62" s="249"/>
      <c r="I62" s="249"/>
      <c r="J62" s="249"/>
      <c r="K62" s="249"/>
      <c r="L62" s="249"/>
      <c r="M62" s="249"/>
      <c r="N62" s="249"/>
      <c r="P62" s="241" t="s">
        <v>1016</v>
      </c>
      <c r="Q62" s="241" t="s">
        <v>1016</v>
      </c>
      <c r="R62" s="241" t="s">
        <v>1144</v>
      </c>
      <c r="S62" s="241" t="s">
        <v>1145</v>
      </c>
      <c r="T62" s="241" t="s">
        <v>1146</v>
      </c>
      <c r="U62" s="229" t="s">
        <v>1015</v>
      </c>
      <c r="V62" s="251"/>
      <c r="W62" s="250"/>
      <c r="X62" s="229" t="s">
        <v>1015</v>
      </c>
      <c r="Y62" s="466"/>
      <c r="Z62" s="467"/>
      <c r="AC62" s="249"/>
      <c r="AD62" s="249"/>
      <c r="AE62" s="249"/>
      <c r="AF62" s="249"/>
      <c r="AG62" s="249"/>
      <c r="AH62" s="249"/>
      <c r="AI62" s="249"/>
      <c r="AJ62" s="252"/>
    </row>
    <row r="63" spans="6:36">
      <c r="F63" s="51"/>
      <c r="G63" s="52"/>
      <c r="H63" s="52"/>
      <c r="I63" s="52"/>
      <c r="J63" s="52"/>
      <c r="K63" s="52"/>
      <c r="L63" s="52"/>
      <c r="M63" s="52"/>
      <c r="N63" s="52"/>
      <c r="P63" s="242"/>
      <c r="Q63" s="240"/>
      <c r="R63" s="242"/>
      <c r="S63" s="242"/>
      <c r="T63" s="241" t="s">
        <v>1147</v>
      </c>
      <c r="U63" s="229" t="s">
        <v>1059</v>
      </c>
      <c r="V63" s="88"/>
      <c r="W63" s="228"/>
      <c r="X63" s="229" t="s">
        <v>1059</v>
      </c>
      <c r="Y63" s="466"/>
      <c r="Z63" s="467"/>
      <c r="AC63" s="52"/>
      <c r="AD63" s="52"/>
      <c r="AE63" s="52"/>
      <c r="AF63" s="220"/>
      <c r="AG63" s="52"/>
      <c r="AH63" s="52"/>
      <c r="AI63" s="52"/>
      <c r="AJ63" s="53"/>
    </row>
    <row r="64" spans="6:36" ht="14.25" customHeight="1">
      <c r="F64" s="51"/>
      <c r="G64" s="52"/>
      <c r="H64" s="52"/>
      <c r="I64" s="52"/>
      <c r="J64" s="52"/>
      <c r="K64" s="52"/>
      <c r="L64" s="52"/>
      <c r="M64" s="52"/>
      <c r="N64" s="52"/>
      <c r="P64" s="242"/>
      <c r="Q64" s="241"/>
      <c r="R64" s="242"/>
      <c r="S64" s="241"/>
      <c r="U64" s="229" t="s">
        <v>1060</v>
      </c>
      <c r="V64" s="88"/>
      <c r="W64" s="228"/>
      <c r="X64" s="229" t="s">
        <v>1060</v>
      </c>
      <c r="Y64" s="466"/>
      <c r="Z64" s="467"/>
      <c r="AC64" s="52"/>
      <c r="AD64" s="52"/>
      <c r="AE64" s="52"/>
      <c r="AF64" s="220"/>
      <c r="AG64" s="52"/>
      <c r="AH64" s="52"/>
      <c r="AI64" s="52"/>
      <c r="AJ64" s="53"/>
    </row>
    <row r="65" spans="6:36">
      <c r="F65" s="51"/>
      <c r="G65" s="52"/>
      <c r="H65" s="52"/>
      <c r="I65" s="52"/>
      <c r="J65" s="52"/>
      <c r="K65" s="52"/>
      <c r="L65" s="52"/>
      <c r="M65" s="52"/>
      <c r="N65" s="52"/>
      <c r="P65" s="242">
        <v>13</v>
      </c>
      <c r="Q65" s="242">
        <v>3</v>
      </c>
      <c r="R65" s="242">
        <v>3</v>
      </c>
      <c r="S65" s="242">
        <v>2</v>
      </c>
      <c r="T65" s="242">
        <v>5</v>
      </c>
      <c r="U65" s="229">
        <v>6</v>
      </c>
      <c r="V65" s="88"/>
      <c r="W65" s="228">
        <v>2</v>
      </c>
      <c r="X65" s="229">
        <v>6</v>
      </c>
      <c r="Y65" s="466">
        <v>10</v>
      </c>
      <c r="Z65" s="467"/>
      <c r="AG65" s="52"/>
      <c r="AH65" s="52"/>
      <c r="AI65" s="52"/>
      <c r="AJ65" s="53"/>
    </row>
    <row r="66" spans="6:36" ht="28.5" customHeight="1">
      <c r="F66" s="51"/>
      <c r="G66" s="52"/>
      <c r="H66" s="52"/>
      <c r="I66" s="52"/>
      <c r="J66" s="52"/>
      <c r="K66" s="52"/>
      <c r="L66" s="52"/>
      <c r="M66" s="52"/>
      <c r="N66" s="52"/>
      <c r="P66" s="240" t="s">
        <v>1132</v>
      </c>
      <c r="Q66" s="240" t="s">
        <v>1132</v>
      </c>
      <c r="R66" s="240" t="s">
        <v>1132</v>
      </c>
      <c r="S66" s="240" t="s">
        <v>1132</v>
      </c>
      <c r="T66" s="240" t="s">
        <v>1132</v>
      </c>
      <c r="U66" s="229" t="s">
        <v>1014</v>
      </c>
      <c r="V66" s="88"/>
      <c r="W66" s="228" t="s">
        <v>247</v>
      </c>
      <c r="X66" s="229" t="s">
        <v>1014</v>
      </c>
      <c r="Y66" s="464" t="s">
        <v>1186</v>
      </c>
      <c r="Z66" s="465"/>
      <c r="AG66" s="52"/>
      <c r="AH66" s="52"/>
      <c r="AI66" s="52"/>
      <c r="AJ66" s="53"/>
    </row>
    <row r="67" spans="6:36">
      <c r="F67" s="51"/>
      <c r="G67" s="52"/>
      <c r="H67" s="52"/>
      <c r="I67" s="52"/>
      <c r="J67" s="52"/>
      <c r="K67" s="52"/>
      <c r="L67" s="52"/>
      <c r="M67" s="52"/>
      <c r="N67" s="52"/>
      <c r="P67" s="240" t="s">
        <v>1133</v>
      </c>
      <c r="Q67" s="240" t="s">
        <v>1133</v>
      </c>
      <c r="R67" s="240" t="s">
        <v>1133</v>
      </c>
      <c r="S67" s="240" t="s">
        <v>1133</v>
      </c>
      <c r="T67" s="240" t="s">
        <v>1133</v>
      </c>
      <c r="U67" s="245" t="s">
        <v>1134</v>
      </c>
      <c r="V67" s="88"/>
      <c r="W67" s="228" t="s">
        <v>1007</v>
      </c>
      <c r="X67" s="245" t="s">
        <v>1134</v>
      </c>
      <c r="Y67" s="466" t="s">
        <v>1187</v>
      </c>
      <c r="Z67" s="467"/>
      <c r="AG67" s="52"/>
      <c r="AH67" s="52"/>
      <c r="AI67" s="52"/>
      <c r="AJ67" s="53"/>
    </row>
    <row r="68" spans="6:36">
      <c r="F68" s="51"/>
      <c r="G68" s="52"/>
      <c r="H68" s="52"/>
      <c r="I68" s="52"/>
      <c r="J68" s="52"/>
      <c r="K68" s="52"/>
      <c r="L68" s="52"/>
      <c r="M68" s="52"/>
      <c r="N68" s="52"/>
      <c r="O68" s="52"/>
      <c r="P68" s="450" t="s">
        <v>1197</v>
      </c>
      <c r="Q68" s="451"/>
      <c r="R68" s="451"/>
      <c r="S68" s="451"/>
      <c r="T68" s="451"/>
      <c r="U68" s="452"/>
      <c r="Z68" s="52"/>
      <c r="AA68" s="52"/>
      <c r="AB68" s="242" t="s">
        <v>1184</v>
      </c>
      <c r="AG68" s="52"/>
      <c r="AH68" s="52"/>
      <c r="AI68" s="52"/>
      <c r="AJ68" s="53"/>
    </row>
    <row r="69" spans="6:36">
      <c r="F69" s="51"/>
      <c r="G69" s="52"/>
      <c r="H69" s="52"/>
      <c r="I69" s="52"/>
      <c r="J69" s="52"/>
      <c r="K69" s="52"/>
      <c r="L69" s="52"/>
      <c r="M69" s="52"/>
      <c r="N69" s="52"/>
      <c r="O69" s="54"/>
      <c r="P69" s="453"/>
      <c r="Q69" s="454"/>
      <c r="R69" s="454"/>
      <c r="S69" s="454"/>
      <c r="T69" s="454"/>
      <c r="U69" s="455"/>
      <c r="Z69" s="52"/>
      <c r="AA69" s="52"/>
      <c r="AB69" s="257" t="s">
        <v>1183</v>
      </c>
      <c r="AG69" s="52"/>
      <c r="AH69" s="52"/>
      <c r="AI69" s="52"/>
      <c r="AJ69" s="53"/>
    </row>
    <row r="70" spans="6:36" ht="14.25" customHeight="1">
      <c r="F70" s="51"/>
      <c r="G70" s="52"/>
      <c r="H70" s="52"/>
      <c r="I70" s="52"/>
      <c r="J70" s="52"/>
      <c r="K70" s="52"/>
      <c r="L70" s="52"/>
      <c r="M70" s="52"/>
      <c r="N70" s="52"/>
      <c r="Y70" s="256"/>
      <c r="Z70" s="256"/>
      <c r="AA70" s="246"/>
      <c r="AB70" s="242" t="s">
        <v>1182</v>
      </c>
      <c r="AG70" s="52"/>
      <c r="AH70" s="52"/>
      <c r="AI70" s="52"/>
      <c r="AJ70" s="53"/>
    </row>
    <row r="71" spans="6:36">
      <c r="P71" s="198" t="s">
        <v>1129</v>
      </c>
      <c r="Y71" s="256"/>
      <c r="Z71" s="256"/>
      <c r="AA71" s="246"/>
      <c r="AB71" s="242"/>
    </row>
    <row r="72" spans="6:36">
      <c r="P72" s="226" t="s">
        <v>1148</v>
      </c>
      <c r="Y72" s="256"/>
      <c r="Z72" s="256"/>
      <c r="AA72" s="246"/>
      <c r="AB72" s="242">
        <v>2</v>
      </c>
    </row>
    <row r="73" spans="6:36" ht="14.25" customHeight="1">
      <c r="P73" s="227"/>
      <c r="Y73" s="256"/>
      <c r="Z73" s="256"/>
      <c r="AA73" s="246"/>
      <c r="AB73" s="240" t="s">
        <v>1185</v>
      </c>
    </row>
    <row r="74" spans="6:36">
      <c r="H74" s="180"/>
      <c r="I74" s="180"/>
      <c r="J74" s="180"/>
      <c r="K74" s="163"/>
      <c r="L74" s="196"/>
      <c r="M74" s="163"/>
      <c r="N74" s="163"/>
      <c r="P74" s="227"/>
      <c r="Y74" s="256"/>
      <c r="Z74" s="256"/>
      <c r="AA74" s="246"/>
      <c r="AB74" s="240" t="s">
        <v>1198</v>
      </c>
    </row>
    <row r="75" spans="6:36">
      <c r="H75" s="163"/>
      <c r="I75" s="163"/>
      <c r="J75" s="163"/>
      <c r="N75" s="163"/>
      <c r="P75" s="227">
        <v>6</v>
      </c>
      <c r="Y75" s="256"/>
      <c r="Z75" s="256"/>
      <c r="AA75" s="246"/>
    </row>
    <row r="76" spans="6:36">
      <c r="H76" s="163"/>
      <c r="I76" s="163"/>
      <c r="J76" s="163"/>
      <c r="N76" s="163"/>
      <c r="P76" s="198" t="s">
        <v>1132</v>
      </c>
      <c r="Y76" s="256"/>
      <c r="Z76" s="256"/>
      <c r="AA76" s="246"/>
    </row>
    <row r="77" spans="6:36" ht="14.25" customHeight="1">
      <c r="H77" s="163"/>
      <c r="I77" s="163"/>
      <c r="J77" s="163"/>
      <c r="N77" s="163"/>
      <c r="P77" s="198" t="s">
        <v>1133</v>
      </c>
      <c r="W77" s="244"/>
    </row>
    <row r="78" spans="6:36">
      <c r="H78" s="163"/>
      <c r="I78" s="163"/>
      <c r="J78" s="163"/>
      <c r="N78" s="163"/>
      <c r="O78" s="163"/>
      <c r="P78" s="163"/>
      <c r="W78" s="244"/>
    </row>
    <row r="79" spans="6:36">
      <c r="H79" s="163"/>
      <c r="I79" s="163"/>
      <c r="J79" s="163"/>
      <c r="K79" s="163"/>
      <c r="L79" s="163"/>
      <c r="M79" s="197"/>
      <c r="N79" s="163"/>
      <c r="O79" s="163"/>
      <c r="P79" s="163"/>
      <c r="W79" s="12"/>
    </row>
    <row r="80" spans="6:36">
      <c r="W80" s="244"/>
    </row>
    <row r="81" spans="23:23">
      <c r="W81" s="244"/>
    </row>
    <row r="108" ht="42.75" customHeight="1"/>
    <row r="112" ht="14.25" customHeight="1"/>
  </sheetData>
  <mergeCells count="80">
    <mergeCell ref="Q20:T20"/>
    <mergeCell ref="Q21:T21"/>
    <mergeCell ref="Q22:T22"/>
    <mergeCell ref="Q23:T23"/>
    <mergeCell ref="AI32:AI42"/>
    <mergeCell ref="AB32:AB42"/>
    <mergeCell ref="AC32:AC42"/>
    <mergeCell ref="AD32:AD42"/>
    <mergeCell ref="AE32:AE42"/>
    <mergeCell ref="AF32:AF42"/>
    <mergeCell ref="AH26:AH31"/>
    <mergeCell ref="AI26:AI31"/>
    <mergeCell ref="U23:Z23"/>
    <mergeCell ref="U24:Z24"/>
    <mergeCell ref="U20:Z20"/>
    <mergeCell ref="AB26:AB31"/>
    <mergeCell ref="AI55:AI59"/>
    <mergeCell ref="AB48:AB54"/>
    <mergeCell ref="AD48:AD54"/>
    <mergeCell ref="AE48:AE54"/>
    <mergeCell ref="AF48:AF54"/>
    <mergeCell ref="AG48:AG54"/>
    <mergeCell ref="AD55:AD59"/>
    <mergeCell ref="AE55:AE59"/>
    <mergeCell ref="AF55:AF59"/>
    <mergeCell ref="AG55:AG59"/>
    <mergeCell ref="AH55:AH59"/>
    <mergeCell ref="AH48:AH54"/>
    <mergeCell ref="AI48:AI54"/>
    <mergeCell ref="AC48:AC54"/>
    <mergeCell ref="O22:P22"/>
    <mergeCell ref="AG32:AG42"/>
    <mergeCell ref="AH32:AH42"/>
    <mergeCell ref="Q24:T24"/>
    <mergeCell ref="O19:P19"/>
    <mergeCell ref="O24:P24"/>
    <mergeCell ref="O23:P23"/>
    <mergeCell ref="O20:P20"/>
    <mergeCell ref="O21:P21"/>
    <mergeCell ref="O25:Z25"/>
    <mergeCell ref="AD26:AD31"/>
    <mergeCell ref="AE26:AE31"/>
    <mergeCell ref="AF26:AF31"/>
    <mergeCell ref="AG26:AG31"/>
    <mergeCell ref="U21:Z21"/>
    <mergeCell ref="U22:Z22"/>
    <mergeCell ref="O18:P18"/>
    <mergeCell ref="O17:P17"/>
    <mergeCell ref="U17:Z17"/>
    <mergeCell ref="U18:Z18"/>
    <mergeCell ref="U19:Z19"/>
    <mergeCell ref="Q17:T17"/>
    <mergeCell ref="Q18:T18"/>
    <mergeCell ref="Q19:T19"/>
    <mergeCell ref="AG43:AG47"/>
    <mergeCell ref="AH43:AH47"/>
    <mergeCell ref="AI43:AI47"/>
    <mergeCell ref="AB43:AB47"/>
    <mergeCell ref="AC43:AC47"/>
    <mergeCell ref="AD43:AD47"/>
    <mergeCell ref="AE43:AE47"/>
    <mergeCell ref="AF43:AF47"/>
    <mergeCell ref="AC26:AC31"/>
    <mergeCell ref="H26:H59"/>
    <mergeCell ref="I26:I59"/>
    <mergeCell ref="AB55:AB59"/>
    <mergeCell ref="AC55:AC59"/>
    <mergeCell ref="P68:U69"/>
    <mergeCell ref="G26:G59"/>
    <mergeCell ref="M26:M59"/>
    <mergeCell ref="N26:N49"/>
    <mergeCell ref="AA26:AA49"/>
    <mergeCell ref="O60:Z60"/>
    <mergeCell ref="Y66:Z66"/>
    <mergeCell ref="Y67:Z67"/>
    <mergeCell ref="Y61:Z61"/>
    <mergeCell ref="Y62:Z62"/>
    <mergeCell ref="Y63:Z63"/>
    <mergeCell ref="Y64:Z64"/>
    <mergeCell ref="Y65:Z65"/>
  </mergeCells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  <oleObjects>
    <oleObject progId="Visio.Drawing.11" shapeId="10241" r:id="rId4"/>
  </oleObjec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/>
  <dimension ref="A1:F21"/>
  <sheetViews>
    <sheetView workbookViewId="0">
      <selection activeCell="D38" sqref="D38"/>
    </sheetView>
  </sheetViews>
  <sheetFormatPr defaultRowHeight="14.25"/>
  <cols>
    <col min="1" max="1" width="11.625" bestFit="1" customWidth="1"/>
    <col min="2" max="2" width="32.75" bestFit="1" customWidth="1"/>
    <col min="3" max="3" width="9.625" bestFit="1" customWidth="1"/>
    <col min="4" max="4" width="19" customWidth="1"/>
    <col min="5" max="5" width="13.25" bestFit="1" customWidth="1"/>
  </cols>
  <sheetData>
    <row r="1" spans="1:6" ht="27" customHeight="1">
      <c r="A1" s="14" t="s">
        <v>14</v>
      </c>
      <c r="B1" s="14" t="s">
        <v>15</v>
      </c>
      <c r="C1" s="14" t="s">
        <v>18</v>
      </c>
      <c r="D1" s="14" t="s">
        <v>17</v>
      </c>
      <c r="E1" s="14" t="s">
        <v>16</v>
      </c>
      <c r="F1" s="14" t="s">
        <v>19</v>
      </c>
    </row>
    <row r="2" spans="1:6">
      <c r="A2" s="25"/>
      <c r="B2" s="25"/>
      <c r="C2" s="25"/>
      <c r="D2" s="25"/>
      <c r="E2" s="25"/>
      <c r="F2" s="25"/>
    </row>
    <row r="3" spans="1:6">
      <c r="A3" s="36"/>
      <c r="B3" s="36"/>
      <c r="C3" s="39"/>
      <c r="D3" s="36"/>
      <c r="E3" s="36"/>
      <c r="F3" s="33"/>
    </row>
    <row r="4" spans="1:6">
      <c r="A4" s="36"/>
      <c r="B4" s="36"/>
      <c r="C4" s="39"/>
      <c r="D4" s="36"/>
      <c r="E4" s="33"/>
      <c r="F4" s="33"/>
    </row>
    <row r="5" spans="1:6">
      <c r="A5" s="33"/>
      <c r="B5" s="33"/>
      <c r="C5" s="33"/>
      <c r="D5" s="33"/>
      <c r="E5" s="33"/>
      <c r="F5" s="33"/>
    </row>
    <row r="6" spans="1:6">
      <c r="A6" s="33"/>
      <c r="B6" s="33"/>
      <c r="C6" s="33"/>
      <c r="D6" s="33"/>
      <c r="E6" s="33"/>
      <c r="F6" s="33"/>
    </row>
    <row r="7" spans="1:6">
      <c r="A7" s="33"/>
      <c r="B7" s="33"/>
      <c r="C7" s="33"/>
      <c r="D7" s="33"/>
      <c r="E7" s="33"/>
      <c r="F7" s="33"/>
    </row>
    <row r="8" spans="1:6">
      <c r="A8" s="25"/>
      <c r="B8" s="25"/>
      <c r="C8" s="25"/>
      <c r="D8" s="25"/>
      <c r="E8" s="25"/>
      <c r="F8" s="25"/>
    </row>
    <row r="9" spans="1:6">
      <c r="A9" s="33"/>
      <c r="B9" s="33"/>
      <c r="C9" s="33"/>
      <c r="D9" s="33"/>
      <c r="E9" s="33"/>
      <c r="F9" s="15"/>
    </row>
    <row r="10" spans="1:6">
      <c r="A10" s="33"/>
      <c r="B10" s="33"/>
      <c r="C10" s="33"/>
      <c r="D10" s="33"/>
      <c r="E10" s="33"/>
      <c r="F10" s="15"/>
    </row>
    <row r="11" spans="1:6">
      <c r="A11" s="33"/>
      <c r="B11" s="33"/>
      <c r="C11" s="33"/>
      <c r="D11" s="33"/>
      <c r="E11" s="33"/>
      <c r="F11" s="15"/>
    </row>
    <row r="12" spans="1:6">
      <c r="A12" s="33"/>
      <c r="B12" s="33"/>
      <c r="C12" s="33"/>
      <c r="D12" s="33"/>
      <c r="E12" s="33"/>
      <c r="F12" s="15"/>
    </row>
    <row r="13" spans="1:6">
      <c r="A13" s="33"/>
      <c r="B13" s="33"/>
      <c r="C13" s="33"/>
      <c r="D13" s="33"/>
      <c r="E13" s="33"/>
      <c r="F13" s="15"/>
    </row>
    <row r="14" spans="1:6">
      <c r="A14" s="33"/>
      <c r="B14" s="33"/>
      <c r="C14" s="33"/>
      <c r="D14" s="33"/>
      <c r="E14" s="33"/>
      <c r="F14" s="15"/>
    </row>
    <row r="15" spans="1:6">
      <c r="A15" s="33"/>
      <c r="B15" s="33"/>
      <c r="C15" s="33"/>
      <c r="D15" s="33"/>
      <c r="E15" s="33"/>
      <c r="F15" s="15"/>
    </row>
    <row r="16" spans="1:6">
      <c r="A16" s="33"/>
      <c r="B16" s="33"/>
      <c r="C16" s="33"/>
      <c r="D16" s="33"/>
      <c r="E16" s="33"/>
      <c r="F16" s="15"/>
    </row>
    <row r="17" spans="1:6">
      <c r="A17" s="15"/>
      <c r="B17" s="15"/>
      <c r="C17" s="15"/>
      <c r="D17" s="15"/>
      <c r="E17" s="15"/>
      <c r="F17" s="15"/>
    </row>
    <row r="18" spans="1:6">
      <c r="A18" s="15"/>
      <c r="B18" s="15"/>
      <c r="C18" s="15"/>
      <c r="D18" s="15"/>
      <c r="E18" s="15"/>
      <c r="F18" s="15"/>
    </row>
    <row r="19" spans="1:6">
      <c r="A19" s="15"/>
      <c r="B19" s="15"/>
      <c r="C19" s="15"/>
      <c r="D19" s="15"/>
      <c r="E19" s="15"/>
      <c r="F19" s="15"/>
    </row>
    <row r="20" spans="1:6">
      <c r="A20" s="15"/>
      <c r="B20" s="15"/>
      <c r="C20" s="15"/>
      <c r="D20" s="15"/>
      <c r="E20" s="15"/>
      <c r="F20" s="15"/>
    </row>
    <row r="21" spans="1:6">
      <c r="A21" s="15"/>
      <c r="B21" s="15"/>
      <c r="C21" s="15"/>
      <c r="D21" s="15"/>
      <c r="E21" s="15"/>
      <c r="F21" s="15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&amp;L&amp;G&amp;C&amp;F&amp;R机密</oddHeader>
    <oddFooter>&amp;L&amp;D&amp;C华为机密，未经许可不得扩散&amp;R第&amp;P页，共&amp;N页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G16"/>
  <sheetViews>
    <sheetView zoomScaleNormal="100" workbookViewId="0">
      <selection activeCell="B15" sqref="B15"/>
    </sheetView>
  </sheetViews>
  <sheetFormatPr defaultRowHeight="14.25"/>
  <cols>
    <col min="1" max="1" width="19.875" style="71" customWidth="1"/>
    <col min="2" max="2" width="15" style="71" customWidth="1"/>
    <col min="3" max="3" width="14.25" style="71" customWidth="1"/>
    <col min="4" max="4" width="15.625" style="71" customWidth="1"/>
    <col min="5" max="5" width="14.25" style="71" customWidth="1"/>
    <col min="6" max="6" width="18.625" style="71" customWidth="1"/>
    <col min="7" max="7" width="14.5" style="71" customWidth="1"/>
    <col min="8" max="16384" width="9" style="71"/>
  </cols>
  <sheetData>
    <row r="1" spans="1:7" ht="31.5" customHeight="1">
      <c r="A1" s="72" t="s">
        <v>71</v>
      </c>
      <c r="B1" s="72" t="s">
        <v>70</v>
      </c>
      <c r="C1" s="74" t="s">
        <v>76</v>
      </c>
      <c r="D1" s="74" t="s">
        <v>77</v>
      </c>
      <c r="E1" s="74" t="s">
        <v>79</v>
      </c>
      <c r="F1" s="72" t="s">
        <v>72</v>
      </c>
    </row>
    <row r="2" spans="1:7" ht="42.75">
      <c r="A2" s="73"/>
      <c r="B2" s="75"/>
      <c r="C2" s="75"/>
      <c r="D2" s="75"/>
      <c r="E2" s="73"/>
      <c r="F2" s="77" t="s">
        <v>80</v>
      </c>
    </row>
    <row r="3" spans="1:7" ht="42.75">
      <c r="A3" s="73"/>
      <c r="B3" s="75"/>
      <c r="C3" s="75"/>
      <c r="D3" s="75"/>
      <c r="E3" s="73"/>
      <c r="F3" s="77" t="s">
        <v>80</v>
      </c>
    </row>
    <row r="4" spans="1:7" ht="42.75">
      <c r="A4" s="73"/>
      <c r="B4" s="75"/>
      <c r="C4" s="75"/>
      <c r="D4" s="75"/>
      <c r="E4" s="73"/>
      <c r="F4" s="77" t="s">
        <v>80</v>
      </c>
    </row>
    <row r="5" spans="1:7" ht="42.75">
      <c r="A5" s="73"/>
      <c r="B5" s="75"/>
      <c r="C5" s="75"/>
      <c r="D5" s="75"/>
      <c r="E5" s="73"/>
      <c r="F5" s="77" t="s">
        <v>80</v>
      </c>
    </row>
    <row r="6" spans="1:7" ht="19.5" customHeight="1"/>
    <row r="7" spans="1:7" ht="19.5" customHeight="1"/>
    <row r="12" spans="1:7" ht="15.75" customHeight="1"/>
    <row r="13" spans="1:7" ht="15" customHeight="1"/>
    <row r="14" spans="1:7">
      <c r="A14" s="74" t="s">
        <v>81</v>
      </c>
      <c r="B14" s="74" t="s">
        <v>82</v>
      </c>
      <c r="C14" s="74" t="s">
        <v>73</v>
      </c>
      <c r="D14" s="74" t="s">
        <v>244</v>
      </c>
      <c r="E14" s="74" t="s">
        <v>74</v>
      </c>
      <c r="F14" s="74" t="s">
        <v>75</v>
      </c>
      <c r="G14" s="72" t="s">
        <v>72</v>
      </c>
    </row>
    <row r="15" spans="1:7" ht="99.75">
      <c r="A15" s="75" t="s">
        <v>2000</v>
      </c>
      <c r="B15" s="73" t="s">
        <v>982</v>
      </c>
      <c r="C15" s="75" t="s">
        <v>983</v>
      </c>
      <c r="D15" s="75" t="s">
        <v>984</v>
      </c>
      <c r="E15" s="75"/>
      <c r="F15" s="73"/>
      <c r="G15" s="76" t="s">
        <v>985</v>
      </c>
    </row>
    <row r="16" spans="1:7">
      <c r="A16" s="75" t="s">
        <v>1980</v>
      </c>
      <c r="B16" s="75" t="s">
        <v>986</v>
      </c>
      <c r="C16" s="75" t="s">
        <v>987</v>
      </c>
      <c r="D16" s="75" t="s">
        <v>984</v>
      </c>
      <c r="E16" s="73"/>
      <c r="F16" s="73"/>
      <c r="G16" s="76"/>
    </row>
  </sheetData>
  <phoneticPr fontId="39" type="noConversion"/>
  <dataValidations count="1">
    <dataValidation type="list" allowBlank="1" showInputMessage="1" showErrorMessage="1" sqref="B15:B16">
      <formula1>"PD,PU,SUS,CTL,SL"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2:H39"/>
  <sheetViews>
    <sheetView zoomScaleNormal="100" workbookViewId="0">
      <selection activeCell="E14" sqref="E14"/>
    </sheetView>
  </sheetViews>
  <sheetFormatPr defaultRowHeight="14.25"/>
  <cols>
    <col min="1" max="1" width="14.125" style="69" customWidth="1"/>
    <col min="2" max="2" width="18.375" style="69" customWidth="1"/>
    <col min="3" max="3" width="19.875" style="69" customWidth="1"/>
    <col min="4" max="4" width="18.375" style="69" customWidth="1"/>
    <col min="5" max="5" width="10.375" style="69" customWidth="1"/>
    <col min="6" max="7" width="9" style="69"/>
    <col min="8" max="8" width="10.625" style="69" customWidth="1"/>
    <col min="9" max="9" width="11.25" style="69" customWidth="1"/>
    <col min="10" max="16384" width="9" style="69"/>
  </cols>
  <sheetData>
    <row r="2" spans="1:5">
      <c r="C2" s="70"/>
    </row>
    <row r="4" spans="1:5">
      <c r="A4" s="353"/>
      <c r="B4" s="353"/>
      <c r="C4" s="353"/>
      <c r="D4" s="353"/>
      <c r="E4" s="353"/>
    </row>
    <row r="5" spans="1:5">
      <c r="A5" s="354"/>
      <c r="B5" s="355"/>
      <c r="C5" s="355"/>
      <c r="D5" s="356"/>
      <c r="E5" s="353"/>
    </row>
    <row r="6" spans="1:5">
      <c r="A6" s="357" t="s">
        <v>3148</v>
      </c>
      <c r="B6" s="358" t="s">
        <v>3149</v>
      </c>
      <c r="C6" s="359"/>
      <c r="D6" s="360"/>
      <c r="E6" s="353"/>
    </row>
    <row r="7" spans="1:5">
      <c r="A7" s="357"/>
      <c r="B7" s="361"/>
      <c r="C7" s="362"/>
      <c r="D7" s="360"/>
      <c r="E7" s="353"/>
    </row>
    <row r="8" spans="1:5">
      <c r="A8" s="357" t="s">
        <v>3150</v>
      </c>
      <c r="B8" s="363" t="s">
        <v>3151</v>
      </c>
      <c r="C8" s="363"/>
      <c r="D8" s="360"/>
      <c r="E8" s="353"/>
    </row>
    <row r="9" spans="1:5">
      <c r="A9" s="364"/>
      <c r="B9" s="365"/>
      <c r="C9" s="365"/>
      <c r="D9" s="360"/>
      <c r="E9" s="353"/>
    </row>
    <row r="10" spans="1:5">
      <c r="A10" s="366"/>
      <c r="B10" s="367"/>
      <c r="C10" s="353"/>
      <c r="D10" s="360"/>
      <c r="E10" s="353"/>
    </row>
    <row r="11" spans="1:5">
      <c r="A11" s="366"/>
      <c r="B11" s="367"/>
      <c r="C11" s="367"/>
      <c r="D11" s="360"/>
      <c r="E11" s="353"/>
    </row>
    <row r="12" spans="1:5">
      <c r="A12" s="366"/>
      <c r="B12" s="367"/>
      <c r="C12" s="368"/>
      <c r="D12" s="360"/>
      <c r="E12" s="353"/>
    </row>
    <row r="13" spans="1:5">
      <c r="A13" s="369"/>
      <c r="B13" s="370"/>
      <c r="C13" s="370"/>
      <c r="D13" s="371"/>
      <c r="E13" s="353"/>
    </row>
    <row r="14" spans="1:5">
      <c r="A14" s="353"/>
      <c r="B14" s="353"/>
      <c r="C14" s="353"/>
      <c r="D14" s="353"/>
      <c r="E14" s="353"/>
    </row>
    <row r="16" spans="1:5">
      <c r="A16" s="70" t="s">
        <v>101</v>
      </c>
    </row>
    <row r="17" spans="1:8">
      <c r="A17" s="496" t="s">
        <v>91</v>
      </c>
      <c r="B17" s="83" t="s">
        <v>356</v>
      </c>
      <c r="C17" s="83" t="s">
        <v>104</v>
      </c>
      <c r="D17" s="83" t="s">
        <v>376</v>
      </c>
      <c r="E17" s="83" t="s">
        <v>1170</v>
      </c>
      <c r="F17" s="70"/>
      <c r="H17" s="70"/>
    </row>
    <row r="18" spans="1:8">
      <c r="A18" s="497"/>
      <c r="B18" s="83" t="s">
        <v>97</v>
      </c>
      <c r="C18" s="84">
        <v>12</v>
      </c>
      <c r="D18" s="83" t="s">
        <v>362</v>
      </c>
      <c r="E18" s="83" t="s">
        <v>1280</v>
      </c>
      <c r="H18" s="70"/>
    </row>
    <row r="19" spans="1:8">
      <c r="A19" s="497"/>
      <c r="B19" s="83" t="s">
        <v>98</v>
      </c>
      <c r="C19" s="84">
        <v>32</v>
      </c>
      <c r="D19" s="83" t="s">
        <v>373</v>
      </c>
      <c r="E19" s="83" t="s">
        <v>1281</v>
      </c>
      <c r="G19" s="70"/>
      <c r="H19" s="70"/>
    </row>
    <row r="20" spans="1:8">
      <c r="A20" s="127" t="s">
        <v>507</v>
      </c>
      <c r="B20" s="126" t="s">
        <v>506</v>
      </c>
      <c r="G20" s="70"/>
      <c r="H20" s="70"/>
    </row>
    <row r="21" spans="1:8">
      <c r="A21" s="85" t="s">
        <v>227</v>
      </c>
      <c r="B21" s="85" t="s">
        <v>105</v>
      </c>
      <c r="C21" s="85" t="s">
        <v>498</v>
      </c>
      <c r="D21" s="85" t="s">
        <v>485</v>
      </c>
      <c r="E21" s="86" t="s">
        <v>231</v>
      </c>
      <c r="F21" s="85" t="s">
        <v>230</v>
      </c>
      <c r="H21" s="70"/>
    </row>
    <row r="22" spans="1:8">
      <c r="A22" s="490" t="s">
        <v>2001</v>
      </c>
      <c r="B22" s="85" t="s">
        <v>2002</v>
      </c>
      <c r="C22" s="86">
        <v>4</v>
      </c>
      <c r="D22" s="86">
        <v>4</v>
      </c>
      <c r="E22" s="86" t="s">
        <v>2003</v>
      </c>
      <c r="F22" s="85" t="s">
        <v>2004</v>
      </c>
    </row>
    <row r="23" spans="1:8">
      <c r="A23" s="491"/>
      <c r="B23" s="85" t="s">
        <v>2003</v>
      </c>
      <c r="C23" s="86">
        <v>3</v>
      </c>
      <c r="D23" s="86">
        <v>3</v>
      </c>
      <c r="E23" s="86" t="s">
        <v>2005</v>
      </c>
      <c r="F23" s="85" t="s">
        <v>2006</v>
      </c>
    </row>
    <row r="24" spans="1:8">
      <c r="A24" s="492"/>
      <c r="B24" s="85" t="s">
        <v>2007</v>
      </c>
      <c r="C24" s="86">
        <v>2</v>
      </c>
      <c r="D24" s="86">
        <v>2</v>
      </c>
      <c r="E24" s="85" t="s">
        <v>2008</v>
      </c>
      <c r="F24" s="85" t="s">
        <v>2009</v>
      </c>
    </row>
    <row r="25" spans="1:8">
      <c r="A25" s="492"/>
      <c r="B25" s="85" t="s">
        <v>2010</v>
      </c>
      <c r="C25" s="86">
        <v>1</v>
      </c>
      <c r="D25" s="86">
        <v>0</v>
      </c>
      <c r="E25" s="85" t="s">
        <v>2011</v>
      </c>
      <c r="F25" s="85" t="s">
        <v>2009</v>
      </c>
    </row>
    <row r="26" spans="1:8">
      <c r="A26" s="492"/>
      <c r="B26" s="86"/>
      <c r="C26" s="86"/>
      <c r="D26" s="86"/>
      <c r="E26" s="85" t="s">
        <v>2012</v>
      </c>
      <c r="F26" s="86" t="s">
        <v>2013</v>
      </c>
    </row>
    <row r="27" spans="1:8">
      <c r="A27" s="492"/>
      <c r="B27" s="86"/>
      <c r="C27" s="86"/>
      <c r="D27" s="86"/>
      <c r="E27" s="85" t="s">
        <v>2014</v>
      </c>
      <c r="F27" s="86" t="s">
        <v>2013</v>
      </c>
    </row>
    <row r="28" spans="1:8">
      <c r="A28" s="493" t="s">
        <v>1178</v>
      </c>
      <c r="B28" s="85" t="s">
        <v>233</v>
      </c>
      <c r="C28" s="86">
        <v>7</v>
      </c>
      <c r="D28" s="86">
        <v>7</v>
      </c>
      <c r="E28" s="86" t="s">
        <v>102</v>
      </c>
      <c r="F28" s="85" t="s">
        <v>1174</v>
      </c>
    </row>
    <row r="29" spans="1:8">
      <c r="A29" s="494"/>
      <c r="B29" s="85" t="s">
        <v>235</v>
      </c>
      <c r="C29" s="86">
        <v>6</v>
      </c>
      <c r="D29" s="86">
        <v>6</v>
      </c>
      <c r="E29" s="86" t="s">
        <v>103</v>
      </c>
      <c r="F29" s="85" t="s">
        <v>1175</v>
      </c>
    </row>
    <row r="30" spans="1:8">
      <c r="A30" s="494"/>
      <c r="B30" s="85" t="s">
        <v>93</v>
      </c>
      <c r="C30" s="85">
        <v>5</v>
      </c>
      <c r="D30" s="85">
        <v>5</v>
      </c>
      <c r="E30" s="85" t="s">
        <v>268</v>
      </c>
      <c r="F30" s="85" t="s">
        <v>1173</v>
      </c>
    </row>
    <row r="31" spans="1:8">
      <c r="A31" s="494"/>
      <c r="B31" s="85" t="s">
        <v>236</v>
      </c>
      <c r="C31" s="85">
        <v>4</v>
      </c>
      <c r="D31" s="85">
        <v>2</v>
      </c>
      <c r="E31" s="85" t="s">
        <v>269</v>
      </c>
      <c r="F31" s="85" t="s">
        <v>1173</v>
      </c>
    </row>
    <row r="32" spans="1:8">
      <c r="A32" s="494"/>
      <c r="B32" s="86" t="s">
        <v>1120</v>
      </c>
      <c r="C32" s="85">
        <v>1</v>
      </c>
      <c r="D32" s="85">
        <v>1</v>
      </c>
      <c r="E32" s="85" t="s">
        <v>271</v>
      </c>
      <c r="F32" s="85" t="s">
        <v>1172</v>
      </c>
    </row>
    <row r="33" spans="1:6">
      <c r="A33" s="495"/>
      <c r="B33" s="85" t="s">
        <v>1121</v>
      </c>
      <c r="C33" s="85">
        <v>0</v>
      </c>
      <c r="D33" s="86">
        <v>0</v>
      </c>
      <c r="E33" s="85" t="s">
        <v>273</v>
      </c>
      <c r="F33" s="85" t="s">
        <v>1172</v>
      </c>
    </row>
    <row r="34" spans="1:6">
      <c r="A34" s="490" t="s">
        <v>2081</v>
      </c>
      <c r="B34" s="85" t="s">
        <v>233</v>
      </c>
      <c r="C34" s="86">
        <v>5</v>
      </c>
      <c r="D34" s="86">
        <v>5</v>
      </c>
      <c r="E34" s="86" t="s">
        <v>102</v>
      </c>
      <c r="F34" s="85" t="s">
        <v>1117</v>
      </c>
    </row>
    <row r="35" spans="1:6">
      <c r="A35" s="491"/>
      <c r="B35" s="85" t="s">
        <v>235</v>
      </c>
      <c r="C35" s="86">
        <v>4</v>
      </c>
      <c r="D35" s="86">
        <v>4</v>
      </c>
      <c r="E35" s="86" t="s">
        <v>103</v>
      </c>
      <c r="F35" s="85" t="s">
        <v>1118</v>
      </c>
    </row>
    <row r="36" spans="1:6">
      <c r="A36" s="492"/>
      <c r="B36" s="85" t="s">
        <v>93</v>
      </c>
      <c r="C36" s="86">
        <v>3</v>
      </c>
      <c r="D36" s="86">
        <v>3</v>
      </c>
      <c r="E36" s="85" t="s">
        <v>268</v>
      </c>
      <c r="F36" s="85" t="s">
        <v>1116</v>
      </c>
    </row>
    <row r="37" spans="1:6">
      <c r="A37" s="492"/>
      <c r="B37" s="85" t="s">
        <v>236</v>
      </c>
      <c r="C37" s="86">
        <v>2</v>
      </c>
      <c r="D37" s="86">
        <v>1</v>
      </c>
      <c r="E37" s="85" t="s">
        <v>269</v>
      </c>
      <c r="F37" s="85" t="s">
        <v>1116</v>
      </c>
    </row>
    <row r="38" spans="1:6">
      <c r="A38" s="492"/>
      <c r="B38" s="86" t="s">
        <v>1115</v>
      </c>
      <c r="C38" s="86">
        <v>0</v>
      </c>
      <c r="D38" s="86">
        <v>0</v>
      </c>
      <c r="E38" s="85" t="s">
        <v>271</v>
      </c>
      <c r="F38" s="86" t="s">
        <v>1119</v>
      </c>
    </row>
    <row r="39" spans="1:6">
      <c r="A39" s="492"/>
      <c r="B39" s="86"/>
      <c r="C39" s="86"/>
      <c r="D39" s="86"/>
      <c r="E39" s="85" t="s">
        <v>273</v>
      </c>
      <c r="F39" s="86" t="s">
        <v>1119</v>
      </c>
    </row>
  </sheetData>
  <mergeCells count="4">
    <mergeCell ref="A34:A39"/>
    <mergeCell ref="A28:A33"/>
    <mergeCell ref="A17:A19"/>
    <mergeCell ref="A22:A27"/>
  </mergeCells>
  <phoneticPr fontId="3" type="noConversion"/>
  <dataValidations disablePrompts="1" count="2">
    <dataValidation type="list" allowBlank="1" showInputMessage="1" showErrorMessage="1" sqref="C17">
      <formula1>"SV interface,Verilog"</formula1>
    </dataValidation>
    <dataValidation type="list" allowBlank="1" showInputMessage="1" showErrorMessage="1" sqref="B20">
      <formula1>"是,否"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9"/>
  <dimension ref="A2:M245"/>
  <sheetViews>
    <sheetView topLeftCell="A132" zoomScaleNormal="100" workbookViewId="0">
      <selection activeCell="C138" sqref="C138"/>
    </sheetView>
  </sheetViews>
  <sheetFormatPr defaultRowHeight="14.25"/>
  <cols>
    <col min="1" max="1" width="15.375" customWidth="1"/>
    <col min="2" max="2" width="19" customWidth="1"/>
    <col min="3" max="3" width="27.75" customWidth="1"/>
    <col min="4" max="4" width="20" customWidth="1"/>
    <col min="5" max="5" width="20.375" customWidth="1"/>
    <col min="6" max="6" width="16.125" customWidth="1"/>
    <col min="7" max="7" width="18.125" customWidth="1"/>
    <col min="8" max="8" width="13.625" customWidth="1"/>
    <col min="9" max="9" width="18.75" customWidth="1"/>
    <col min="10" max="10" width="24.125" customWidth="1"/>
  </cols>
  <sheetData>
    <row r="2" spans="1:13">
      <c r="A2" s="81" t="s">
        <v>310</v>
      </c>
    </row>
    <row r="3" spans="1:13" ht="78" customHeight="1">
      <c r="B3" s="511" t="s">
        <v>302</v>
      </c>
      <c r="C3" s="499"/>
      <c r="D3" s="499"/>
      <c r="E3" s="499"/>
      <c r="F3" s="499"/>
      <c r="G3" s="499"/>
      <c r="H3" s="93"/>
      <c r="I3" s="93"/>
      <c r="J3" s="93"/>
      <c r="K3" s="93"/>
      <c r="L3" s="93"/>
      <c r="M3" s="93"/>
    </row>
    <row r="6" spans="1:13">
      <c r="B6" s="81"/>
    </row>
    <row r="7" spans="1:13">
      <c r="A7" s="81" t="s">
        <v>311</v>
      </c>
    </row>
    <row r="8" spans="1:13">
      <c r="B8" s="144" t="s">
        <v>288</v>
      </c>
      <c r="C8" s="144" t="s">
        <v>289</v>
      </c>
      <c r="D8" s="144" t="s">
        <v>504</v>
      </c>
      <c r="E8" s="144" t="s">
        <v>295</v>
      </c>
      <c r="F8" s="144" t="s">
        <v>296</v>
      </c>
      <c r="G8" s="144" t="s">
        <v>298</v>
      </c>
      <c r="H8" s="144" t="s">
        <v>297</v>
      </c>
    </row>
    <row r="9" spans="1:13">
      <c r="B9" s="141" t="s">
        <v>285</v>
      </c>
      <c r="C9" s="142" t="s">
        <v>294</v>
      </c>
      <c r="D9" s="143" t="s">
        <v>565</v>
      </c>
      <c r="E9" s="143" t="s">
        <v>565</v>
      </c>
      <c r="F9" s="143" t="s">
        <v>565</v>
      </c>
      <c r="G9" s="143" t="s">
        <v>565</v>
      </c>
      <c r="H9" s="142" t="s">
        <v>300</v>
      </c>
    </row>
    <row r="10" spans="1:13">
      <c r="B10" s="141" t="s">
        <v>558</v>
      </c>
      <c r="C10" s="142" t="s">
        <v>559</v>
      </c>
      <c r="D10" s="142" t="s">
        <v>566</v>
      </c>
      <c r="E10" s="143" t="s">
        <v>565</v>
      </c>
      <c r="F10" s="142" t="s">
        <v>566</v>
      </c>
      <c r="G10" s="142" t="s">
        <v>566</v>
      </c>
      <c r="H10" s="142" t="s">
        <v>560</v>
      </c>
    </row>
    <row r="11" spans="1:13">
      <c r="B11" s="141" t="s">
        <v>561</v>
      </c>
      <c r="C11" s="142" t="s">
        <v>562</v>
      </c>
      <c r="D11" s="142" t="s">
        <v>566</v>
      </c>
      <c r="E11" s="143" t="s">
        <v>565</v>
      </c>
      <c r="F11" s="142" t="s">
        <v>566</v>
      </c>
      <c r="G11" s="142" t="s">
        <v>566</v>
      </c>
      <c r="H11" s="142" t="s">
        <v>560</v>
      </c>
    </row>
    <row r="12" spans="1:13">
      <c r="B12" s="141" t="s">
        <v>563</v>
      </c>
      <c r="C12" s="142" t="s">
        <v>564</v>
      </c>
      <c r="D12" s="142" t="s">
        <v>566</v>
      </c>
      <c r="E12" s="143" t="s">
        <v>565</v>
      </c>
      <c r="F12" s="142" t="s">
        <v>566</v>
      </c>
      <c r="G12" s="142" t="s">
        <v>566</v>
      </c>
      <c r="H12" s="142" t="s">
        <v>560</v>
      </c>
    </row>
    <row r="13" spans="1:13" ht="28.5">
      <c r="B13" s="141" t="s">
        <v>286</v>
      </c>
      <c r="C13" s="142" t="s">
        <v>304</v>
      </c>
      <c r="D13" s="143" t="s">
        <v>565</v>
      </c>
      <c r="E13" s="143" t="s">
        <v>565</v>
      </c>
      <c r="F13" s="143" t="s">
        <v>565</v>
      </c>
      <c r="G13" s="143" t="s">
        <v>565</v>
      </c>
      <c r="H13" s="142" t="s">
        <v>300</v>
      </c>
    </row>
    <row r="14" spans="1:13" ht="42.75" customHeight="1">
      <c r="B14" s="141" t="s">
        <v>287</v>
      </c>
      <c r="C14" s="142" t="s">
        <v>306</v>
      </c>
      <c r="D14" s="143" t="s">
        <v>565</v>
      </c>
      <c r="E14" s="142" t="s">
        <v>566</v>
      </c>
      <c r="F14" s="142" t="s">
        <v>566</v>
      </c>
      <c r="G14" s="143" t="s">
        <v>565</v>
      </c>
      <c r="H14" s="142" t="s">
        <v>567</v>
      </c>
    </row>
    <row r="15" spans="1:13">
      <c r="B15" s="141" t="s">
        <v>290</v>
      </c>
      <c r="C15" s="142" t="s">
        <v>303</v>
      </c>
      <c r="D15" s="143" t="s">
        <v>565</v>
      </c>
      <c r="E15" s="143" t="s">
        <v>565</v>
      </c>
      <c r="F15" s="142" t="s">
        <v>566</v>
      </c>
      <c r="G15" s="143" t="s">
        <v>565</v>
      </c>
      <c r="H15" s="142" t="s">
        <v>300</v>
      </c>
    </row>
    <row r="16" spans="1:13">
      <c r="B16" s="141" t="s">
        <v>299</v>
      </c>
      <c r="C16" s="142" t="s">
        <v>305</v>
      </c>
      <c r="D16" s="142" t="s">
        <v>566</v>
      </c>
      <c r="E16" s="143" t="s">
        <v>565</v>
      </c>
      <c r="F16" s="142" t="s">
        <v>566</v>
      </c>
      <c r="G16" s="142" t="s">
        <v>566</v>
      </c>
      <c r="H16" s="142" t="s">
        <v>301</v>
      </c>
    </row>
    <row r="17" spans="1:10" ht="28.5">
      <c r="B17" s="141" t="s">
        <v>291</v>
      </c>
      <c r="C17" s="142" t="s">
        <v>307</v>
      </c>
      <c r="D17" s="143" t="s">
        <v>565</v>
      </c>
      <c r="E17" s="142" t="s">
        <v>566</v>
      </c>
      <c r="F17" s="142" t="s">
        <v>566</v>
      </c>
      <c r="G17" s="142" t="s">
        <v>566</v>
      </c>
      <c r="H17" s="142" t="s">
        <v>300</v>
      </c>
    </row>
    <row r="18" spans="1:10" ht="42.75">
      <c r="B18" s="141" t="s">
        <v>292</v>
      </c>
      <c r="C18" s="142" t="s">
        <v>308</v>
      </c>
      <c r="D18" s="143" t="s">
        <v>565</v>
      </c>
      <c r="E18" s="142" t="s">
        <v>566</v>
      </c>
      <c r="F18" s="142" t="s">
        <v>566</v>
      </c>
      <c r="G18" s="142" t="s">
        <v>566</v>
      </c>
      <c r="H18" s="142" t="s">
        <v>300</v>
      </c>
    </row>
    <row r="19" spans="1:10" ht="44.25" customHeight="1">
      <c r="B19" s="141" t="s">
        <v>293</v>
      </c>
      <c r="C19" s="142" t="s">
        <v>510</v>
      </c>
      <c r="D19" s="143" t="s">
        <v>565</v>
      </c>
      <c r="E19" s="143" t="s">
        <v>565</v>
      </c>
      <c r="F19" s="143" t="s">
        <v>565</v>
      </c>
      <c r="G19" s="143" t="s">
        <v>565</v>
      </c>
      <c r="H19" s="142" t="s">
        <v>300</v>
      </c>
    </row>
    <row r="21" spans="1:10">
      <c r="B21" s="509" t="s">
        <v>309</v>
      </c>
      <c r="C21" s="510"/>
      <c r="D21" s="510"/>
      <c r="E21" s="510"/>
    </row>
    <row r="24" spans="1:10">
      <c r="B24" s="81"/>
    </row>
    <row r="25" spans="1:10">
      <c r="A25" s="81" t="s">
        <v>312</v>
      </c>
      <c r="B25" s="81"/>
    </row>
    <row r="26" spans="1:10">
      <c r="A26" s="81"/>
      <c r="B26" s="498" t="s">
        <v>514</v>
      </c>
      <c r="C26" s="499"/>
      <c r="D26" s="499"/>
      <c r="E26" s="499"/>
      <c r="F26" s="499"/>
      <c r="G26" s="499"/>
    </row>
    <row r="27" spans="1:10" ht="14.25" customHeight="1">
      <c r="B27" s="498" t="s">
        <v>363</v>
      </c>
      <c r="C27" s="499"/>
      <c r="D27" s="499"/>
      <c r="E27" s="499"/>
      <c r="F27" s="499"/>
      <c r="G27" s="499"/>
    </row>
    <row r="28" spans="1:10" ht="75" customHeight="1">
      <c r="B28" s="498" t="s">
        <v>449</v>
      </c>
      <c r="C28" s="499"/>
      <c r="D28" s="499"/>
      <c r="E28" s="499"/>
      <c r="F28" s="499"/>
      <c r="G28" s="499"/>
    </row>
    <row r="29" spans="1:10" ht="14.25" customHeight="1">
      <c r="B29" s="498" t="s">
        <v>505</v>
      </c>
      <c r="C29" s="499"/>
      <c r="D29" s="499"/>
      <c r="E29" s="499"/>
      <c r="F29" s="499"/>
      <c r="G29" s="499"/>
    </row>
    <row r="30" spans="1:10" ht="19.5" customHeight="1">
      <c r="B30" s="498" t="s">
        <v>314</v>
      </c>
      <c r="C30" s="499"/>
      <c r="D30" s="499"/>
      <c r="E30" s="499"/>
      <c r="F30" s="499"/>
      <c r="G30" s="499"/>
      <c r="J30">
        <v>4</v>
      </c>
    </row>
    <row r="31" spans="1:10">
      <c r="A31" s="81"/>
      <c r="B31" s="498"/>
      <c r="C31" s="499"/>
      <c r="D31" s="499"/>
      <c r="E31" s="499"/>
    </row>
    <row r="32" spans="1:10">
      <c r="B32" s="498"/>
      <c r="C32" s="499"/>
      <c r="D32" s="499"/>
      <c r="E32" s="499"/>
    </row>
    <row r="33" spans="1:7">
      <c r="B33" s="498"/>
      <c r="C33" s="499"/>
      <c r="D33" s="499"/>
      <c r="E33" s="499"/>
    </row>
    <row r="34" spans="1:7">
      <c r="A34" s="81" t="s">
        <v>313</v>
      </c>
      <c r="B34" s="498"/>
      <c r="C34" s="499"/>
      <c r="D34" s="499"/>
      <c r="E34" s="499"/>
    </row>
    <row r="35" spans="1:7">
      <c r="B35" s="498" t="s">
        <v>357</v>
      </c>
      <c r="C35" s="499"/>
      <c r="D35" s="499"/>
      <c r="E35" s="499"/>
      <c r="F35" s="499"/>
      <c r="G35" s="499"/>
    </row>
    <row r="36" spans="1:7">
      <c r="B36" s="499"/>
      <c r="C36" s="499"/>
      <c r="D36" s="499"/>
      <c r="E36" s="499"/>
      <c r="F36" s="499"/>
      <c r="G36" s="499"/>
    </row>
    <row r="37" spans="1:7" ht="63.75" customHeight="1">
      <c r="B37" s="499"/>
      <c r="C37" s="499"/>
      <c r="D37" s="499"/>
      <c r="E37" s="499"/>
      <c r="F37" s="499"/>
      <c r="G37" s="499"/>
    </row>
    <row r="41" spans="1:7" ht="15" thickBot="1">
      <c r="A41" s="81" t="s">
        <v>315</v>
      </c>
    </row>
    <row r="42" spans="1:7" ht="15" thickBot="1">
      <c r="B42" s="94" t="s">
        <v>316</v>
      </c>
      <c r="C42" s="95" t="s">
        <v>317</v>
      </c>
      <c r="D42" s="95" t="s">
        <v>318</v>
      </c>
      <c r="E42" s="95" t="s">
        <v>319</v>
      </c>
    </row>
    <row r="43" spans="1:7" ht="15" thickBot="1">
      <c r="B43" s="506" t="s">
        <v>320</v>
      </c>
      <c r="C43" s="507"/>
      <c r="D43" s="507"/>
      <c r="E43" s="508"/>
    </row>
    <row r="44" spans="1:7" ht="15" thickBot="1">
      <c r="B44" s="96" t="s">
        <v>321</v>
      </c>
      <c r="C44" s="97">
        <v>1</v>
      </c>
      <c r="D44" s="97" t="s">
        <v>322</v>
      </c>
      <c r="E44" s="97" t="s">
        <v>361</v>
      </c>
    </row>
    <row r="45" spans="1:7" ht="15" thickBot="1">
      <c r="B45" s="96" t="s">
        <v>323</v>
      </c>
      <c r="C45" s="97">
        <v>1</v>
      </c>
      <c r="D45" s="97" t="s">
        <v>322</v>
      </c>
      <c r="E45" s="97" t="s">
        <v>324</v>
      </c>
    </row>
    <row r="46" spans="1:7" ht="15" thickBot="1">
      <c r="B46" s="96" t="s">
        <v>325</v>
      </c>
      <c r="C46" s="97">
        <v>1</v>
      </c>
      <c r="D46" s="97" t="s">
        <v>322</v>
      </c>
      <c r="E46" s="97" t="s">
        <v>326</v>
      </c>
    </row>
    <row r="47" spans="1:7" ht="15" thickBot="1">
      <c r="B47" s="96" t="s">
        <v>327</v>
      </c>
      <c r="C47" s="97">
        <v>1</v>
      </c>
      <c r="D47" s="97" t="s">
        <v>322</v>
      </c>
      <c r="E47" s="97" t="s">
        <v>328</v>
      </c>
    </row>
    <row r="48" spans="1:7" ht="15" thickBot="1">
      <c r="B48" s="96" t="s">
        <v>329</v>
      </c>
      <c r="C48" s="97" t="s">
        <v>372</v>
      </c>
      <c r="D48" s="97" t="s">
        <v>322</v>
      </c>
      <c r="E48" s="97" t="s">
        <v>330</v>
      </c>
    </row>
    <row r="49" spans="2:5" ht="15" thickBot="1">
      <c r="B49" s="96" t="s">
        <v>331</v>
      </c>
      <c r="C49" s="97" t="s">
        <v>332</v>
      </c>
      <c r="D49" s="97" t="s">
        <v>322</v>
      </c>
      <c r="E49" s="97" t="s">
        <v>333</v>
      </c>
    </row>
    <row r="50" spans="2:5" ht="15" thickBot="1">
      <c r="B50" s="96" t="s">
        <v>334</v>
      </c>
      <c r="C50" s="97" t="s">
        <v>332</v>
      </c>
      <c r="D50" s="97" t="s">
        <v>335</v>
      </c>
      <c r="E50" s="97" t="s">
        <v>336</v>
      </c>
    </row>
    <row r="51" spans="2:5" ht="67.5" thickBot="1">
      <c r="B51" s="101" t="s">
        <v>358</v>
      </c>
      <c r="C51" s="100"/>
      <c r="D51" s="100" t="s">
        <v>355</v>
      </c>
      <c r="E51" s="100" t="s">
        <v>359</v>
      </c>
    </row>
    <row r="52" spans="2:5" ht="15" thickBot="1">
      <c r="B52" s="96" t="s">
        <v>337</v>
      </c>
      <c r="C52" s="97">
        <v>1</v>
      </c>
      <c r="D52" s="97" t="s">
        <v>322</v>
      </c>
      <c r="E52" s="98" t="s">
        <v>338</v>
      </c>
    </row>
    <row r="53" spans="2:5" ht="15" thickBot="1">
      <c r="B53" s="96" t="s">
        <v>339</v>
      </c>
      <c r="C53" s="97">
        <v>1</v>
      </c>
      <c r="D53" s="97" t="s">
        <v>322</v>
      </c>
      <c r="E53" s="98" t="s">
        <v>740</v>
      </c>
    </row>
    <row r="54" spans="2:5" ht="15" thickBot="1">
      <c r="B54" s="96" t="s">
        <v>340</v>
      </c>
      <c r="C54" s="97">
        <v>1</v>
      </c>
      <c r="D54" s="97" t="s">
        <v>322</v>
      </c>
      <c r="E54" s="97" t="s">
        <v>341</v>
      </c>
    </row>
    <row r="55" spans="2:5" ht="15" thickBot="1">
      <c r="B55" s="506" t="s">
        <v>342</v>
      </c>
      <c r="C55" s="507"/>
      <c r="D55" s="507"/>
      <c r="E55" s="508"/>
    </row>
    <row r="56" spans="2:5" ht="27.75" thickBot="1">
      <c r="B56" s="96" t="s">
        <v>502</v>
      </c>
      <c r="C56" s="97">
        <v>1</v>
      </c>
      <c r="D56" s="97" t="s">
        <v>322</v>
      </c>
      <c r="E56" s="97" t="s">
        <v>343</v>
      </c>
    </row>
    <row r="57" spans="2:5" ht="15" thickBot="1">
      <c r="B57" s="96" t="s">
        <v>344</v>
      </c>
      <c r="C57" s="97">
        <v>1</v>
      </c>
      <c r="D57" s="97" t="s">
        <v>335</v>
      </c>
      <c r="E57" s="97" t="s">
        <v>345</v>
      </c>
    </row>
    <row r="58" spans="2:5" ht="15" thickBot="1">
      <c r="B58" s="96" t="s">
        <v>346</v>
      </c>
      <c r="C58" s="97">
        <v>1</v>
      </c>
      <c r="D58" s="97" t="s">
        <v>335</v>
      </c>
      <c r="E58" s="97" t="s">
        <v>347</v>
      </c>
    </row>
    <row r="59" spans="2:5" ht="15" thickBot="1">
      <c r="B59" s="96" t="s">
        <v>348</v>
      </c>
      <c r="C59" s="97" t="s">
        <v>349</v>
      </c>
      <c r="D59" s="97" t="s">
        <v>335</v>
      </c>
      <c r="E59" s="97" t="s">
        <v>350</v>
      </c>
    </row>
    <row r="60" spans="2:5" ht="15" thickBot="1">
      <c r="B60" s="506" t="s">
        <v>351</v>
      </c>
      <c r="C60" s="507"/>
      <c r="D60" s="507"/>
      <c r="E60" s="508"/>
    </row>
    <row r="61" spans="2:5" ht="27" thickBot="1">
      <c r="B61" s="96" t="s">
        <v>352</v>
      </c>
      <c r="C61" s="97">
        <v>1</v>
      </c>
      <c r="D61" s="97" t="s">
        <v>322</v>
      </c>
      <c r="E61" s="97" t="s">
        <v>531</v>
      </c>
    </row>
    <row r="62" spans="2:5" ht="27" thickBot="1">
      <c r="B62" s="96" t="s">
        <v>353</v>
      </c>
      <c r="C62" s="97">
        <v>1</v>
      </c>
      <c r="D62" s="97" t="s">
        <v>322</v>
      </c>
      <c r="E62" s="97" t="s">
        <v>530</v>
      </c>
    </row>
    <row r="63" spans="2:5" ht="27" thickBot="1">
      <c r="B63" s="96" t="s">
        <v>354</v>
      </c>
      <c r="C63" s="97">
        <v>1</v>
      </c>
      <c r="D63" s="97" t="s">
        <v>335</v>
      </c>
      <c r="E63" s="97" t="s">
        <v>532</v>
      </c>
    </row>
    <row r="64" spans="2:5">
      <c r="B64" s="99"/>
    </row>
    <row r="65" spans="1:7">
      <c r="B65" s="134" t="s">
        <v>537</v>
      </c>
      <c r="D65" s="136" t="s">
        <v>538</v>
      </c>
      <c r="E65" s="136" t="s">
        <v>539</v>
      </c>
      <c r="F65" s="137" t="s">
        <v>545</v>
      </c>
      <c r="G65" s="136" t="s">
        <v>540</v>
      </c>
    </row>
    <row r="66" spans="1:7" s="134" customFormat="1">
      <c r="D66" s="135">
        <v>0</v>
      </c>
      <c r="E66" s="135">
        <v>0</v>
      </c>
      <c r="F66" s="138" t="s">
        <v>546</v>
      </c>
      <c r="G66" s="135" t="s">
        <v>541</v>
      </c>
    </row>
    <row r="67" spans="1:7" s="134" customFormat="1">
      <c r="D67" s="135">
        <v>1</v>
      </c>
      <c r="E67" s="135">
        <v>0</v>
      </c>
      <c r="F67" s="138" t="s">
        <v>546</v>
      </c>
      <c r="G67" s="135" t="s">
        <v>541</v>
      </c>
    </row>
    <row r="68" spans="1:7" s="134" customFormat="1">
      <c r="D68" s="135">
        <v>0</v>
      </c>
      <c r="E68" s="135">
        <v>1</v>
      </c>
      <c r="F68" s="138" t="s">
        <v>547</v>
      </c>
      <c r="G68" s="135">
        <v>0</v>
      </c>
    </row>
    <row r="69" spans="1:7" s="134" customFormat="1">
      <c r="D69" s="135">
        <v>1</v>
      </c>
      <c r="E69" s="135">
        <v>1</v>
      </c>
      <c r="F69" s="138" t="s">
        <v>542</v>
      </c>
      <c r="G69" s="135">
        <v>1</v>
      </c>
    </row>
    <row r="70" spans="1:7" s="134" customFormat="1">
      <c r="D70" s="135" t="s">
        <v>543</v>
      </c>
      <c r="E70" s="135">
        <v>0</v>
      </c>
      <c r="F70" s="138" t="s">
        <v>548</v>
      </c>
      <c r="G70" s="135">
        <v>0</v>
      </c>
    </row>
    <row r="71" spans="1:7" s="134" customFormat="1">
      <c r="D71" s="135" t="s">
        <v>543</v>
      </c>
      <c r="E71" s="135">
        <v>0</v>
      </c>
      <c r="F71" s="138" t="s">
        <v>549</v>
      </c>
      <c r="G71" s="135">
        <v>1</v>
      </c>
    </row>
    <row r="72" spans="1:7" s="134" customFormat="1">
      <c r="D72" s="134" t="s">
        <v>544</v>
      </c>
    </row>
    <row r="73" spans="1:7" s="134" customFormat="1"/>
    <row r="75" spans="1:7">
      <c r="A75" s="81" t="s">
        <v>360</v>
      </c>
    </row>
    <row r="76" spans="1:7" ht="14.25" customHeight="1">
      <c r="B76" s="501" t="s">
        <v>364</v>
      </c>
      <c r="C76" s="501"/>
      <c r="D76" s="501"/>
      <c r="E76" s="501"/>
      <c r="F76" s="501"/>
      <c r="G76" s="501"/>
    </row>
    <row r="77" spans="1:7">
      <c r="B77" s="102" t="s">
        <v>371</v>
      </c>
      <c r="C77" s="102" t="s">
        <v>528</v>
      </c>
      <c r="D77" s="512" t="s">
        <v>365</v>
      </c>
    </row>
    <row r="78" spans="1:7">
      <c r="B78" s="118"/>
      <c r="C78" s="104"/>
      <c r="D78" s="513"/>
    </row>
    <row r="79" spans="1:7" ht="14.25" customHeight="1">
      <c r="B79" s="103" t="s">
        <v>370</v>
      </c>
      <c r="C79" s="103" t="s">
        <v>369</v>
      </c>
      <c r="D79" s="513"/>
    </row>
    <row r="80" spans="1:7">
      <c r="B80" s="102" t="s">
        <v>371</v>
      </c>
      <c r="C80" s="102" t="s">
        <v>368</v>
      </c>
      <c r="D80" s="512" t="s">
        <v>366</v>
      </c>
    </row>
    <row r="81" spans="1:8">
      <c r="B81" s="104"/>
      <c r="C81" s="104"/>
      <c r="D81" s="513"/>
    </row>
    <row r="82" spans="1:8">
      <c r="B82" s="103" t="s">
        <v>370</v>
      </c>
      <c r="C82" s="103" t="s">
        <v>409</v>
      </c>
      <c r="D82" s="513"/>
    </row>
    <row r="83" spans="1:8">
      <c r="B83" s="102" t="s">
        <v>371</v>
      </c>
      <c r="C83" s="102" t="s">
        <v>410</v>
      </c>
      <c r="D83" s="512" t="s">
        <v>374</v>
      </c>
    </row>
    <row r="84" spans="1:8">
      <c r="B84" s="104"/>
      <c r="C84" s="104"/>
      <c r="D84" s="513"/>
    </row>
    <row r="85" spans="1:8">
      <c r="B85" s="103" t="s">
        <v>370</v>
      </c>
      <c r="C85" s="103" t="s">
        <v>529</v>
      </c>
      <c r="D85" s="513"/>
    </row>
    <row r="87" spans="1:8">
      <c r="B87" s="500" t="s">
        <v>375</v>
      </c>
      <c r="C87" s="501"/>
      <c r="D87" s="501"/>
      <c r="E87" s="501"/>
      <c r="F87" s="501"/>
      <c r="G87" s="501"/>
    </row>
    <row r="88" spans="1:8">
      <c r="B88" s="121"/>
      <c r="C88" s="122"/>
      <c r="D88" s="122"/>
      <c r="E88" s="122"/>
      <c r="F88" s="122"/>
      <c r="G88" s="122"/>
    </row>
    <row r="89" spans="1:8">
      <c r="B89" s="90" t="s">
        <v>490</v>
      </c>
      <c r="C89" s="504" t="s">
        <v>497</v>
      </c>
      <c r="D89" s="505"/>
      <c r="E89" s="122"/>
      <c r="F89" s="122"/>
      <c r="G89" s="122"/>
    </row>
    <row r="90" spans="1:8">
      <c r="B90" s="123" t="s">
        <v>491</v>
      </c>
      <c r="C90" s="504" t="s">
        <v>493</v>
      </c>
      <c r="D90" s="505"/>
      <c r="E90" s="122"/>
      <c r="F90" s="122"/>
      <c r="G90" s="122"/>
    </row>
    <row r="91" spans="1:8">
      <c r="B91" s="123" t="s">
        <v>492</v>
      </c>
      <c r="C91" s="504" t="s">
        <v>495</v>
      </c>
      <c r="D91" s="505"/>
      <c r="E91" s="122"/>
      <c r="F91" s="122"/>
      <c r="G91" s="122"/>
    </row>
    <row r="92" spans="1:8" ht="19.5" customHeight="1">
      <c r="B92" s="123" t="s">
        <v>494</v>
      </c>
      <c r="C92" s="504" t="s">
        <v>496</v>
      </c>
      <c r="D92" s="505"/>
    </row>
    <row r="95" spans="1:8" ht="42.75" customHeight="1">
      <c r="A95" s="92" t="s">
        <v>377</v>
      </c>
    </row>
    <row r="96" spans="1:8" ht="25.5" customHeight="1">
      <c r="B96" s="114" t="s">
        <v>393</v>
      </c>
      <c r="C96" s="114" t="s">
        <v>406</v>
      </c>
      <c r="D96" s="514" t="s">
        <v>405</v>
      </c>
      <c r="E96" s="514"/>
      <c r="F96" s="514"/>
      <c r="G96" s="514"/>
      <c r="H96" s="114" t="s">
        <v>414</v>
      </c>
    </row>
    <row r="97" spans="2:8">
      <c r="B97" s="109" t="s">
        <v>378</v>
      </c>
      <c r="C97" s="105" t="s">
        <v>407</v>
      </c>
      <c r="D97" s="502" t="s">
        <v>511</v>
      </c>
      <c r="E97" s="503"/>
      <c r="F97" s="503"/>
      <c r="G97" s="503"/>
      <c r="H97" s="112" t="s">
        <v>417</v>
      </c>
    </row>
    <row r="98" spans="2:8" ht="46.5" customHeight="1">
      <c r="B98" s="109" t="s">
        <v>380</v>
      </c>
      <c r="C98" s="105" t="s">
        <v>407</v>
      </c>
      <c r="D98" s="502" t="s">
        <v>512</v>
      </c>
      <c r="E98" s="503"/>
      <c r="F98" s="503"/>
      <c r="G98" s="503"/>
      <c r="H98" s="112" t="s">
        <v>417</v>
      </c>
    </row>
    <row r="99" spans="2:8" ht="101.25" customHeight="1">
      <c r="B99" s="110" t="s">
        <v>381</v>
      </c>
      <c r="C99" s="106" t="s">
        <v>408</v>
      </c>
      <c r="D99" s="502" t="s">
        <v>1126</v>
      </c>
      <c r="E99" s="503"/>
      <c r="F99" s="503"/>
      <c r="G99" s="503"/>
      <c r="H99" s="112" t="s">
        <v>418</v>
      </c>
    </row>
    <row r="100" spans="2:8" ht="45.75" customHeight="1">
      <c r="B100" s="109" t="s">
        <v>382</v>
      </c>
      <c r="C100" s="107" t="s">
        <v>408</v>
      </c>
      <c r="D100" s="502" t="s">
        <v>533</v>
      </c>
      <c r="E100" s="503"/>
      <c r="F100" s="503"/>
      <c r="G100" s="503"/>
      <c r="H100" s="112" t="s">
        <v>418</v>
      </c>
    </row>
    <row r="101" spans="2:8">
      <c r="B101" s="109" t="s">
        <v>384</v>
      </c>
      <c r="C101" s="108" t="s">
        <v>407</v>
      </c>
      <c r="D101" s="502" t="s">
        <v>513</v>
      </c>
      <c r="E101" s="503"/>
      <c r="F101" s="503"/>
      <c r="G101" s="503"/>
      <c r="H101" s="112" t="s">
        <v>417</v>
      </c>
    </row>
    <row r="102" spans="2:8">
      <c r="B102" s="109" t="s">
        <v>386</v>
      </c>
      <c r="C102" s="108" t="s">
        <v>407</v>
      </c>
      <c r="D102" s="502" t="s">
        <v>515</v>
      </c>
      <c r="E102" s="503"/>
      <c r="F102" s="503"/>
      <c r="G102" s="503"/>
      <c r="H102" s="112" t="s">
        <v>417</v>
      </c>
    </row>
    <row r="103" spans="2:8" ht="48" customHeight="1">
      <c r="B103" s="109" t="s">
        <v>388</v>
      </c>
      <c r="C103" s="107" t="s">
        <v>408</v>
      </c>
      <c r="D103" s="502" t="s">
        <v>516</v>
      </c>
      <c r="E103" s="503"/>
      <c r="F103" s="503"/>
      <c r="G103" s="503"/>
      <c r="H103" s="112" t="s">
        <v>420</v>
      </c>
    </row>
    <row r="104" spans="2:8">
      <c r="B104" s="109" t="s">
        <v>389</v>
      </c>
      <c r="C104" s="108" t="s">
        <v>407</v>
      </c>
      <c r="D104" s="502" t="s">
        <v>517</v>
      </c>
      <c r="E104" s="503"/>
      <c r="F104" s="503"/>
      <c r="G104" s="503"/>
      <c r="H104" s="112" t="s">
        <v>419</v>
      </c>
    </row>
    <row r="105" spans="2:8" ht="47.25" customHeight="1">
      <c r="B105" s="109" t="s">
        <v>391</v>
      </c>
      <c r="C105" s="108" t="s">
        <v>407</v>
      </c>
      <c r="D105" s="502" t="s">
        <v>518</v>
      </c>
      <c r="E105" s="503"/>
      <c r="F105" s="503"/>
      <c r="G105" s="503"/>
      <c r="H105" s="112" t="s">
        <v>419</v>
      </c>
    </row>
    <row r="106" spans="2:8" ht="49.5" customHeight="1">
      <c r="B106" s="110" t="s">
        <v>444</v>
      </c>
      <c r="C106" s="107" t="s">
        <v>408</v>
      </c>
      <c r="D106" s="502" t="s">
        <v>534</v>
      </c>
      <c r="E106" s="503"/>
      <c r="F106" s="503"/>
      <c r="G106" s="503"/>
      <c r="H106" s="112" t="s">
        <v>420</v>
      </c>
    </row>
    <row r="107" spans="2:8" ht="113.25" customHeight="1">
      <c r="B107" s="110" t="s">
        <v>395</v>
      </c>
      <c r="C107" s="107" t="s">
        <v>408</v>
      </c>
      <c r="D107" s="502" t="s">
        <v>1269</v>
      </c>
      <c r="E107" s="503"/>
      <c r="F107" s="503"/>
      <c r="G107" s="503"/>
      <c r="H107" s="112" t="s">
        <v>420</v>
      </c>
    </row>
    <row r="108" spans="2:8" ht="28.5">
      <c r="B108" s="111" t="s">
        <v>396</v>
      </c>
      <c r="C108" s="108" t="s">
        <v>407</v>
      </c>
      <c r="D108" s="502" t="s">
        <v>535</v>
      </c>
      <c r="E108" s="503"/>
      <c r="F108" s="503"/>
      <c r="G108" s="503"/>
      <c r="H108" s="113" t="s">
        <v>415</v>
      </c>
    </row>
    <row r="109" spans="2:8" ht="32.25" customHeight="1">
      <c r="B109" s="110" t="s">
        <v>399</v>
      </c>
      <c r="C109" s="108" t="s">
        <v>407</v>
      </c>
      <c r="D109" s="502" t="s">
        <v>411</v>
      </c>
      <c r="E109" s="503"/>
      <c r="F109" s="503"/>
      <c r="G109" s="503"/>
      <c r="H109" s="112" t="s">
        <v>419</v>
      </c>
    </row>
    <row r="110" spans="2:8" ht="35.25" customHeight="1">
      <c r="B110" s="110" t="s">
        <v>438</v>
      </c>
      <c r="C110" s="107" t="s">
        <v>408</v>
      </c>
      <c r="D110" s="502" t="s">
        <v>536</v>
      </c>
      <c r="E110" s="503"/>
      <c r="F110" s="503"/>
      <c r="G110" s="503"/>
      <c r="H110" s="112" t="s">
        <v>417</v>
      </c>
    </row>
    <row r="111" spans="2:8" ht="28.5">
      <c r="B111" s="111" t="s">
        <v>437</v>
      </c>
      <c r="C111" s="107" t="s">
        <v>408</v>
      </c>
      <c r="D111" s="502" t="s">
        <v>412</v>
      </c>
      <c r="E111" s="503"/>
      <c r="F111" s="503"/>
      <c r="G111" s="503"/>
      <c r="H111" s="112" t="s">
        <v>417</v>
      </c>
    </row>
    <row r="112" spans="2:8" ht="179.25" customHeight="1">
      <c r="B112" s="109" t="s">
        <v>400</v>
      </c>
      <c r="C112" s="107" t="s">
        <v>408</v>
      </c>
      <c r="D112" s="502" t="s">
        <v>656</v>
      </c>
      <c r="E112" s="503"/>
      <c r="F112" s="503"/>
      <c r="G112" s="503"/>
      <c r="H112" s="112" t="s">
        <v>418</v>
      </c>
    </row>
    <row r="113" spans="2:10">
      <c r="B113" s="109" t="s">
        <v>401</v>
      </c>
      <c r="C113" s="107" t="s">
        <v>408</v>
      </c>
      <c r="D113" s="502" t="s">
        <v>439</v>
      </c>
      <c r="E113" s="503"/>
      <c r="F113" s="503"/>
      <c r="G113" s="503"/>
      <c r="H113" s="112" t="s">
        <v>418</v>
      </c>
    </row>
    <row r="114" spans="2:10">
      <c r="B114" s="109" t="s">
        <v>402</v>
      </c>
      <c r="C114" s="107" t="s">
        <v>408</v>
      </c>
      <c r="D114" s="502" t="s">
        <v>440</v>
      </c>
      <c r="E114" s="503"/>
      <c r="F114" s="503"/>
      <c r="G114" s="503"/>
      <c r="H114" s="112" t="s">
        <v>418</v>
      </c>
    </row>
    <row r="115" spans="2:10">
      <c r="B115" s="109" t="s">
        <v>403</v>
      </c>
      <c r="C115" s="108" t="s">
        <v>407</v>
      </c>
      <c r="D115" s="502" t="s">
        <v>432</v>
      </c>
      <c r="E115" s="503"/>
      <c r="F115" s="503"/>
      <c r="G115" s="503"/>
      <c r="H115" s="112" t="s">
        <v>416</v>
      </c>
    </row>
    <row r="116" spans="2:10">
      <c r="B116" s="109" t="s">
        <v>404</v>
      </c>
      <c r="C116" s="108" t="s">
        <v>407</v>
      </c>
      <c r="D116" s="502" t="s">
        <v>413</v>
      </c>
      <c r="E116" s="503"/>
      <c r="F116" s="503"/>
      <c r="G116" s="503"/>
      <c r="H116" s="112" t="s">
        <v>416</v>
      </c>
    </row>
    <row r="118" spans="2:10" ht="15" thickBot="1">
      <c r="B118" s="81" t="s">
        <v>443</v>
      </c>
    </row>
    <row r="119" spans="2:10" ht="20.25" customHeight="1" thickBot="1">
      <c r="B119" s="139" t="s">
        <v>445</v>
      </c>
      <c r="C119" s="140" t="s">
        <v>556</v>
      </c>
      <c r="D119" s="524" t="s">
        <v>555</v>
      </c>
      <c r="E119" s="525"/>
      <c r="F119" s="526" t="s">
        <v>446</v>
      </c>
      <c r="G119" s="525"/>
      <c r="H119" s="524" t="s">
        <v>447</v>
      </c>
      <c r="I119" s="525"/>
      <c r="J119" s="133"/>
    </row>
    <row r="120" spans="2:10" ht="144.75" customHeight="1" thickBot="1">
      <c r="B120" s="116" t="s">
        <v>102</v>
      </c>
      <c r="C120" s="130" t="s">
        <v>550</v>
      </c>
      <c r="D120" s="521"/>
      <c r="E120" s="522"/>
      <c r="F120" s="521" t="s">
        <v>452</v>
      </c>
      <c r="G120" s="522"/>
      <c r="H120" s="521"/>
      <c r="I120" s="522"/>
    </row>
    <row r="121" spans="2:10" ht="147" customHeight="1" thickBot="1">
      <c r="B121" s="116" t="s">
        <v>103</v>
      </c>
      <c r="C121" s="130" t="s">
        <v>551</v>
      </c>
      <c r="D121" s="521"/>
      <c r="E121" s="522"/>
      <c r="F121" s="521" t="s">
        <v>453</v>
      </c>
      <c r="G121" s="522"/>
      <c r="H121" s="521" t="s">
        <v>448</v>
      </c>
      <c r="I121" s="522"/>
    </row>
    <row r="122" spans="2:10" ht="142.5" customHeight="1" thickBot="1">
      <c r="B122" s="116" t="s">
        <v>268</v>
      </c>
      <c r="C122" s="177" t="s">
        <v>990</v>
      </c>
      <c r="D122" s="521"/>
      <c r="E122" s="522"/>
      <c r="F122" s="521" t="s">
        <v>454</v>
      </c>
      <c r="G122" s="522"/>
      <c r="H122" s="521" t="s">
        <v>448</v>
      </c>
      <c r="I122" s="522"/>
    </row>
    <row r="123" spans="2:10" ht="145.5" customHeight="1" thickBot="1">
      <c r="B123" s="116" t="s">
        <v>69</v>
      </c>
      <c r="C123" s="130" t="s">
        <v>552</v>
      </c>
      <c r="D123" s="521"/>
      <c r="E123" s="522"/>
      <c r="F123" s="521" t="s">
        <v>989</v>
      </c>
      <c r="G123" s="522"/>
      <c r="H123" s="521" t="s">
        <v>988</v>
      </c>
      <c r="I123" s="523"/>
    </row>
    <row r="124" spans="2:10" ht="143.25" customHeight="1" thickBot="1">
      <c r="B124" s="116" t="s">
        <v>271</v>
      </c>
      <c r="C124" s="130" t="s">
        <v>553</v>
      </c>
      <c r="D124" s="521"/>
      <c r="E124" s="522"/>
      <c r="F124" s="521" t="s">
        <v>455</v>
      </c>
      <c r="G124" s="522"/>
      <c r="H124" s="521" t="s">
        <v>451</v>
      </c>
      <c r="I124" s="523"/>
    </row>
    <row r="125" spans="2:10" ht="140.25" customHeight="1" thickBot="1">
      <c r="B125" s="116" t="s">
        <v>273</v>
      </c>
      <c r="C125" s="130" t="s">
        <v>554</v>
      </c>
      <c r="D125" s="521"/>
      <c r="E125" s="522"/>
      <c r="F125" s="521" t="s">
        <v>455</v>
      </c>
      <c r="G125" s="522"/>
      <c r="H125" s="521" t="s">
        <v>450</v>
      </c>
      <c r="I125" s="523"/>
    </row>
    <row r="127" spans="2:10">
      <c r="B127" s="498" t="s">
        <v>557</v>
      </c>
      <c r="C127" s="499"/>
      <c r="D127" s="499"/>
    </row>
    <row r="129" spans="2:5" ht="15" thickBot="1">
      <c r="B129" s="81" t="s">
        <v>441</v>
      </c>
    </row>
    <row r="130" spans="2:5" ht="16.5" thickBot="1">
      <c r="B130" s="115" t="s">
        <v>430</v>
      </c>
      <c r="C130" s="145" t="s">
        <v>394</v>
      </c>
      <c r="D130" s="521" t="s">
        <v>568</v>
      </c>
      <c r="E130" s="522"/>
    </row>
    <row r="131" spans="2:5" ht="50.25" customHeight="1" thickBot="1">
      <c r="B131" s="116" t="s">
        <v>135</v>
      </c>
      <c r="C131" s="134" t="s">
        <v>421</v>
      </c>
      <c r="D131" s="536"/>
      <c r="E131" s="537"/>
    </row>
    <row r="132" spans="2:5" ht="48.75" customHeight="1" thickBot="1">
      <c r="B132" s="116" t="s">
        <v>180</v>
      </c>
      <c r="C132" s="130" t="s">
        <v>422</v>
      </c>
      <c r="D132" s="521"/>
      <c r="E132" s="522"/>
    </row>
    <row r="133" spans="2:5" ht="88.5" customHeight="1" thickBot="1">
      <c r="B133" s="116" t="s">
        <v>179</v>
      </c>
      <c r="C133" s="130" t="s">
        <v>423</v>
      </c>
      <c r="D133" s="521"/>
      <c r="E133" s="522"/>
    </row>
    <row r="134" spans="2:5" ht="149.25" customHeight="1" thickBot="1">
      <c r="B134" s="117" t="s">
        <v>55</v>
      </c>
      <c r="C134" s="130" t="s">
        <v>424</v>
      </c>
      <c r="D134" s="521"/>
      <c r="E134" s="522"/>
    </row>
    <row r="135" spans="2:5" ht="149.25" customHeight="1" thickBot="1">
      <c r="B135" s="117" t="s">
        <v>54</v>
      </c>
      <c r="C135" s="130" t="s">
        <v>425</v>
      </c>
      <c r="D135" s="521"/>
      <c r="E135" s="522"/>
    </row>
    <row r="136" spans="2:5" ht="149.25" customHeight="1" thickBot="1">
      <c r="B136" s="117" t="s">
        <v>53</v>
      </c>
      <c r="C136" s="130" t="s">
        <v>426</v>
      </c>
      <c r="D136" s="521"/>
      <c r="E136" s="522"/>
    </row>
    <row r="137" spans="2:5" ht="145.5" customHeight="1" thickBot="1">
      <c r="B137" s="117" t="s">
        <v>184</v>
      </c>
      <c r="C137" s="130" t="s">
        <v>427</v>
      </c>
      <c r="D137" s="521"/>
      <c r="E137" s="522"/>
    </row>
    <row r="138" spans="2:5" ht="148.5" customHeight="1" thickBot="1">
      <c r="B138" s="117" t="s">
        <v>758</v>
      </c>
      <c r="C138" s="130" t="s">
        <v>431</v>
      </c>
      <c r="D138" s="521"/>
      <c r="E138" s="522"/>
    </row>
    <row r="139" spans="2:5" ht="163.5" customHeight="1" thickBot="1">
      <c r="B139" s="117" t="s">
        <v>52</v>
      </c>
      <c r="C139" s="130" t="s">
        <v>428</v>
      </c>
      <c r="D139" s="521"/>
      <c r="E139" s="522"/>
    </row>
    <row r="140" spans="2:5" ht="150.75" customHeight="1" thickBot="1">
      <c r="B140" s="117" t="s">
        <v>56</v>
      </c>
      <c r="C140" s="130" t="s">
        <v>429</v>
      </c>
      <c r="D140" s="521"/>
      <c r="E140" s="522"/>
    </row>
    <row r="142" spans="2:5" ht="32.25" customHeight="1">
      <c r="B142" s="498"/>
      <c r="C142" s="499"/>
      <c r="D142" s="499"/>
    </row>
    <row r="143" spans="2:5" s="134" customFormat="1">
      <c r="B143" s="131"/>
      <c r="C143" s="132"/>
      <c r="D143" s="132"/>
    </row>
    <row r="144" spans="2:5" s="134" customFormat="1">
      <c r="B144" s="131"/>
      <c r="C144" s="132"/>
      <c r="D144" s="132"/>
    </row>
    <row r="145" spans="1:7" ht="15" thickBot="1">
      <c r="B145" s="81" t="s">
        <v>442</v>
      </c>
    </row>
    <row r="146" spans="1:7" ht="16.5" thickBot="1">
      <c r="B146" s="538" t="s">
        <v>435</v>
      </c>
      <c r="C146" s="539"/>
      <c r="D146" s="538" t="s">
        <v>394</v>
      </c>
      <c r="E146" s="546"/>
      <c r="F146" s="547"/>
      <c r="G146" s="548"/>
    </row>
    <row r="147" spans="1:7" ht="305.25" customHeight="1" thickBot="1">
      <c r="B147" s="540" t="s">
        <v>1268</v>
      </c>
      <c r="C147" s="541"/>
      <c r="D147" s="542" t="s">
        <v>766</v>
      </c>
      <c r="E147" s="543"/>
      <c r="F147" s="544"/>
      <c r="G147" s="545"/>
    </row>
    <row r="148" spans="1:7" ht="45.75" customHeight="1" thickBot="1">
      <c r="B148" s="540" t="s">
        <v>433</v>
      </c>
      <c r="C148" s="541"/>
      <c r="D148" s="521" t="s">
        <v>434</v>
      </c>
      <c r="E148" s="549"/>
      <c r="F148" s="550"/>
      <c r="G148" s="551"/>
    </row>
    <row r="149" spans="1:7" ht="15" customHeight="1"/>
    <row r="150" spans="1:7" ht="41.25" customHeight="1">
      <c r="B150" s="498" t="s">
        <v>569</v>
      </c>
      <c r="C150" s="499"/>
      <c r="D150" s="499"/>
      <c r="E150" s="499"/>
      <c r="F150" s="499"/>
      <c r="G150" s="499"/>
    </row>
    <row r="154" spans="1:7" ht="28.5">
      <c r="A154" s="92" t="s">
        <v>436</v>
      </c>
    </row>
    <row r="155" spans="1:7" ht="56.25" customHeight="1">
      <c r="B155" s="498" t="s">
        <v>570</v>
      </c>
      <c r="C155" s="499"/>
      <c r="D155" s="499"/>
      <c r="E155" s="499"/>
      <c r="F155" s="499"/>
      <c r="G155" s="499"/>
    </row>
    <row r="156" spans="1:7">
      <c r="B156" s="81" t="s">
        <v>456</v>
      </c>
    </row>
    <row r="157" spans="1:7">
      <c r="B157" s="72" t="s">
        <v>730</v>
      </c>
      <c r="C157" s="72" t="s">
        <v>70</v>
      </c>
      <c r="D157" s="74" t="s">
        <v>76</v>
      </c>
      <c r="E157" s="74" t="s">
        <v>77</v>
      </c>
      <c r="F157" s="74" t="s">
        <v>79</v>
      </c>
      <c r="G157" s="72" t="s">
        <v>72</v>
      </c>
    </row>
    <row r="158" spans="1:7" ht="42.75">
      <c r="B158" s="119" t="s">
        <v>458</v>
      </c>
      <c r="C158" s="75" t="s">
        <v>239</v>
      </c>
      <c r="D158" s="75" t="s">
        <v>238</v>
      </c>
      <c r="E158" s="75"/>
      <c r="F158" s="73"/>
      <c r="G158" s="77" t="s">
        <v>80</v>
      </c>
    </row>
    <row r="159" spans="1:7" ht="42.75">
      <c r="B159" s="73"/>
      <c r="C159" s="75" t="s">
        <v>240</v>
      </c>
      <c r="D159" s="75" t="s">
        <v>245</v>
      </c>
      <c r="E159" s="75"/>
      <c r="F159" s="73"/>
      <c r="G159" s="77" t="s">
        <v>80</v>
      </c>
    </row>
    <row r="160" spans="1:7" ht="42.75">
      <c r="B160" s="73"/>
      <c r="C160" s="75" t="s">
        <v>241</v>
      </c>
      <c r="D160" s="75" t="s">
        <v>242</v>
      </c>
      <c r="E160" s="75" t="s">
        <v>263</v>
      </c>
      <c r="F160" s="73"/>
      <c r="G160" s="77" t="s">
        <v>80</v>
      </c>
    </row>
    <row r="162" spans="1:8">
      <c r="B162" s="498" t="s">
        <v>571</v>
      </c>
      <c r="C162" s="499"/>
      <c r="D162" s="499"/>
      <c r="E162" s="499"/>
      <c r="F162" s="499"/>
      <c r="G162" s="499"/>
    </row>
    <row r="163" spans="1:8">
      <c r="B163" s="499"/>
      <c r="C163" s="499"/>
      <c r="D163" s="499"/>
      <c r="E163" s="499"/>
      <c r="F163" s="499"/>
      <c r="G163" s="499"/>
    </row>
    <row r="165" spans="1:8">
      <c r="B165" s="81" t="s">
        <v>457</v>
      </c>
    </row>
    <row r="166" spans="1:8">
      <c r="B166" s="74" t="s">
        <v>81</v>
      </c>
      <c r="C166" s="74" t="s">
        <v>82</v>
      </c>
      <c r="D166" s="74" t="s">
        <v>73</v>
      </c>
      <c r="E166" s="74" t="s">
        <v>244</v>
      </c>
      <c r="F166" s="74" t="s">
        <v>74</v>
      </c>
      <c r="G166" s="74" t="s">
        <v>75</v>
      </c>
      <c r="H166" s="72" t="s">
        <v>72</v>
      </c>
    </row>
    <row r="167" spans="1:8" ht="96.75" customHeight="1">
      <c r="B167" s="75" t="s">
        <v>83</v>
      </c>
      <c r="C167" s="73" t="s">
        <v>87</v>
      </c>
      <c r="D167" s="75" t="s">
        <v>85</v>
      </c>
      <c r="E167" s="75" t="s">
        <v>243</v>
      </c>
      <c r="F167" s="75"/>
      <c r="G167" s="73"/>
      <c r="H167" s="76" t="s">
        <v>90</v>
      </c>
    </row>
    <row r="168" spans="1:8" ht="38.25" customHeight="1">
      <c r="B168" s="75" t="s">
        <v>84</v>
      </c>
      <c r="C168" s="75" t="s">
        <v>89</v>
      </c>
      <c r="D168" s="75" t="s">
        <v>78</v>
      </c>
      <c r="E168" s="75" t="s">
        <v>243</v>
      </c>
      <c r="F168" s="73"/>
      <c r="G168" s="73"/>
      <c r="H168" s="76"/>
    </row>
    <row r="170" spans="1:8">
      <c r="B170" s="498" t="s">
        <v>572</v>
      </c>
      <c r="C170" s="499"/>
      <c r="D170" s="499"/>
      <c r="E170" s="499"/>
      <c r="F170" s="499"/>
      <c r="G170" s="499"/>
    </row>
    <row r="171" spans="1:8" ht="57.75" customHeight="1">
      <c r="B171" s="499"/>
      <c r="C171" s="499"/>
      <c r="D171" s="499"/>
      <c r="E171" s="499"/>
      <c r="F171" s="499"/>
      <c r="G171" s="499"/>
    </row>
    <row r="175" spans="1:8" ht="28.5">
      <c r="A175" s="92" t="s">
        <v>459</v>
      </c>
    </row>
    <row r="176" spans="1:8" ht="28.5" customHeight="1">
      <c r="B176" s="498" t="s">
        <v>573</v>
      </c>
      <c r="C176" s="499"/>
      <c r="D176" s="499"/>
      <c r="E176" s="499"/>
      <c r="F176" s="499"/>
      <c r="G176" s="499"/>
    </row>
    <row r="178" spans="2:6">
      <c r="B178" s="81" t="s">
        <v>460</v>
      </c>
    </row>
    <row r="179" spans="2:6">
      <c r="B179" s="114" t="s">
        <v>461</v>
      </c>
      <c r="C179" s="527" t="s">
        <v>462</v>
      </c>
      <c r="D179" s="528"/>
      <c r="E179" s="529"/>
    </row>
    <row r="180" spans="2:6" ht="33.75" customHeight="1">
      <c r="B180" s="91" t="s">
        <v>465</v>
      </c>
      <c r="C180" s="515" t="s">
        <v>467</v>
      </c>
      <c r="D180" s="516"/>
      <c r="E180" s="517"/>
    </row>
    <row r="181" spans="2:6" ht="32.25" customHeight="1">
      <c r="B181" s="91" t="s">
        <v>463</v>
      </c>
      <c r="C181" s="515" t="s">
        <v>574</v>
      </c>
      <c r="D181" s="516"/>
      <c r="E181" s="517"/>
    </row>
    <row r="182" spans="2:6" ht="14.25" customHeight="1">
      <c r="B182" s="91" t="s">
        <v>464</v>
      </c>
      <c r="C182" s="515" t="s">
        <v>466</v>
      </c>
      <c r="D182" s="516"/>
      <c r="E182" s="517"/>
    </row>
    <row r="185" spans="2:6">
      <c r="B185" s="70" t="s">
        <v>468</v>
      </c>
      <c r="C185" s="69"/>
      <c r="D185" s="69"/>
      <c r="E185" s="69"/>
      <c r="F185" s="69"/>
    </row>
    <row r="186" spans="2:6">
      <c r="B186" s="533" t="s">
        <v>91</v>
      </c>
      <c r="C186" s="83" t="s">
        <v>356</v>
      </c>
      <c r="D186" s="120" t="s">
        <v>500</v>
      </c>
      <c r="E186" s="83" t="s">
        <v>376</v>
      </c>
      <c r="F186" s="83" t="s">
        <v>1169</v>
      </c>
    </row>
    <row r="187" spans="2:6">
      <c r="B187" s="534"/>
      <c r="C187" s="83" t="s">
        <v>97</v>
      </c>
      <c r="D187" s="84">
        <v>12</v>
      </c>
      <c r="E187" s="83" t="s">
        <v>100</v>
      </c>
      <c r="F187" s="83" t="s">
        <v>228</v>
      </c>
    </row>
    <row r="188" spans="2:6">
      <c r="B188" s="535"/>
      <c r="C188" s="83" t="s">
        <v>98</v>
      </c>
      <c r="D188" s="84">
        <v>32</v>
      </c>
      <c r="E188" s="83" t="s">
        <v>373</v>
      </c>
      <c r="F188" s="83" t="s">
        <v>229</v>
      </c>
    </row>
    <row r="190" spans="2:6">
      <c r="B190" s="114" t="s">
        <v>469</v>
      </c>
      <c r="C190" s="527" t="s">
        <v>462</v>
      </c>
      <c r="D190" s="528"/>
      <c r="E190" s="529"/>
    </row>
    <row r="191" spans="2:6" ht="34.5" customHeight="1">
      <c r="B191" s="91" t="s">
        <v>470</v>
      </c>
      <c r="C191" s="515" t="s">
        <v>471</v>
      </c>
      <c r="D191" s="516"/>
      <c r="E191" s="517"/>
    </row>
    <row r="192" spans="2:6">
      <c r="B192" s="91" t="s">
        <v>472</v>
      </c>
      <c r="C192" s="515" t="s">
        <v>474</v>
      </c>
      <c r="D192" s="516"/>
      <c r="E192" s="517"/>
    </row>
    <row r="193" spans="2:7">
      <c r="B193" s="91" t="s">
        <v>473</v>
      </c>
      <c r="C193" s="515" t="s">
        <v>478</v>
      </c>
      <c r="D193" s="516"/>
      <c r="E193" s="517"/>
    </row>
    <row r="194" spans="2:7" ht="53.25" customHeight="1">
      <c r="B194" s="91" t="s">
        <v>367</v>
      </c>
      <c r="C194" s="515" t="s">
        <v>1128</v>
      </c>
      <c r="D194" s="516"/>
      <c r="E194" s="517"/>
    </row>
    <row r="195" spans="2:7" ht="26.25" customHeight="1">
      <c r="B195" s="91" t="s">
        <v>475</v>
      </c>
      <c r="C195" s="515" t="s">
        <v>477</v>
      </c>
      <c r="D195" s="516"/>
      <c r="E195" s="517"/>
    </row>
    <row r="196" spans="2:7" ht="27.75" customHeight="1">
      <c r="B196" s="91" t="s">
        <v>476</v>
      </c>
      <c r="C196" s="515" t="s">
        <v>479</v>
      </c>
      <c r="D196" s="516"/>
      <c r="E196" s="517"/>
    </row>
    <row r="198" spans="2:7">
      <c r="B198" s="70" t="s">
        <v>480</v>
      </c>
    </row>
    <row r="199" spans="2:7">
      <c r="B199" s="85" t="s">
        <v>226</v>
      </c>
      <c r="C199" s="85" t="s">
        <v>105</v>
      </c>
      <c r="D199" s="85" t="s">
        <v>484</v>
      </c>
      <c r="E199" s="85" t="s">
        <v>485</v>
      </c>
      <c r="F199" s="86" t="s">
        <v>231</v>
      </c>
      <c r="G199" s="85" t="s">
        <v>230</v>
      </c>
    </row>
    <row r="200" spans="2:7">
      <c r="B200" s="530" t="s">
        <v>232</v>
      </c>
      <c r="C200" s="86" t="s">
        <v>99</v>
      </c>
      <c r="D200" s="86">
        <v>11</v>
      </c>
      <c r="E200" s="86">
        <v>11</v>
      </c>
      <c r="F200" s="86" t="s">
        <v>102</v>
      </c>
      <c r="G200" s="85" t="s">
        <v>281</v>
      </c>
    </row>
    <row r="201" spans="2:7">
      <c r="B201" s="531"/>
      <c r="C201" s="85" t="s">
        <v>92</v>
      </c>
      <c r="D201" s="85">
        <v>10</v>
      </c>
      <c r="E201" s="86">
        <v>10</v>
      </c>
      <c r="F201" s="86" t="s">
        <v>103</v>
      </c>
      <c r="G201" s="85" t="s">
        <v>282</v>
      </c>
    </row>
    <row r="202" spans="2:7">
      <c r="B202" s="531"/>
      <c r="C202" s="85" t="s">
        <v>93</v>
      </c>
      <c r="D202" s="85">
        <v>9</v>
      </c>
      <c r="E202" s="86">
        <v>9</v>
      </c>
      <c r="F202" s="85" t="s">
        <v>268</v>
      </c>
      <c r="G202" s="85" t="s">
        <v>283</v>
      </c>
    </row>
    <row r="203" spans="2:7">
      <c r="B203" s="531"/>
      <c r="C203" s="85" t="s">
        <v>94</v>
      </c>
      <c r="D203" s="85">
        <v>8</v>
      </c>
      <c r="E203" s="86">
        <v>8</v>
      </c>
      <c r="F203" s="85" t="s">
        <v>69</v>
      </c>
      <c r="G203" s="85" t="s">
        <v>283</v>
      </c>
    </row>
    <row r="204" spans="2:7">
      <c r="B204" s="531"/>
      <c r="C204" s="85" t="s">
        <v>95</v>
      </c>
      <c r="D204" s="85">
        <v>7</v>
      </c>
      <c r="E204" s="86">
        <v>2</v>
      </c>
      <c r="F204" s="85" t="s">
        <v>271</v>
      </c>
      <c r="G204" s="85" t="s">
        <v>284</v>
      </c>
    </row>
    <row r="205" spans="2:7">
      <c r="B205" s="532"/>
      <c r="C205" s="85" t="s">
        <v>96</v>
      </c>
      <c r="D205" s="85">
        <v>1</v>
      </c>
      <c r="E205" s="86">
        <v>0</v>
      </c>
      <c r="F205" s="85" t="s">
        <v>273</v>
      </c>
      <c r="G205" s="85" t="s">
        <v>284</v>
      </c>
    </row>
    <row r="206" spans="2:7">
      <c r="B206" s="490" t="s">
        <v>234</v>
      </c>
      <c r="C206" s="85" t="s">
        <v>233</v>
      </c>
      <c r="D206" s="86">
        <v>7</v>
      </c>
      <c r="E206" s="86">
        <v>7</v>
      </c>
      <c r="F206" s="86" t="s">
        <v>102</v>
      </c>
      <c r="G206" s="85" t="s">
        <v>278</v>
      </c>
    </row>
    <row r="207" spans="2:7">
      <c r="B207" s="491"/>
      <c r="C207" s="85" t="s">
        <v>235</v>
      </c>
      <c r="D207" s="86">
        <v>6</v>
      </c>
      <c r="E207" s="86">
        <v>6</v>
      </c>
      <c r="F207" s="86" t="s">
        <v>103</v>
      </c>
      <c r="G207" s="85" t="s">
        <v>278</v>
      </c>
    </row>
    <row r="208" spans="2:7">
      <c r="B208" s="492"/>
      <c r="C208" s="85" t="s">
        <v>93</v>
      </c>
      <c r="D208" s="85">
        <v>5</v>
      </c>
      <c r="E208" s="85">
        <v>5</v>
      </c>
      <c r="F208" s="85" t="s">
        <v>268</v>
      </c>
      <c r="G208" s="85" t="s">
        <v>279</v>
      </c>
    </row>
    <row r="209" spans="2:7">
      <c r="B209" s="492"/>
      <c r="C209" s="85" t="s">
        <v>236</v>
      </c>
      <c r="D209" s="85">
        <v>4</v>
      </c>
      <c r="E209" s="85">
        <v>2</v>
      </c>
      <c r="F209" s="85" t="s">
        <v>269</v>
      </c>
      <c r="G209" s="85" t="s">
        <v>279</v>
      </c>
    </row>
    <row r="210" spans="2:7">
      <c r="B210" s="492"/>
      <c r="C210" s="86" t="s">
        <v>1120</v>
      </c>
      <c r="D210" s="85">
        <v>1</v>
      </c>
      <c r="E210" s="85">
        <v>1</v>
      </c>
      <c r="F210" s="85" t="s">
        <v>271</v>
      </c>
      <c r="G210" s="85" t="s">
        <v>280</v>
      </c>
    </row>
    <row r="211" spans="2:7">
      <c r="B211" s="492"/>
      <c r="C211" s="85" t="s">
        <v>1121</v>
      </c>
      <c r="D211" s="85">
        <v>0</v>
      </c>
      <c r="E211" s="86">
        <v>0</v>
      </c>
      <c r="F211" s="85" t="s">
        <v>273</v>
      </c>
      <c r="G211" s="85" t="s">
        <v>280</v>
      </c>
    </row>
    <row r="212" spans="2:7">
      <c r="B212" s="490" t="s">
        <v>237</v>
      </c>
      <c r="C212" s="85" t="s">
        <v>233</v>
      </c>
      <c r="D212" s="86">
        <v>4</v>
      </c>
      <c r="E212" s="86">
        <v>4</v>
      </c>
      <c r="F212" s="86" t="s">
        <v>102</v>
      </c>
      <c r="G212" s="85" t="s">
        <v>274</v>
      </c>
    </row>
    <row r="213" spans="2:7">
      <c r="B213" s="491"/>
      <c r="C213" s="85" t="s">
        <v>235</v>
      </c>
      <c r="D213" s="86">
        <v>3</v>
      </c>
      <c r="E213" s="86">
        <v>3</v>
      </c>
      <c r="F213" s="86" t="s">
        <v>103</v>
      </c>
      <c r="G213" s="85" t="s">
        <v>275</v>
      </c>
    </row>
    <row r="214" spans="2:7">
      <c r="B214" s="492"/>
      <c r="C214" s="85" t="s">
        <v>93</v>
      </c>
      <c r="D214" s="86">
        <v>2</v>
      </c>
      <c r="E214" s="86">
        <v>2</v>
      </c>
      <c r="F214" s="85" t="s">
        <v>268</v>
      </c>
      <c r="G214" s="85" t="s">
        <v>276</v>
      </c>
    </row>
    <row r="215" spans="2:7">
      <c r="B215" s="492"/>
      <c r="C215" s="85" t="s">
        <v>236</v>
      </c>
      <c r="D215" s="86">
        <v>1</v>
      </c>
      <c r="E215" s="86">
        <v>0</v>
      </c>
      <c r="F215" s="85" t="s">
        <v>269</v>
      </c>
      <c r="G215" s="85" t="s">
        <v>276</v>
      </c>
    </row>
    <row r="216" spans="2:7">
      <c r="B216" s="492"/>
      <c r="C216" s="86"/>
      <c r="D216" s="86"/>
      <c r="E216" s="86"/>
      <c r="F216" s="85" t="s">
        <v>271</v>
      </c>
      <c r="G216" s="86" t="s">
        <v>277</v>
      </c>
    </row>
    <row r="217" spans="2:7">
      <c r="B217" s="492"/>
      <c r="C217" s="86"/>
      <c r="D217" s="86"/>
      <c r="E217" s="86"/>
      <c r="F217" s="85" t="s">
        <v>273</v>
      </c>
      <c r="G217" s="86" t="s">
        <v>277</v>
      </c>
    </row>
    <row r="218" spans="2:7" s="232" customFormat="1">
      <c r="B218" s="490" t="s">
        <v>1114</v>
      </c>
      <c r="C218" s="85" t="s">
        <v>233</v>
      </c>
      <c r="D218" s="86">
        <v>5</v>
      </c>
      <c r="E218" s="86">
        <v>5</v>
      </c>
      <c r="F218" s="86" t="s">
        <v>102</v>
      </c>
      <c r="G218" s="85" t="s">
        <v>1117</v>
      </c>
    </row>
    <row r="219" spans="2:7" s="232" customFormat="1">
      <c r="B219" s="491"/>
      <c r="C219" s="85" t="s">
        <v>235</v>
      </c>
      <c r="D219" s="86">
        <v>4</v>
      </c>
      <c r="E219" s="86">
        <v>4</v>
      </c>
      <c r="F219" s="86" t="s">
        <v>103</v>
      </c>
      <c r="G219" s="85" t="s">
        <v>1118</v>
      </c>
    </row>
    <row r="220" spans="2:7" s="232" customFormat="1">
      <c r="B220" s="492"/>
      <c r="C220" s="85" t="s">
        <v>93</v>
      </c>
      <c r="D220" s="86">
        <v>3</v>
      </c>
      <c r="E220" s="86">
        <v>3</v>
      </c>
      <c r="F220" s="85" t="s">
        <v>268</v>
      </c>
      <c r="G220" s="85" t="s">
        <v>1116</v>
      </c>
    </row>
    <row r="221" spans="2:7" s="232" customFormat="1">
      <c r="B221" s="492"/>
      <c r="C221" s="85" t="s">
        <v>236</v>
      </c>
      <c r="D221" s="86">
        <v>2</v>
      </c>
      <c r="E221" s="86">
        <v>1</v>
      </c>
      <c r="F221" s="85" t="s">
        <v>269</v>
      </c>
      <c r="G221" s="85" t="s">
        <v>1116</v>
      </c>
    </row>
    <row r="222" spans="2:7" s="232" customFormat="1">
      <c r="B222" s="492"/>
      <c r="C222" s="86" t="s">
        <v>1115</v>
      </c>
      <c r="D222" s="86">
        <v>0</v>
      </c>
      <c r="E222" s="86">
        <v>0</v>
      </c>
      <c r="F222" s="85" t="s">
        <v>271</v>
      </c>
      <c r="G222" s="86" t="s">
        <v>1119</v>
      </c>
    </row>
    <row r="223" spans="2:7" s="232" customFormat="1">
      <c r="B223" s="492"/>
      <c r="C223" s="86"/>
      <c r="D223" s="86"/>
      <c r="E223" s="86"/>
      <c r="F223" s="85" t="s">
        <v>273</v>
      </c>
      <c r="G223" s="86" t="s">
        <v>1119</v>
      </c>
    </row>
    <row r="226" spans="1:7">
      <c r="B226" s="114" t="s">
        <v>482</v>
      </c>
      <c r="C226" s="527" t="s">
        <v>462</v>
      </c>
      <c r="D226" s="528"/>
      <c r="E226" s="529"/>
    </row>
    <row r="227" spans="1:7">
      <c r="B227" s="91" t="s">
        <v>481</v>
      </c>
      <c r="C227" s="515" t="s">
        <v>2080</v>
      </c>
      <c r="D227" s="516"/>
      <c r="E227" s="517"/>
    </row>
    <row r="228" spans="1:7" ht="64.5" customHeight="1">
      <c r="B228" s="91" t="s">
        <v>394</v>
      </c>
      <c r="C228" s="515" t="s">
        <v>2079</v>
      </c>
      <c r="D228" s="516"/>
      <c r="E228" s="517"/>
    </row>
    <row r="229" spans="1:7" ht="34.5" customHeight="1">
      <c r="B229" s="91" t="s">
        <v>483</v>
      </c>
      <c r="C229" s="515" t="s">
        <v>576</v>
      </c>
      <c r="D229" s="516"/>
      <c r="E229" s="517"/>
    </row>
    <row r="230" spans="1:7" ht="37.5" customHeight="1">
      <c r="B230" s="91" t="s">
        <v>486</v>
      </c>
      <c r="C230" s="515" t="s">
        <v>577</v>
      </c>
      <c r="D230" s="516"/>
      <c r="E230" s="517"/>
    </row>
    <row r="231" spans="1:7">
      <c r="B231" s="91" t="s">
        <v>487</v>
      </c>
      <c r="C231" s="518" t="s">
        <v>489</v>
      </c>
      <c r="D231" s="519"/>
      <c r="E231" s="520"/>
    </row>
    <row r="232" spans="1:7" ht="36" customHeight="1">
      <c r="B232" s="91" t="s">
        <v>488</v>
      </c>
      <c r="C232" s="515" t="s">
        <v>575</v>
      </c>
      <c r="D232" s="516"/>
      <c r="E232" s="517"/>
    </row>
    <row r="235" spans="1:7" s="124" customFormat="1"/>
    <row r="237" spans="1:7">
      <c r="A237" s="92" t="s">
        <v>501</v>
      </c>
    </row>
    <row r="238" spans="1:7" ht="44.25" customHeight="1">
      <c r="B238" s="498" t="s">
        <v>503</v>
      </c>
      <c r="C238" s="499"/>
      <c r="D238" s="499"/>
      <c r="E238" s="499"/>
      <c r="F238" s="499"/>
      <c r="G238" s="499"/>
    </row>
    <row r="239" spans="1:7" ht="74.25" customHeight="1">
      <c r="B239" s="498" t="s">
        <v>702</v>
      </c>
      <c r="C239" s="499"/>
      <c r="D239" s="499"/>
      <c r="E239" s="499"/>
      <c r="F239" s="499"/>
      <c r="G239" s="499"/>
    </row>
    <row r="240" spans="1:7" ht="19.5" customHeight="1">
      <c r="B240" s="89"/>
      <c r="C240" s="89"/>
      <c r="D240" s="89"/>
      <c r="E240" s="89"/>
      <c r="F240" s="89"/>
      <c r="G240" s="89"/>
    </row>
    <row r="243" spans="1:7" s="124" customFormat="1">
      <c r="A243" s="125" t="s">
        <v>519</v>
      </c>
    </row>
    <row r="244" spans="1:7">
      <c r="B244" s="127" t="s">
        <v>507</v>
      </c>
      <c r="C244" s="126" t="s">
        <v>506</v>
      </c>
    </row>
    <row r="245" spans="1:7" ht="147" customHeight="1">
      <c r="B245" s="498" t="s">
        <v>1017</v>
      </c>
      <c r="C245" s="498"/>
      <c r="D245" s="498"/>
      <c r="E245" s="498"/>
      <c r="F245" s="498"/>
      <c r="G245" s="498"/>
    </row>
  </sheetData>
  <mergeCells count="116">
    <mergeCell ref="D124:E124"/>
    <mergeCell ref="D125:E125"/>
    <mergeCell ref="D131:E131"/>
    <mergeCell ref="D132:E132"/>
    <mergeCell ref="D133:E133"/>
    <mergeCell ref="D134:E134"/>
    <mergeCell ref="C227:E227"/>
    <mergeCell ref="B142:D142"/>
    <mergeCell ref="D135:E135"/>
    <mergeCell ref="D136:E136"/>
    <mergeCell ref="D137:E137"/>
    <mergeCell ref="D138:E138"/>
    <mergeCell ref="D139:E139"/>
    <mergeCell ref="D140:E140"/>
    <mergeCell ref="B155:G155"/>
    <mergeCell ref="B146:C146"/>
    <mergeCell ref="B147:C147"/>
    <mergeCell ref="B148:C148"/>
    <mergeCell ref="D147:G147"/>
    <mergeCell ref="D146:G146"/>
    <mergeCell ref="D148:G148"/>
    <mergeCell ref="B150:G150"/>
    <mergeCell ref="D130:E130"/>
    <mergeCell ref="B218:B223"/>
    <mergeCell ref="C232:E232"/>
    <mergeCell ref="C195:E195"/>
    <mergeCell ref="C196:E196"/>
    <mergeCell ref="B162:G163"/>
    <mergeCell ref="B170:G171"/>
    <mergeCell ref="B176:G176"/>
    <mergeCell ref="C180:E180"/>
    <mergeCell ref="C181:E181"/>
    <mergeCell ref="C182:E182"/>
    <mergeCell ref="C179:E179"/>
    <mergeCell ref="B200:B205"/>
    <mergeCell ref="B206:B211"/>
    <mergeCell ref="B212:B217"/>
    <mergeCell ref="C226:E226"/>
    <mergeCell ref="B186:B188"/>
    <mergeCell ref="C190:E190"/>
    <mergeCell ref="C191:E191"/>
    <mergeCell ref="C192:E192"/>
    <mergeCell ref="C193:E193"/>
    <mergeCell ref="C194:E194"/>
    <mergeCell ref="C228:E228"/>
    <mergeCell ref="C229:E229"/>
    <mergeCell ref="H124:I124"/>
    <mergeCell ref="H125:I125"/>
    <mergeCell ref="F119:G119"/>
    <mergeCell ref="F120:G120"/>
    <mergeCell ref="F121:G121"/>
    <mergeCell ref="F122:G122"/>
    <mergeCell ref="F123:G123"/>
    <mergeCell ref="F124:G124"/>
    <mergeCell ref="F125:G125"/>
    <mergeCell ref="H119:I119"/>
    <mergeCell ref="H120:I120"/>
    <mergeCell ref="D103:G103"/>
    <mergeCell ref="D104:G104"/>
    <mergeCell ref="D105:G105"/>
    <mergeCell ref="D120:E120"/>
    <mergeCell ref="H121:I121"/>
    <mergeCell ref="H122:I122"/>
    <mergeCell ref="H123:I123"/>
    <mergeCell ref="D119:E119"/>
    <mergeCell ref="D121:E121"/>
    <mergeCell ref="D122:E122"/>
    <mergeCell ref="D123:E123"/>
    <mergeCell ref="C89:D89"/>
    <mergeCell ref="B21:E21"/>
    <mergeCell ref="B3:G3"/>
    <mergeCell ref="B238:G238"/>
    <mergeCell ref="B127:D127"/>
    <mergeCell ref="B60:E60"/>
    <mergeCell ref="D77:D79"/>
    <mergeCell ref="D80:D82"/>
    <mergeCell ref="D83:D85"/>
    <mergeCell ref="D112:G112"/>
    <mergeCell ref="D113:G113"/>
    <mergeCell ref="D114:G114"/>
    <mergeCell ref="D115:G115"/>
    <mergeCell ref="D116:G116"/>
    <mergeCell ref="D96:G96"/>
    <mergeCell ref="D106:G106"/>
    <mergeCell ref="D107:G107"/>
    <mergeCell ref="D108:G108"/>
    <mergeCell ref="D109:G109"/>
    <mergeCell ref="D110:G110"/>
    <mergeCell ref="D111:G111"/>
    <mergeCell ref="D100:G100"/>
    <mergeCell ref="C230:E230"/>
    <mergeCell ref="C231:E231"/>
    <mergeCell ref="B245:G245"/>
    <mergeCell ref="B239:G239"/>
    <mergeCell ref="B35:G37"/>
    <mergeCell ref="B26:G26"/>
    <mergeCell ref="B28:G28"/>
    <mergeCell ref="B27:G27"/>
    <mergeCell ref="B29:G29"/>
    <mergeCell ref="B30:G30"/>
    <mergeCell ref="B31:E31"/>
    <mergeCell ref="B32:E32"/>
    <mergeCell ref="B33:E33"/>
    <mergeCell ref="B34:E34"/>
    <mergeCell ref="B87:G87"/>
    <mergeCell ref="B76:G76"/>
    <mergeCell ref="D97:G97"/>
    <mergeCell ref="D98:G98"/>
    <mergeCell ref="D99:G99"/>
    <mergeCell ref="C90:D90"/>
    <mergeCell ref="C91:D91"/>
    <mergeCell ref="C92:D92"/>
    <mergeCell ref="B43:E43"/>
    <mergeCell ref="B55:E55"/>
    <mergeCell ref="D101:G101"/>
    <mergeCell ref="D102:G102"/>
  </mergeCells>
  <phoneticPr fontId="40" type="noConversion"/>
  <dataValidations disablePrompts="1" count="3">
    <dataValidation type="list" allowBlank="1" showInputMessage="1" showErrorMessage="1" sqref="C244">
      <formula1>"是,否"</formula1>
    </dataValidation>
    <dataValidation type="list" allowBlank="1" showInputMessage="1" showErrorMessage="1" sqref="C167:C168">
      <formula1>"PD,PU,SUS,CTL,SL"</formula1>
    </dataValidation>
    <dataValidation type="list" allowBlank="1" showInputMessage="1" showErrorMessage="1" sqref="D186">
      <formula1>"SV interface,Verilog"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  <oleObjects>
    <oleObject progId="Visio.Drawing.11" shapeId="9218" r:id="rId3"/>
    <oleObject progId="Visio.Drawing.11" shapeId="9219" r:id="rId4"/>
    <oleObject progId="Visio.Drawing.11" shapeId="9220" r:id="rId5"/>
    <oleObject progId="Visio.Drawing.11" shapeId="9221" r:id="rId6"/>
    <oleObject progId="Visio.Drawing.11" shapeId="9222" r:id="rId7"/>
    <oleObject progId="Visio.Drawing.11" shapeId="9223" r:id="rId8"/>
    <oleObject progId="Visio.Drawing.11" shapeId="9225" r:id="rId9"/>
    <oleObject progId="Visio.Drawing.11" shapeId="9226" r:id="rId10"/>
    <oleObject progId="Visio.Drawing.11" shapeId="9228" r:id="rId11"/>
    <oleObject progId="Visio.Drawing.11" shapeId="9229" r:id="rId12"/>
    <oleObject progId="Visio.Drawing.11" shapeId="9233" r:id="rId13"/>
    <oleObject progId="Visio.Drawing.11" shapeId="9234" r:id="rId14"/>
    <oleObject progId="Visio.Drawing.11" shapeId="9238" r:id="rId15"/>
    <oleObject progId="Visio.Drawing.11" shapeId="9239" r:id="rId16"/>
    <oleObject progId="Visio.Drawing.11" shapeId="9240" r:id="rId17"/>
    <oleObject progId="Visio.Drawing.11" shapeId="9241" r:id="rId18"/>
    <oleObject progId="Visio.Drawing.11" shapeId="9242" r:id="rId19"/>
  </oleObjec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4:V105"/>
  <sheetViews>
    <sheetView topLeftCell="A82" workbookViewId="0">
      <selection activeCell="E114" sqref="E114"/>
    </sheetView>
  </sheetViews>
  <sheetFormatPr defaultRowHeight="14.25"/>
  <cols>
    <col min="1" max="1" width="9" style="163"/>
    <col min="2" max="2" width="18.25" style="163" customWidth="1"/>
    <col min="3" max="3" width="16.75" style="163" customWidth="1"/>
    <col min="4" max="4" width="18" style="163" customWidth="1"/>
    <col min="5" max="5" width="20.375" style="163" customWidth="1"/>
    <col min="6" max="6" width="20.625" style="163" customWidth="1"/>
    <col min="7" max="7" width="9" style="163"/>
    <col min="8" max="8" width="16.125" style="163" customWidth="1"/>
    <col min="9" max="16384" width="9" style="163"/>
  </cols>
  <sheetData>
    <row r="4" spans="1:4">
      <c r="A4" s="151" t="s">
        <v>3103</v>
      </c>
      <c r="B4" s="163" t="str">
        <f>'IO Pad'!U4</f>
        <v>nf_ce0_n</v>
      </c>
      <c r="C4" s="163" t="str">
        <f>'IO Pad'!AY4</f>
        <v>ch0_rxb_data[0]</v>
      </c>
    </row>
    <row r="5" spans="1:4">
      <c r="A5" s="151" t="s">
        <v>3103</v>
      </c>
      <c r="B5" s="163" t="str">
        <f>'IO Pad'!U5</f>
        <v>nf_ale</v>
      </c>
      <c r="C5" s="163" t="str">
        <f>'IO Pad'!AY5</f>
        <v>ch0_rxb_data[1]</v>
      </c>
    </row>
    <row r="6" spans="1:4">
      <c r="A6" s="151" t="s">
        <v>3103</v>
      </c>
      <c r="B6" s="163" t="str">
        <f>'IO Pad'!U6</f>
        <v>nf_cle</v>
      </c>
      <c r="C6" s="163" t="str">
        <f>'IO Pad'!AY6</f>
        <v>ch0_rxb_data[2]</v>
      </c>
    </row>
    <row r="7" spans="1:4">
      <c r="A7" s="151" t="s">
        <v>3103</v>
      </c>
      <c r="B7" s="163" t="str">
        <f>'IO Pad'!U7</f>
        <v>nf_wr_n</v>
      </c>
      <c r="C7" s="163" t="str">
        <f>'IO Pad'!AY7</f>
        <v>ch0_rxb_data[3]</v>
      </c>
    </row>
    <row r="8" spans="1:4">
      <c r="A8" s="151" t="s">
        <v>3103</v>
      </c>
      <c r="B8" s="163" t="str">
        <f>'IO Pad'!U8</f>
        <v>nf_rd_n</v>
      </c>
      <c r="C8" s="163" t="str">
        <f>'IO Pad'!AY8</f>
        <v>ch0_rxb_data[4]</v>
      </c>
    </row>
    <row r="9" spans="1:4">
      <c r="A9" s="151" t="s">
        <v>3103</v>
      </c>
      <c r="B9" s="163" t="str">
        <f>'IO Pad'!U9</f>
        <v>nf_rb0</v>
      </c>
      <c r="C9" s="163" t="str">
        <f>'IO Pad'!AY9</f>
        <v>ch0_rxb_data[5]</v>
      </c>
    </row>
    <row r="10" spans="1:4">
      <c r="A10" s="151" t="s">
        <v>3103</v>
      </c>
      <c r="B10" s="163" t="str">
        <f>'IO Pad'!U10</f>
        <v>nf_data[0]</v>
      </c>
      <c r="C10" s="163" t="str">
        <f>'IO Pad'!AY10</f>
        <v>ch0_rxb_data[6]</v>
      </c>
    </row>
    <row r="11" spans="1:4">
      <c r="A11" s="151" t="s">
        <v>3103</v>
      </c>
      <c r="B11" s="163" t="str">
        <f>'IO Pad'!U11</f>
        <v>nf_data[1]</v>
      </c>
      <c r="C11" s="163" t="str">
        <f>'IO Pad'!AY11</f>
        <v>ch1_tx_data[8]</v>
      </c>
    </row>
    <row r="12" spans="1:4">
      <c r="A12" s="151" t="s">
        <v>3103</v>
      </c>
      <c r="B12" s="163" t="str">
        <f>'IO Pad'!U12</f>
        <v>nf_data[2]</v>
      </c>
      <c r="C12" s="163" t="str">
        <f>'IO Pad'!Z12</f>
        <v>lte_frame_sync</v>
      </c>
      <c r="D12" s="163" t="str">
        <f>'IO Pad'!AY12</f>
        <v>ch1_tx_data[9]</v>
      </c>
    </row>
    <row r="13" spans="1:4">
      <c r="A13" s="151" t="s">
        <v>3103</v>
      </c>
      <c r="B13" s="163" t="str">
        <f>'IO Pad'!U13</f>
        <v>nf_data[3]</v>
      </c>
      <c r="C13" s="163" t="str">
        <f>'IO Pad'!Z13</f>
        <v>lte_rx_active</v>
      </c>
      <c r="D13" s="163" t="str">
        <f>'IO Pad'!AY13</f>
        <v>ch1_tx_data[10]</v>
      </c>
    </row>
    <row r="14" spans="1:4">
      <c r="A14" s="151" t="s">
        <v>3103</v>
      </c>
      <c r="B14" s="163" t="str">
        <f>'IO Pad'!U14</f>
        <v>nf_data[4]</v>
      </c>
      <c r="C14" s="163" t="str">
        <f>'IO Pad'!Z14</f>
        <v>lte_tx_active</v>
      </c>
      <c r="D14" s="163" t="str">
        <f>'IO Pad'!AY14</f>
        <v>ch1_tx_data[11]</v>
      </c>
    </row>
    <row r="15" spans="1:4">
      <c r="A15" s="151" t="s">
        <v>3103</v>
      </c>
      <c r="B15" s="163" t="str">
        <f>'IO Pad'!U15</f>
        <v>nf_data[5]</v>
      </c>
      <c r="C15" s="163" t="str">
        <f>'IO Pad'!Z15</f>
        <v>wlan_bt_ldo_en</v>
      </c>
      <c r="D15" s="163" t="str">
        <f>'IO Pad'!AY15</f>
        <v>ch1_tx_data[12]</v>
      </c>
    </row>
    <row r="16" spans="1:4">
      <c r="A16" s="151" t="s">
        <v>3103</v>
      </c>
      <c r="B16" s="163" t="str">
        <f>'IO Pad'!U16</f>
        <v>nf_data[6]</v>
      </c>
      <c r="C16" s="163" t="str">
        <f>'IO Pad'!Z16</f>
        <v>wlan_bt_rx_priority</v>
      </c>
      <c r="D16" s="163" t="str">
        <f>'IO Pad'!AY16</f>
        <v>ch1_tx_data[13]</v>
      </c>
    </row>
    <row r="17" spans="1:8">
      <c r="A17" s="151" t="s">
        <v>3103</v>
      </c>
      <c r="B17" s="163" t="str">
        <f>'IO Pad'!U17</f>
        <v>nf_data[7]</v>
      </c>
      <c r="C17" s="163" t="str">
        <f>'IO Pad'!Z17</f>
        <v>wlan_bt_tx_active</v>
      </c>
      <c r="D17" s="163" t="str">
        <f>'IO Pad'!AY17</f>
        <v>ch1_tx_vld</v>
      </c>
    </row>
    <row r="18" spans="1:8">
      <c r="A18" s="151" t="s">
        <v>3103</v>
      </c>
      <c r="B18" s="163" t="str">
        <f>'IO Pad'!U18</f>
        <v>gpio1[0]</v>
      </c>
      <c r="C18" s="163" t="str">
        <f>'IO Pad'!Z18</f>
        <v>nf_data[8]</v>
      </c>
      <c r="D18" s="163" t="str">
        <f>'IO Pad'!AE18</f>
        <v>nf_ce1_n</v>
      </c>
      <c r="E18" s="163" t="str">
        <f>'IO Pad'!AY18</f>
        <v>ch1_tx_clk</v>
      </c>
    </row>
    <row r="19" spans="1:8">
      <c r="A19" s="151"/>
    </row>
    <row r="20" spans="1:8">
      <c r="A20" s="151" t="s">
        <v>3103</v>
      </c>
      <c r="B20" s="163" t="str">
        <f>'IO Pad'!U20</f>
        <v>jtag_mode[0]</v>
      </c>
      <c r="C20" s="163" t="str">
        <f>'IO Pad'!Z20</f>
        <v>gpio1[1]</v>
      </c>
      <c r="D20" s="163" t="str">
        <f>'IO Pad'!AE20</f>
        <v>antpa_sel[25]</v>
      </c>
      <c r="E20" s="163" t="str">
        <f>'IO Pad'!AT20</f>
        <v>efusec_data_pad[20]</v>
      </c>
      <c r="F20" s="163" t="str">
        <f>'IO Pad'!AY20</f>
        <v>et_tx_data[4]</v>
      </c>
    </row>
    <row r="21" spans="1:8">
      <c r="A21" s="151" t="s">
        <v>3103</v>
      </c>
      <c r="B21" s="163" t="str">
        <f>'IO Pad'!U21</f>
        <v>jtag_mode[1]</v>
      </c>
      <c r="C21" s="163" t="str">
        <f>'IO Pad'!Z21</f>
        <v>gpio1[2]</v>
      </c>
      <c r="D21" s="163" t="str">
        <f>'IO Pad'!AE21</f>
        <v>antpa_sel[26]</v>
      </c>
      <c r="E21" s="163" t="str">
        <f>'IO Pad'!AT21</f>
        <v>efusec_data_pad[21]</v>
      </c>
      <c r="F21" s="163" t="str">
        <f>'IO Pad'!AY21</f>
        <v>et_tx_data[5]</v>
      </c>
    </row>
    <row r="22" spans="1:8">
      <c r="A22" s="151" t="s">
        <v>3103</v>
      </c>
      <c r="B22" s="163" t="str">
        <f>'IO Pad'!U22</f>
        <v>boot_mode[0]</v>
      </c>
      <c r="C22" s="163" t="str">
        <f>'IO Pad'!Z22</f>
        <v>gpio1[3]</v>
      </c>
      <c r="D22" s="163" t="str">
        <f>'IO Pad'!AE22</f>
        <v>antpa_sel[27]</v>
      </c>
      <c r="E22" s="163" t="str">
        <f>'IO Pad'!AT22</f>
        <v>pad_sel</v>
      </c>
      <c r="F22" s="163" t="str">
        <f>'IO Pad'!AY22</f>
        <v>et_tx_data[6]</v>
      </c>
    </row>
    <row r="23" spans="1:8">
      <c r="A23" s="151" t="s">
        <v>3103</v>
      </c>
      <c r="B23" s="163" t="str">
        <f>'IO Pad'!U23</f>
        <v>boot_mode[1]</v>
      </c>
      <c r="C23" s="163" t="str">
        <f>'IO Pad'!Z23</f>
        <v>gpio1[4]</v>
      </c>
      <c r="D23" s="163" t="str">
        <f>'IO Pad'!AE23</f>
        <v>antpa_sel[28]</v>
      </c>
      <c r="E23" s="163" t="str">
        <f>'IO Pad'!AT23</f>
        <v>efusec_rsb_pad</v>
      </c>
      <c r="F23" s="163" t="str">
        <f>'IO Pad'!AY23</f>
        <v>et_tx_vld</v>
      </c>
    </row>
    <row r="24" spans="1:8">
      <c r="A24" s="151" t="s">
        <v>3103</v>
      </c>
      <c r="B24" s="163" t="str">
        <f>'IO Pad'!U24</f>
        <v>boot_mode[2]</v>
      </c>
      <c r="C24" s="163" t="str">
        <f>'IO Pad'!Z24</f>
        <v>gpio1[5]</v>
      </c>
      <c r="D24" s="163" t="str">
        <f>'IO Pad'!AE24</f>
        <v>antpa_sel[29]</v>
      </c>
      <c r="E24" s="163" t="str">
        <f>'IO Pad'!AT24</f>
        <v>efusec_pgenb_pad</v>
      </c>
      <c r="F24" s="163" t="str">
        <f>'IO Pad'!AY24</f>
        <v>ch0_tx_en</v>
      </c>
    </row>
    <row r="25" spans="1:8">
      <c r="A25" s="151" t="s">
        <v>3103</v>
      </c>
      <c r="B25" s="163" t="str">
        <f>'IO Pad'!U25</f>
        <v>boot_mode[3]</v>
      </c>
      <c r="C25" s="163" t="str">
        <f>'IO Pad'!Z25</f>
        <v>gpio1[6]</v>
      </c>
      <c r="D25" s="163" t="str">
        <f>'IO Pad'!AE25</f>
        <v>antpa_sel[30]</v>
      </c>
      <c r="E25" s="163" t="str">
        <f>'IO Pad'!AT25</f>
        <v>efusec_csb_pad</v>
      </c>
      <c r="F25" s="163" t="str">
        <f>'IO Pad'!AY25</f>
        <v>ch1_tx_en</v>
      </c>
    </row>
    <row r="26" spans="1:8">
      <c r="A26" s="151"/>
    </row>
    <row r="27" spans="1:8">
      <c r="A27" s="151" t="s">
        <v>3103</v>
      </c>
      <c r="B27" s="163" t="str">
        <f>'IO Pad'!U27</f>
        <v>mmc0_clk</v>
      </c>
      <c r="C27" s="163" t="str">
        <f>'IO Pad'!Z27</f>
        <v>jtag1_rtck</v>
      </c>
      <c r="D27" s="163" t="str">
        <f>'IO Pad'!AE27</f>
        <v>pcm_clk</v>
      </c>
      <c r="E27" s="163" t="str">
        <f>'IO Pad'!AJ27</f>
        <v>gpio1[7]</v>
      </c>
      <c r="F27" s="163" t="str">
        <f>'IO Pad'!AO27</f>
        <v>antpa_sel[25]</v>
      </c>
      <c r="G27" s="163" t="str">
        <f>'IO Pad'!AY27</f>
        <v>ch0_tcxo_clk</v>
      </c>
    </row>
    <row r="28" spans="1:8">
      <c r="A28" s="151" t="s">
        <v>3103</v>
      </c>
      <c r="B28" s="163" t="str">
        <f>'IO Pad'!U28</f>
        <v>mmc0_cmd</v>
      </c>
      <c r="C28" s="163" t="str">
        <f>'IO Pad'!Z28</f>
        <v>jtag1_tck</v>
      </c>
      <c r="D28" s="163" t="str">
        <f>'IO Pad'!AE28</f>
        <v>pcm_sync</v>
      </c>
      <c r="E28" s="163" t="str">
        <f>'IO Pad'!AJ28</f>
        <v>gpio1[8]</v>
      </c>
      <c r="F28" s="163" t="str">
        <f>'IO Pad'!AO28</f>
        <v>antpa_sel[26]</v>
      </c>
      <c r="G28" s="163" t="str">
        <f>'IO Pad'!AT28</f>
        <v>efusec_addr_pad[6]</v>
      </c>
      <c r="H28" s="163" t="str">
        <f>'IO Pad'!AY28</f>
        <v>cfg_data[2]</v>
      </c>
    </row>
    <row r="29" spans="1:8">
      <c r="A29" s="151" t="s">
        <v>3103</v>
      </c>
      <c r="B29" s="163" t="str">
        <f>'IO Pad'!U29</f>
        <v>mmc0_data[0]</v>
      </c>
      <c r="C29" s="163" t="str">
        <f>'IO Pad'!Z29</f>
        <v>jtag1_trst_n</v>
      </c>
      <c r="D29" s="163" t="str">
        <f>'IO Pad'!AE29</f>
        <v>pcm_di</v>
      </c>
      <c r="E29" s="163" t="str">
        <f>'IO Pad'!AJ29</f>
        <v>gpio1[9]</v>
      </c>
      <c r="F29" s="163" t="str">
        <f>'IO Pad'!AO29</f>
        <v>antpa_sel[27]</v>
      </c>
      <c r="G29" s="163" t="str">
        <f>'IO Pad'!AT29</f>
        <v>efusec_addr_pad[7]</v>
      </c>
      <c r="H29" s="163" t="str">
        <f>'IO Pad'!AY29</f>
        <v>cfg_data[3]</v>
      </c>
    </row>
    <row r="30" spans="1:8">
      <c r="A30" s="151" t="s">
        <v>3103</v>
      </c>
      <c r="B30" s="163" t="str">
        <f>'IO Pad'!U30</f>
        <v>mmc0_data[1]</v>
      </c>
      <c r="C30" s="163" t="str">
        <f>'IO Pad'!Z30</f>
        <v>jtag1_tms</v>
      </c>
      <c r="D30" s="163" t="str">
        <f>'IO Pad'!AE30</f>
        <v>pcm_do</v>
      </c>
      <c r="E30" s="163" t="str">
        <f>'IO Pad'!AJ30</f>
        <v>gpio1[10]</v>
      </c>
      <c r="F30" s="163" t="str">
        <f>'IO Pad'!AO30</f>
        <v>antpa_sel[28]</v>
      </c>
      <c r="G30" s="163" t="str">
        <f>'IO Pad'!AT30</f>
        <v>efusec_addr_pad[8]</v>
      </c>
      <c r="H30" s="163" t="str">
        <f>'IO Pad'!AY30</f>
        <v>cfg_data[4]</v>
      </c>
    </row>
    <row r="31" spans="1:8">
      <c r="A31" s="151" t="s">
        <v>3103</v>
      </c>
      <c r="B31" s="163" t="str">
        <f>'IO Pad'!U31</f>
        <v>mmc0_data[2]</v>
      </c>
      <c r="C31" s="163" t="str">
        <f>'IO Pad'!Z31</f>
        <v>jtag1_tdi</v>
      </c>
      <c r="D31" s="163" t="str">
        <f>'IO Pad'!AJ31</f>
        <v>gpio1[11]</v>
      </c>
      <c r="E31" s="163" t="str">
        <f>'IO Pad'!AO31</f>
        <v>antpa_sel[29]</v>
      </c>
      <c r="F31" s="163" t="str">
        <f>'IO Pad'!AT31</f>
        <v>efusec_addr_pad[9]</v>
      </c>
      <c r="G31" s="163" t="str">
        <f>'IO Pad'!AY31</f>
        <v>cfg_data[5]</v>
      </c>
    </row>
    <row r="32" spans="1:8">
      <c r="A32" s="151" t="s">
        <v>3103</v>
      </c>
      <c r="B32" s="163" t="str">
        <f>'IO Pad'!U32</f>
        <v>mmc0_data[3]</v>
      </c>
      <c r="C32" s="163" t="str">
        <f>'IO Pad'!Z32</f>
        <v>jtag1_tdo</v>
      </c>
      <c r="D32" s="163" t="str">
        <f>'IO Pad'!AJ32</f>
        <v>gpio1[12]</v>
      </c>
      <c r="E32" s="163" t="str">
        <f>'IO Pad'!AO32</f>
        <v>antpa_sel[30]</v>
      </c>
      <c r="F32" s="163" t="str">
        <f>'IO Pad'!AY32</f>
        <v>cfg_data[6]</v>
      </c>
    </row>
    <row r="33" spans="1:22">
      <c r="A33" s="151" t="s">
        <v>3103</v>
      </c>
      <c r="B33" s="163" t="str">
        <f>'IO Pad'!U33</f>
        <v>mmc0_clk_fb_out</v>
      </c>
    </row>
    <row r="34" spans="1:22">
      <c r="A34" s="151" t="s">
        <v>3103</v>
      </c>
      <c r="B34" s="163" t="str">
        <f>'IO Pad'!U34</f>
        <v>mmc0_clk_fb_in</v>
      </c>
    </row>
    <row r="35" spans="1:22">
      <c r="A35" s="151"/>
    </row>
    <row r="36" spans="1:22">
      <c r="A36" s="151" t="s">
        <v>3103</v>
      </c>
      <c r="B36" s="163" t="str">
        <f>'IO Pad'!U36</f>
        <v>jtag0_tck</v>
      </c>
      <c r="C36" s="163" t="str">
        <f>'IO Pad'!AY36</f>
        <v>abb_rst_n</v>
      </c>
    </row>
    <row r="37" spans="1:22">
      <c r="A37" s="151" t="s">
        <v>3103</v>
      </c>
      <c r="B37" s="163" t="str">
        <f>'IO Pad'!U37</f>
        <v>jtag0_rtck</v>
      </c>
    </row>
    <row r="38" spans="1:22">
      <c r="A38" s="151" t="s">
        <v>3103</v>
      </c>
      <c r="B38" s="163" t="str">
        <f>'IO Pad'!U38</f>
        <v>jtag0_trst_n</v>
      </c>
      <c r="C38" s="163" t="str">
        <f>'IO Pad'!AY38</f>
        <v>ch1_line_ctrl_mode[0]</v>
      </c>
    </row>
    <row r="39" spans="1:22">
      <c r="A39" s="151" t="s">
        <v>3103</v>
      </c>
      <c r="B39" s="163" t="str">
        <f>'IO Pad'!U39</f>
        <v>jtag0_tms</v>
      </c>
      <c r="C39" s="163" t="str">
        <f>'IO Pad'!AY39</f>
        <v>ch1_line_ctrl_mode[1]</v>
      </c>
    </row>
    <row r="40" spans="1:22">
      <c r="A40" s="151" t="s">
        <v>3103</v>
      </c>
      <c r="B40" s="163" t="str">
        <f>'IO Pad'!U40</f>
        <v>jtag0_tdi</v>
      </c>
      <c r="C40" s="163" t="str">
        <f>'IO Pad'!AY40</f>
        <v>ch1_line_ctrl_mode[2]</v>
      </c>
    </row>
    <row r="41" spans="1:22">
      <c r="A41" s="151" t="s">
        <v>3103</v>
      </c>
      <c r="B41" s="163" t="str">
        <f>'IO Pad'!U41</f>
        <v>jtag0_tdo</v>
      </c>
    </row>
    <row r="42" spans="1:22">
      <c r="A42" s="151"/>
    </row>
    <row r="43" spans="1:22">
      <c r="A43" s="151" t="s">
        <v>3103</v>
      </c>
      <c r="B43" s="163" t="str">
        <f>'IO Pad'!U43</f>
        <v>gpio2[16]</v>
      </c>
      <c r="C43" s="163" t="str">
        <f>'IO Pad'!Z43</f>
        <v>uart1_txd</v>
      </c>
      <c r="D43" s="163" t="str">
        <f>'IO Pad'!AE43</f>
        <v>lcd_cs_n</v>
      </c>
      <c r="E43" s="163" t="str">
        <f>'IO Pad'!AJ43</f>
        <v>i2c1_sda</v>
      </c>
      <c r="F43" s="163" t="str">
        <f>'IO Pad'!AO43</f>
        <v>ptm_clk</v>
      </c>
      <c r="G43" s="163" t="str">
        <f>'IO Pad'!AT43</f>
        <v>efusec_data_pad[22]</v>
      </c>
      <c r="H43" s="163" t="str">
        <f>'IO Pad'!AY43</f>
        <v>cfg_clk</v>
      </c>
      <c r="I43" s="163" t="str">
        <f>'IO Pad'!BD43</f>
        <v>test_usb0[0]</v>
      </c>
      <c r="J43" s="163" t="str">
        <f>'IO Pad'!BI43</f>
        <v>test_usb1[0]</v>
      </c>
      <c r="K43" s="163" t="str">
        <f>'IO Pad'!BN43</f>
        <v>test_usb2[0]</v>
      </c>
      <c r="L43" s="163" t="str">
        <f>'IO Pad'!BS43</f>
        <v>test_usb3[0]</v>
      </c>
      <c r="M43" s="163" t="str">
        <f>'IO Pad'!BX43</f>
        <v>test_hsic0[0]</v>
      </c>
      <c r="N43" s="163" t="str">
        <f>'IO Pad'!CC43</f>
        <v>test_hsic1[0]</v>
      </c>
      <c r="O43" s="163" t="str">
        <f>'IO Pad'!CH43</f>
        <v>test_abb0[0]</v>
      </c>
      <c r="P43" s="163" t="str">
        <f>'IO Pad'!CM43</f>
        <v>test_abb1[0]</v>
      </c>
      <c r="Q43" s="163" t="str">
        <f>'IO Pad'!CR43</f>
        <v>test_abb2[0]</v>
      </c>
      <c r="R43" s="163" t="str">
        <f>'IO Pad'!CW43</f>
        <v>test_abb3[0]</v>
      </c>
      <c r="S43" s="163" t="str">
        <f>'IO Pad'!DB43</f>
        <v>test_clk[0]</v>
      </c>
      <c r="T43" s="163" t="str">
        <f>'IO Pad'!DG43</f>
        <v>test_sys0[0]</v>
      </c>
      <c r="U43" s="163" t="str">
        <f>'IO Pad'!DL43</f>
        <v>test_sys1[0]</v>
      </c>
      <c r="V43" s="163" t="str">
        <f>'IO Pad'!DQ43</f>
        <v>test_pcie[0]</v>
      </c>
    </row>
    <row r="44" spans="1:22">
      <c r="A44" s="151" t="s">
        <v>3103</v>
      </c>
      <c r="B44" s="163" t="str">
        <f>'IO Pad'!U44</f>
        <v>gpio2[17]</v>
      </c>
      <c r="C44" s="163" t="str">
        <f>'IO Pad'!Z44</f>
        <v>uart1_rxd</v>
      </c>
      <c r="D44" s="163" t="str">
        <f>'IO Pad'!AE44</f>
        <v>lcd_rst_n</v>
      </c>
      <c r="E44" s="163" t="str">
        <f>'IO Pad'!AJ44</f>
        <v>i2c1_scl</v>
      </c>
      <c r="F44" s="163" t="str">
        <f>'IO Pad'!AO44</f>
        <v>ptm_ctl</v>
      </c>
      <c r="G44" s="163" t="str">
        <f>'IO Pad'!AT44</f>
        <v>efusec_data_pad[23]</v>
      </c>
      <c r="H44" s="163" t="str">
        <f>'IO Pad'!AY44</f>
        <v>cfg_en</v>
      </c>
      <c r="I44" s="163" t="str">
        <f>'IO Pad'!BD44</f>
        <v>test_usb0[1]</v>
      </c>
      <c r="J44" s="163" t="str">
        <f>'IO Pad'!BI44</f>
        <v>test_usb1[1]</v>
      </c>
      <c r="K44" s="163" t="str">
        <f>'IO Pad'!BN44</f>
        <v>test_usb2[1]</v>
      </c>
      <c r="L44" s="163" t="str">
        <f>'IO Pad'!BS44</f>
        <v>test_usb3[1]</v>
      </c>
      <c r="M44" s="163" t="str">
        <f>'IO Pad'!BX44</f>
        <v>test_hsic0[1]</v>
      </c>
      <c r="N44" s="163" t="str">
        <f>'IO Pad'!CC44</f>
        <v>test_hsic1[1]</v>
      </c>
      <c r="O44" s="163" t="str">
        <f>'IO Pad'!CH44</f>
        <v>test_abb0[1]</v>
      </c>
      <c r="P44" s="163" t="str">
        <f>'IO Pad'!CM44</f>
        <v>test_abb1[1]</v>
      </c>
      <c r="Q44" s="163" t="str">
        <f>'IO Pad'!CR44</f>
        <v>test_abb2[1]</v>
      </c>
      <c r="R44" s="163" t="str">
        <f>'IO Pad'!CW44</f>
        <v>test_abb3[1]</v>
      </c>
      <c r="S44" s="163" t="str">
        <f>'IO Pad'!DB44</f>
        <v>test_clk[1]</v>
      </c>
      <c r="T44" s="163" t="str">
        <f>'IO Pad'!DG44</f>
        <v>test_sys0[1]</v>
      </c>
      <c r="U44" s="163" t="str">
        <f>'IO Pad'!DL44</f>
        <v>test_sys1[1]</v>
      </c>
      <c r="V44" s="163" t="str">
        <f>'IO Pad'!DQ44</f>
        <v>test_pcie[1]</v>
      </c>
    </row>
    <row r="45" spans="1:22">
      <c r="A45" s="151" t="s">
        <v>3103</v>
      </c>
      <c r="B45" s="163" t="str">
        <f>'IO Pad'!U45</f>
        <v>gpio2[18]</v>
      </c>
      <c r="C45" s="163" t="str">
        <f>'IO Pad'!Z45</f>
        <v>uart2_txd</v>
      </c>
      <c r="D45" s="163" t="str">
        <f>'IO Pad'!AE45</f>
        <v>hs_uart_rts_n</v>
      </c>
      <c r="E45" s="163" t="str">
        <f>'IO Pad'!AJ45</f>
        <v>spi0_cs0_n</v>
      </c>
      <c r="F45" s="163" t="str">
        <f>'IO Pad'!AO45</f>
        <v>ptm_do[0]</v>
      </c>
      <c r="G45" s="163" t="str">
        <f>'IO Pad'!AT45</f>
        <v>efusec_data_pad[24]</v>
      </c>
      <c r="H45" s="163" t="str">
        <f>'IO Pad'!AY45</f>
        <v>cfg_rw</v>
      </c>
      <c r="I45" s="163" t="str">
        <f>'IO Pad'!BD45</f>
        <v>test_usb0[2]</v>
      </c>
      <c r="J45" s="163" t="str">
        <f>'IO Pad'!BI45</f>
        <v>test_usb1[2]</v>
      </c>
      <c r="K45" s="163" t="str">
        <f>'IO Pad'!BN45</f>
        <v>test_usb2[2]</v>
      </c>
      <c r="L45" s="163" t="str">
        <f>'IO Pad'!BS45</f>
        <v>test_usb3[2]</v>
      </c>
      <c r="M45" s="163" t="str">
        <f>'IO Pad'!BX45</f>
        <v>test_hsic0[2]</v>
      </c>
      <c r="N45" s="163" t="str">
        <f>'IO Pad'!CC45</f>
        <v>test_hsic1[2]</v>
      </c>
      <c r="O45" s="163" t="str">
        <f>'IO Pad'!CH45</f>
        <v>test_abb0[2]</v>
      </c>
      <c r="P45" s="163" t="str">
        <f>'IO Pad'!CM45</f>
        <v>test_abb1[2]</v>
      </c>
      <c r="Q45" s="163" t="str">
        <f>'IO Pad'!CR45</f>
        <v>test_abb2[2]</v>
      </c>
      <c r="R45" s="163" t="str">
        <f>'IO Pad'!CW45</f>
        <v>test_abb3[2]</v>
      </c>
      <c r="S45" s="163" t="str">
        <f>'IO Pad'!DB45</f>
        <v>test_clk[2]</v>
      </c>
      <c r="T45" s="163" t="str">
        <f>'IO Pad'!DG45</f>
        <v>test_sys0[2]</v>
      </c>
      <c r="U45" s="163" t="str">
        <f>'IO Pad'!DL45</f>
        <v>test_sys1[2]</v>
      </c>
      <c r="V45" s="163" t="str">
        <f>'IO Pad'!DQ45</f>
        <v>test_pcie[2]</v>
      </c>
    </row>
    <row r="46" spans="1:22">
      <c r="A46" s="151" t="s">
        <v>3103</v>
      </c>
      <c r="B46" s="163" t="str">
        <f>'IO Pad'!U46</f>
        <v>gpio2[19]</v>
      </c>
      <c r="C46" s="163" t="str">
        <f>'IO Pad'!Z46</f>
        <v>uart2_rxd</v>
      </c>
      <c r="D46" s="163" t="str">
        <f>'IO Pad'!AE46</f>
        <v>hs_uart_cts_n</v>
      </c>
      <c r="E46" s="163" t="str">
        <f>'IO Pad'!AJ46</f>
        <v>spi0_clk</v>
      </c>
      <c r="F46" s="163" t="str">
        <f>'IO Pad'!AO46</f>
        <v>ptm_do[1]</v>
      </c>
      <c r="G46" s="163" t="str">
        <f>'IO Pad'!AT46</f>
        <v>efusec_data_pad[25]</v>
      </c>
      <c r="H46" s="163" t="str">
        <f>'IO Pad'!AY46</f>
        <v>cfg_addr[0]</v>
      </c>
      <c r="I46" s="163" t="str">
        <f>'IO Pad'!BD46</f>
        <v>test_usb0[3]</v>
      </c>
      <c r="J46" s="163" t="str">
        <f>'IO Pad'!BI46</f>
        <v>test_usb1[3]</v>
      </c>
      <c r="K46" s="163" t="str">
        <f>'IO Pad'!BN46</f>
        <v>test_usb2[3]</v>
      </c>
      <c r="L46" s="163" t="str">
        <f>'IO Pad'!BS46</f>
        <v>test_usb3[3]</v>
      </c>
      <c r="M46" s="163" t="str">
        <f>'IO Pad'!BX46</f>
        <v>test_hsic0[3]</v>
      </c>
      <c r="N46" s="163" t="str">
        <f>'IO Pad'!CC46</f>
        <v>test_hsic1[3]</v>
      </c>
      <c r="O46" s="163" t="str">
        <f>'IO Pad'!CH46</f>
        <v>test_abb0[3]</v>
      </c>
      <c r="P46" s="163" t="str">
        <f>'IO Pad'!CM46</f>
        <v>test_abb1[3]</v>
      </c>
      <c r="Q46" s="163" t="str">
        <f>'IO Pad'!CR46</f>
        <v>test_abb2[3]</v>
      </c>
      <c r="R46" s="163" t="str">
        <f>'IO Pad'!CW46</f>
        <v>test_abb3[3]</v>
      </c>
      <c r="S46" s="163" t="str">
        <f>'IO Pad'!DB46</f>
        <v>test_clk[3]</v>
      </c>
      <c r="T46" s="163" t="str">
        <f>'IO Pad'!DG46</f>
        <v>test_sys0[3]</v>
      </c>
      <c r="U46" s="163" t="str">
        <f>'IO Pad'!DL46</f>
        <v>test_sys1[3]</v>
      </c>
      <c r="V46" s="163" t="str">
        <f>'IO Pad'!DQ46</f>
        <v>test_pcie[3]</v>
      </c>
    </row>
    <row r="47" spans="1:22">
      <c r="A47" s="151" t="s">
        <v>3103</v>
      </c>
      <c r="B47" s="163" t="str">
        <f>'IO Pad'!U47</f>
        <v>gpio2[20]</v>
      </c>
      <c r="C47" s="163" t="str">
        <f>'IO Pad'!Z47</f>
        <v>uart3_txd</v>
      </c>
      <c r="D47" s="163" t="str">
        <f>'IO Pad'!AE47</f>
        <v>hs_uart_txd</v>
      </c>
      <c r="E47" s="163" t="str">
        <f>'IO Pad'!AJ47</f>
        <v>spi0_dio</v>
      </c>
      <c r="F47" s="163" t="str">
        <f>'IO Pad'!AO47</f>
        <v>ptm_do[2]</v>
      </c>
      <c r="G47" s="163" t="str">
        <f>'IO Pad'!AT47</f>
        <v>efusec_data_pad[26]</v>
      </c>
      <c r="H47" s="163" t="str">
        <f>'IO Pad'!AY47</f>
        <v>cfg_addr[1]</v>
      </c>
      <c r="I47" s="163" t="str">
        <f>'IO Pad'!BD47</f>
        <v>test_usb0[4]</v>
      </c>
      <c r="J47" s="163" t="str">
        <f>'IO Pad'!BI47</f>
        <v>test_usb1[4]</v>
      </c>
      <c r="K47" s="163" t="str">
        <f>'IO Pad'!BN47</f>
        <v>test_usb2[4]</v>
      </c>
      <c r="L47" s="163" t="str">
        <f>'IO Pad'!BS47</f>
        <v>test_usb3[4]</v>
      </c>
      <c r="M47" s="163" t="str">
        <f>'IO Pad'!BX47</f>
        <v>test_hsic0[4]</v>
      </c>
      <c r="N47" s="163" t="str">
        <f>'IO Pad'!CC47</f>
        <v>test_hsic1[4]</v>
      </c>
      <c r="O47" s="163" t="str">
        <f>'IO Pad'!CH47</f>
        <v>test_abb0[4]</v>
      </c>
      <c r="P47" s="163" t="str">
        <f>'IO Pad'!CM47</f>
        <v>test_abb1[4]</v>
      </c>
      <c r="Q47" s="163" t="str">
        <f>'IO Pad'!CR47</f>
        <v>test_abb2[4]</v>
      </c>
      <c r="R47" s="163" t="str">
        <f>'IO Pad'!CW47</f>
        <v>test_abb3[4]</v>
      </c>
      <c r="S47" s="163" t="str">
        <f>'IO Pad'!DB47</f>
        <v>test_clk[4]</v>
      </c>
      <c r="T47" s="163" t="str">
        <f>'IO Pad'!DG47</f>
        <v>test_sys0[4]</v>
      </c>
      <c r="U47" s="163" t="str">
        <f>'IO Pad'!DL47</f>
        <v>test_sys1[4]</v>
      </c>
      <c r="V47" s="163" t="str">
        <f>'IO Pad'!DQ47</f>
        <v>test_pcie[4]</v>
      </c>
    </row>
    <row r="48" spans="1:22">
      <c r="A48" s="151" t="s">
        <v>3103</v>
      </c>
      <c r="B48" s="163" t="str">
        <f>'IO Pad'!U48</f>
        <v>gpio2[21]</v>
      </c>
      <c r="C48" s="163" t="str">
        <f>'IO Pad'!Z48</f>
        <v>uart3_rxd</v>
      </c>
      <c r="D48" s="163" t="str">
        <f>'IO Pad'!AE48</f>
        <v>hs_uart_rxd</v>
      </c>
      <c r="E48" s="163" t="str">
        <f>'IO Pad'!AJ48</f>
        <v>spi0_do</v>
      </c>
      <c r="F48" s="163" t="str">
        <f>'IO Pad'!AO48</f>
        <v>ptm_do[3]</v>
      </c>
      <c r="G48" s="163" t="str">
        <f>'IO Pad'!AT48</f>
        <v>efusec_data_pad[27]</v>
      </c>
      <c r="H48" s="163" t="str">
        <f>'IO Pad'!AY48</f>
        <v>cfg_addr[2]</v>
      </c>
      <c r="I48" s="163" t="str">
        <f>'IO Pad'!BD48</f>
        <v>test_usb0[5]</v>
      </c>
      <c r="J48" s="163" t="str">
        <f>'IO Pad'!BI48</f>
        <v>test_usb1[5]</v>
      </c>
      <c r="K48" s="163" t="str">
        <f>'IO Pad'!BN48</f>
        <v>test_usb2[5]</v>
      </c>
      <c r="L48" s="163" t="str">
        <f>'IO Pad'!BS48</f>
        <v>test_usb3[5]</v>
      </c>
      <c r="M48" s="163" t="str">
        <f>'IO Pad'!BX48</f>
        <v>test_hsic0[5]</v>
      </c>
      <c r="N48" s="163" t="str">
        <f>'IO Pad'!CC48</f>
        <v>test_hsic1[5]</v>
      </c>
      <c r="O48" s="163" t="str">
        <f>'IO Pad'!CH48</f>
        <v>test_abb0[5]</v>
      </c>
      <c r="P48" s="163" t="str">
        <f>'IO Pad'!CM48</f>
        <v>test_abb1[5]</v>
      </c>
      <c r="Q48" s="163" t="str">
        <f>'IO Pad'!CR48</f>
        <v>test_abb2[5]</v>
      </c>
      <c r="R48" s="163" t="str">
        <f>'IO Pad'!CW48</f>
        <v>test_abb3[5]</v>
      </c>
      <c r="S48" s="163" t="str">
        <f>'IO Pad'!DB48</f>
        <v>test_clk[5]</v>
      </c>
      <c r="T48" s="163" t="str">
        <f>'IO Pad'!DG48</f>
        <v>test_sys0[5]</v>
      </c>
      <c r="U48" s="163" t="str">
        <f>'IO Pad'!DL48</f>
        <v>test_sys1[5]</v>
      </c>
      <c r="V48" s="163" t="str">
        <f>'IO Pad'!DQ48</f>
        <v>test_pcie[5]</v>
      </c>
    </row>
    <row r="49" spans="1:22">
      <c r="A49" s="151" t="s">
        <v>3103</v>
      </c>
      <c r="B49" s="163" t="str">
        <f>'IO Pad'!U49</f>
        <v>gpio2[22]</v>
      </c>
      <c r="C49" s="163" t="str">
        <f>'IO Pad'!Z49</f>
        <v>i2c0_sda</v>
      </c>
      <c r="D49" s="163" t="str">
        <f>'IO Pad'!AE49</f>
        <v>uart2_txd</v>
      </c>
      <c r="E49" s="163" t="str">
        <f>'IO Pad'!AJ49</f>
        <v>spi0_cs1_n</v>
      </c>
      <c r="F49" s="163" t="str">
        <f>'IO Pad'!AO49</f>
        <v>ptm_do[4]</v>
      </c>
      <c r="G49" s="163" t="str">
        <f>'IO Pad'!AT49</f>
        <v>efusec_data_pad[28]</v>
      </c>
      <c r="H49" s="163" t="str">
        <f>'IO Pad'!AY49</f>
        <v>cfg_addr[3]</v>
      </c>
      <c r="I49" s="163" t="str">
        <f>'IO Pad'!BD49</f>
        <v>test_usb0[6]</v>
      </c>
      <c r="J49" s="163" t="str">
        <f>'IO Pad'!BI49</f>
        <v>test_usb1[6]</v>
      </c>
      <c r="K49" s="163" t="str">
        <f>'IO Pad'!BN49</f>
        <v>test_usb2[6]</v>
      </c>
      <c r="L49" s="163" t="str">
        <f>'IO Pad'!BS49</f>
        <v>test_usb3[6]</v>
      </c>
      <c r="M49" s="163" t="str">
        <f>'IO Pad'!BX49</f>
        <v>test_hsic0[6]</v>
      </c>
      <c r="N49" s="163" t="str">
        <f>'IO Pad'!CC49</f>
        <v>test_hsic1[6]</v>
      </c>
      <c r="O49" s="163" t="str">
        <f>'IO Pad'!CH49</f>
        <v>test_abb0[6]</v>
      </c>
      <c r="P49" s="163" t="str">
        <f>'IO Pad'!CM49</f>
        <v>test_abb1[6]</v>
      </c>
      <c r="Q49" s="163" t="str">
        <f>'IO Pad'!CR49</f>
        <v>test_abb2[6]</v>
      </c>
      <c r="R49" s="163" t="str">
        <f>'IO Pad'!CW49</f>
        <v>test_abb3[6]</v>
      </c>
      <c r="S49" s="163" t="str">
        <f>'IO Pad'!DB49</f>
        <v>test_clk[6]</v>
      </c>
      <c r="T49" s="163" t="str">
        <f>'IO Pad'!DG49</f>
        <v>test_sys0[6]</v>
      </c>
      <c r="U49" s="163" t="str">
        <f>'IO Pad'!DL49</f>
        <v>test_sys1[6]</v>
      </c>
      <c r="V49" s="163" t="str">
        <f>'IO Pad'!DQ49</f>
        <v>test_pcie[6]</v>
      </c>
    </row>
    <row r="50" spans="1:22">
      <c r="A50" s="151" t="s">
        <v>3103</v>
      </c>
      <c r="B50" s="163" t="str">
        <f>'IO Pad'!U50</f>
        <v>gpio2[23]</v>
      </c>
      <c r="C50" s="163" t="str">
        <f>'IO Pad'!Z50</f>
        <v>i2c0_scl</v>
      </c>
      <c r="D50" s="163" t="str">
        <f>'IO Pad'!AE50</f>
        <v>uart2_rxd</v>
      </c>
      <c r="E50" s="163" t="str">
        <f>'IO Pad'!AJ50</f>
        <v>spi1_cs1_n</v>
      </c>
      <c r="F50" s="163" t="str">
        <f>'IO Pad'!AO50</f>
        <v>ptm_do[5]</v>
      </c>
      <c r="G50" s="163" t="str">
        <f>'IO Pad'!AT50</f>
        <v>efusec_data_pad[29]</v>
      </c>
      <c r="H50" s="163" t="str">
        <f>'IO Pad'!AY50</f>
        <v>cfg_addr[4]</v>
      </c>
      <c r="I50" s="163" t="str">
        <f>'IO Pad'!BD50</f>
        <v>test_usb0[7]</v>
      </c>
      <c r="J50" s="163" t="str">
        <f>'IO Pad'!BI50</f>
        <v>test_usb1[7]</v>
      </c>
      <c r="K50" s="163" t="str">
        <f>'IO Pad'!BN50</f>
        <v>test_usb2[7]</v>
      </c>
      <c r="L50" s="163" t="str">
        <f>'IO Pad'!BS50</f>
        <v>test_usb3[7]</v>
      </c>
      <c r="M50" s="163" t="str">
        <f>'IO Pad'!BX50</f>
        <v>test_hsic0[7]</v>
      </c>
      <c r="N50" s="163" t="str">
        <f>'IO Pad'!CC50</f>
        <v>test_hsic1[7]</v>
      </c>
      <c r="O50" s="163" t="str">
        <f>'IO Pad'!CH50</f>
        <v>test_abb0[7]</v>
      </c>
      <c r="P50" s="163" t="str">
        <f>'IO Pad'!CM50</f>
        <v>test_abb1[7]</v>
      </c>
      <c r="Q50" s="163" t="str">
        <f>'IO Pad'!CR50</f>
        <v>test_abb2[7]</v>
      </c>
      <c r="R50" s="163" t="str">
        <f>'IO Pad'!CW50</f>
        <v>test_abb3[7]</v>
      </c>
      <c r="S50" s="163" t="str">
        <f>'IO Pad'!DB50</f>
        <v>test_clk[7]</v>
      </c>
      <c r="T50" s="163" t="str">
        <f>'IO Pad'!DG50</f>
        <v>test_sys0[7]</v>
      </c>
      <c r="U50" s="163" t="str">
        <f>'IO Pad'!DL50</f>
        <v>test_sys1[7]</v>
      </c>
      <c r="V50" s="163" t="str">
        <f>'IO Pad'!DQ50</f>
        <v>test_pcie[7]</v>
      </c>
    </row>
    <row r="51" spans="1:22">
      <c r="A51" s="151" t="s">
        <v>3103</v>
      </c>
      <c r="B51" s="163" t="str">
        <f>'IO Pad'!U51</f>
        <v>gpio2[24]</v>
      </c>
      <c r="C51" s="163" t="str">
        <f>'IO Pad'!Z51</f>
        <v>pcm_clk</v>
      </c>
      <c r="D51" s="163" t="str">
        <f>'IO Pad'!AE51</f>
        <v>spi0_cs1_n</v>
      </c>
      <c r="E51" s="163" t="str">
        <f>'IO Pad'!AJ51</f>
        <v>antpa_sel[21]</v>
      </c>
      <c r="F51" s="163" t="str">
        <f>'IO Pad'!AO51</f>
        <v>ptm_do[6]</v>
      </c>
      <c r="G51" s="163" t="str">
        <f>'IO Pad'!AT51</f>
        <v>efusec_data_pad[30]</v>
      </c>
      <c r="H51" s="163" t="str">
        <f>'IO Pad'!AY51</f>
        <v>cfg_addr[5]</v>
      </c>
      <c r="I51" s="163" t="str">
        <f>'IO Pad'!BD51</f>
        <v>test_usb0[8]</v>
      </c>
      <c r="J51" s="163" t="str">
        <f>'IO Pad'!BI51</f>
        <v>test_usb1[8]</v>
      </c>
      <c r="K51" s="163" t="str">
        <f>'IO Pad'!BN51</f>
        <v>test_usb2[8]</v>
      </c>
      <c r="L51" s="163" t="str">
        <f>'IO Pad'!BS51</f>
        <v>test_usb3[8]</v>
      </c>
      <c r="M51" s="163" t="str">
        <f>'IO Pad'!BX51</f>
        <v>test_hsic0[8]</v>
      </c>
      <c r="N51" s="163" t="str">
        <f>'IO Pad'!CC51</f>
        <v>test_hsic1[8]</v>
      </c>
      <c r="O51" s="163" t="str">
        <f>'IO Pad'!CH51</f>
        <v>test_abb0[8]</v>
      </c>
      <c r="P51" s="163" t="str">
        <f>'IO Pad'!CM51</f>
        <v>test_abb1[8]</v>
      </c>
      <c r="Q51" s="163" t="str">
        <f>'IO Pad'!CR51</f>
        <v>test_abb2[8]</v>
      </c>
      <c r="R51" s="163" t="str">
        <f>'IO Pad'!CW51</f>
        <v>test_abb3[8]</v>
      </c>
      <c r="S51" s="163" t="str">
        <f>'IO Pad'!DB51</f>
        <v>test_clk[8]</v>
      </c>
      <c r="T51" s="163" t="str">
        <f>'IO Pad'!DG51</f>
        <v>test_sys0[8]</v>
      </c>
      <c r="U51" s="163" t="str">
        <f>'IO Pad'!DL51</f>
        <v>test_sys1[8]</v>
      </c>
      <c r="V51" s="163" t="str">
        <f>'IO Pad'!DQ51</f>
        <v>test_pcie[8]</v>
      </c>
    </row>
    <row r="52" spans="1:22">
      <c r="A52" s="151" t="s">
        <v>3103</v>
      </c>
      <c r="B52" s="163" t="str">
        <f>'IO Pad'!U52</f>
        <v>gpio2[25]</v>
      </c>
      <c r="C52" s="163" t="str">
        <f>'IO Pad'!Z52</f>
        <v>pcm_sync</v>
      </c>
      <c r="D52" s="163" t="str">
        <f>'IO Pad'!AE52</f>
        <v>spi1_cs1_n</v>
      </c>
      <c r="E52" s="163" t="str">
        <f>'IO Pad'!AJ52</f>
        <v>antpa_sel[22]</v>
      </c>
      <c r="F52" s="163" t="str">
        <f>'IO Pad'!AO52</f>
        <v>ptm_do[7]</v>
      </c>
      <c r="G52" s="163" t="str">
        <f>'IO Pad'!AT52</f>
        <v>efusec_data_pad[31]</v>
      </c>
      <c r="H52" s="163" t="str">
        <f>'IO Pad'!AY52</f>
        <v>cfg_addr[6]</v>
      </c>
      <c r="I52" s="163" t="str">
        <f>'IO Pad'!BD52</f>
        <v>test_usb0[9]</v>
      </c>
      <c r="J52" s="163" t="str">
        <f>'IO Pad'!BI52</f>
        <v>test_usb1[9]</v>
      </c>
      <c r="K52" s="163" t="str">
        <f>'IO Pad'!BN52</f>
        <v>test_usb2[9]</v>
      </c>
      <c r="L52" s="163" t="str">
        <f>'IO Pad'!BS52</f>
        <v>test_usb3[9]</v>
      </c>
      <c r="M52" s="163" t="str">
        <f>'IO Pad'!BX52</f>
        <v>test_hsic0[9]</v>
      </c>
      <c r="N52" s="163" t="str">
        <f>'IO Pad'!CC52</f>
        <v>test_hsic1[9]</v>
      </c>
      <c r="O52" s="163" t="str">
        <f>'IO Pad'!CH52</f>
        <v>test_abb0[9]</v>
      </c>
      <c r="P52" s="163" t="str">
        <f>'IO Pad'!CM52</f>
        <v>test_abb1[9]</v>
      </c>
      <c r="Q52" s="163" t="str">
        <f>'IO Pad'!CR52</f>
        <v>test_abb2[9]</v>
      </c>
      <c r="R52" s="163" t="str">
        <f>'IO Pad'!CW52</f>
        <v>test_abb3[9]</v>
      </c>
      <c r="S52" s="163" t="str">
        <f>'IO Pad'!DB52</f>
        <v>test_clk[9]</v>
      </c>
      <c r="T52" s="163" t="str">
        <f>'IO Pad'!DG52</f>
        <v>test_sys0[9]</v>
      </c>
      <c r="U52" s="163" t="str">
        <f>'IO Pad'!DL52</f>
        <v>test_sys1[9]</v>
      </c>
      <c r="V52" s="163" t="str">
        <f>'IO Pad'!DQ52</f>
        <v>test_pcie[9]</v>
      </c>
    </row>
    <row r="53" spans="1:22">
      <c r="A53" s="151" t="s">
        <v>3103</v>
      </c>
      <c r="B53" s="163" t="str">
        <f>'IO Pad'!U53</f>
        <v>gpio2[26]</v>
      </c>
      <c r="C53" s="163" t="str">
        <f>'IO Pad'!Z53</f>
        <v>pcm_do</v>
      </c>
      <c r="D53" s="163" t="str">
        <f>'IO Pad'!AE53</f>
        <v>i2c1_sda</v>
      </c>
      <c r="E53" s="163" t="str">
        <f>'IO Pad'!AJ53</f>
        <v>antpa_sel[23]</v>
      </c>
      <c r="F53" s="163" t="str">
        <f>'IO Pad'!AO53</f>
        <v>ptm_do[8]</v>
      </c>
      <c r="G53" s="163" t="str">
        <f>'IO Pad'!AT53</f>
        <v>efusec_addr_pad[0]</v>
      </c>
      <c r="H53" s="163" t="str">
        <f>'IO Pad'!AY53</f>
        <v>cfg_addr[7]</v>
      </c>
      <c r="I53" s="163" t="str">
        <f>'IO Pad'!BD53</f>
        <v>test_usb0[10]</v>
      </c>
      <c r="J53" s="163" t="str">
        <f>'IO Pad'!BI53</f>
        <v>test_usb1[10]</v>
      </c>
      <c r="K53" s="163" t="str">
        <f>'IO Pad'!BN53</f>
        <v>test_usb2[10]</v>
      </c>
      <c r="L53" s="163" t="str">
        <f>'IO Pad'!BS53</f>
        <v>test_usb3[10]</v>
      </c>
      <c r="M53" s="163" t="str">
        <f>'IO Pad'!BX53</f>
        <v>test_hsic0[10]</v>
      </c>
      <c r="N53" s="163" t="str">
        <f>'IO Pad'!CC53</f>
        <v>test_hsic1[10]</v>
      </c>
      <c r="O53" s="163" t="str">
        <f>'IO Pad'!CH53</f>
        <v>test_abb0[10]</v>
      </c>
      <c r="P53" s="163" t="str">
        <f>'IO Pad'!CM53</f>
        <v>test_abb1[10]</v>
      </c>
      <c r="Q53" s="163" t="str">
        <f>'IO Pad'!CR53</f>
        <v>test_abb2[10]</v>
      </c>
      <c r="R53" s="163" t="str">
        <f>'IO Pad'!CW53</f>
        <v>test_abb3[10]</v>
      </c>
      <c r="S53" s="163" t="str">
        <f>'IO Pad'!DB53</f>
        <v>test_clk[10]</v>
      </c>
      <c r="T53" s="163" t="str">
        <f>'IO Pad'!DG53</f>
        <v>test_sys0[10]</v>
      </c>
      <c r="U53" s="163" t="str">
        <f>'IO Pad'!DL53</f>
        <v>test_sys1[10]</v>
      </c>
      <c r="V53" s="163" t="str">
        <f>'IO Pad'!DQ53</f>
        <v>test_pcie[10]</v>
      </c>
    </row>
    <row r="54" spans="1:22">
      <c r="A54" s="151" t="s">
        <v>3103</v>
      </c>
      <c r="B54" s="163" t="str">
        <f>'IO Pad'!U54</f>
        <v>gpio2[27]</v>
      </c>
      <c r="C54" s="163" t="str">
        <f>'IO Pad'!Z54</f>
        <v>pcm_di</v>
      </c>
      <c r="D54" s="163" t="str">
        <f>'IO Pad'!AE54</f>
        <v>i2c1_scl</v>
      </c>
      <c r="E54" s="163" t="str">
        <f>'IO Pad'!AJ54</f>
        <v>antpa_sel[24]</v>
      </c>
      <c r="F54" s="163" t="str">
        <f>'IO Pad'!AO54</f>
        <v>ptm_do[9]</v>
      </c>
      <c r="G54" s="163" t="str">
        <f>'IO Pad'!AT54</f>
        <v>efusec_addr_pad[1]</v>
      </c>
      <c r="H54" s="163" t="str">
        <f>'IO Pad'!AY54</f>
        <v>cfg_addr[8]</v>
      </c>
      <c r="I54" s="163" t="str">
        <f>'IO Pad'!BD54</f>
        <v>test_usb0[11]</v>
      </c>
      <c r="J54" s="163" t="str">
        <f>'IO Pad'!BI54</f>
        <v>test_usb1[11]</v>
      </c>
      <c r="K54" s="163" t="str">
        <f>'IO Pad'!BN54</f>
        <v>test_usb2[11]</v>
      </c>
      <c r="L54" s="163" t="str">
        <f>'IO Pad'!BS54</f>
        <v>test_usb3[11]</v>
      </c>
      <c r="M54" s="163" t="str">
        <f>'IO Pad'!BX54</f>
        <v>test_hsic0[11]</v>
      </c>
      <c r="N54" s="163" t="str">
        <f>'IO Pad'!CC54</f>
        <v>test_hsic1[11]</v>
      </c>
      <c r="O54" s="163" t="str">
        <f>'IO Pad'!CH54</f>
        <v>test_abb0[11]</v>
      </c>
      <c r="P54" s="163" t="str">
        <f>'IO Pad'!CM54</f>
        <v>test_abb1[11]</v>
      </c>
      <c r="Q54" s="163" t="str">
        <f>'IO Pad'!CR54</f>
        <v>test_abb2[11]</v>
      </c>
      <c r="R54" s="163" t="str">
        <f>'IO Pad'!CW54</f>
        <v>test_abb3[11]</v>
      </c>
      <c r="S54" s="163" t="str">
        <f>'IO Pad'!DB54</f>
        <v>test_clk[11]</v>
      </c>
      <c r="T54" s="163" t="str">
        <f>'IO Pad'!DG54</f>
        <v>test_sys0[11]</v>
      </c>
      <c r="U54" s="163" t="str">
        <f>'IO Pad'!DL54</f>
        <v>test_sys1[11]</v>
      </c>
      <c r="V54" s="163" t="str">
        <f>'IO Pad'!DQ54</f>
        <v>test_pcie[11]</v>
      </c>
    </row>
    <row r="55" spans="1:22">
      <c r="A55" s="151" t="s">
        <v>3103</v>
      </c>
      <c r="B55" s="163" t="str">
        <f>'IO Pad'!U55</f>
        <v>gpio2[28]</v>
      </c>
      <c r="C55" s="163" t="str">
        <f>'IO Pad'!Z55</f>
        <v>spi0_cs0_n</v>
      </c>
      <c r="D55" s="163" t="str">
        <f>'IO Pad'!AE55</f>
        <v>i2c0_sda</v>
      </c>
      <c r="E55" s="163" t="str">
        <f>'IO Pad'!AJ55</f>
        <v>wlan_bt_ldo_en</v>
      </c>
      <c r="F55" s="163" t="str">
        <f>'IO Pad'!AO55</f>
        <v>ptm_do[10]</v>
      </c>
      <c r="G55" s="163" t="str">
        <f>'IO Pad'!AT55</f>
        <v>efusec_addr_pad[2]</v>
      </c>
      <c r="H55" s="163" t="str">
        <f>'IO Pad'!AY55</f>
        <v>cfg_addr[9]</v>
      </c>
      <c r="I55" s="163" t="str">
        <f>'IO Pad'!BD55</f>
        <v>test_usb0[12]</v>
      </c>
      <c r="J55" s="163" t="str">
        <f>'IO Pad'!BI55</f>
        <v>test_usb1[12]</v>
      </c>
      <c r="K55" s="163" t="str">
        <f>'IO Pad'!BN55</f>
        <v>test_usb2[12]</v>
      </c>
      <c r="L55" s="163" t="str">
        <f>'IO Pad'!BS55</f>
        <v>test_usb3[12]</v>
      </c>
      <c r="M55" s="163" t="str">
        <f>'IO Pad'!BX55</f>
        <v>test_hsic0[12]</v>
      </c>
      <c r="N55" s="163" t="str">
        <f>'IO Pad'!CC55</f>
        <v>test_hsic1[12]</v>
      </c>
      <c r="O55" s="163" t="str">
        <f>'IO Pad'!CH55</f>
        <v>test_abb0[12]</v>
      </c>
      <c r="P55" s="163" t="str">
        <f>'IO Pad'!CM55</f>
        <v>test_abb1[12]</v>
      </c>
      <c r="Q55" s="163" t="str">
        <f>'IO Pad'!CR55</f>
        <v>test_abb2[12]</v>
      </c>
      <c r="R55" s="163" t="str">
        <f>'IO Pad'!CW55</f>
        <v>test_abb3[12]</v>
      </c>
      <c r="S55" s="163" t="str">
        <f>'IO Pad'!DB55</f>
        <v>test_clk[12]</v>
      </c>
      <c r="T55" s="163" t="str">
        <f>'IO Pad'!DG55</f>
        <v>test_sys0[12]</v>
      </c>
      <c r="U55" s="163" t="str">
        <f>'IO Pad'!DL55</f>
        <v>test_sys1[12]</v>
      </c>
      <c r="V55" s="163" t="str">
        <f>'IO Pad'!DQ55</f>
        <v>test_pcie[12]</v>
      </c>
    </row>
    <row r="56" spans="1:22">
      <c r="A56" s="151" t="s">
        <v>3103</v>
      </c>
      <c r="B56" s="163" t="str">
        <f>'IO Pad'!U56</f>
        <v>gpio2[29]</v>
      </c>
      <c r="C56" s="163" t="str">
        <f>'IO Pad'!Z56</f>
        <v>spi0_clk</v>
      </c>
      <c r="D56" s="163" t="str">
        <f>'IO Pad'!AE56</f>
        <v>i2c0_scl</v>
      </c>
      <c r="E56" s="163" t="str">
        <f>'IO Pad'!AJ56</f>
        <v>wlan_bt_tx_active</v>
      </c>
      <c r="F56" s="163" t="str">
        <f>'IO Pad'!AO56</f>
        <v>ptm_do[11]</v>
      </c>
      <c r="G56" s="163" t="str">
        <f>'IO Pad'!AT56</f>
        <v>efusec_addr_pad[3]</v>
      </c>
      <c r="H56" s="163" t="str">
        <f>'IO Pad'!AY56</f>
        <v>cfg_addr[10]</v>
      </c>
      <c r="I56" s="163" t="str">
        <f>'IO Pad'!BD56</f>
        <v>test_usb0[13]</v>
      </c>
      <c r="J56" s="163" t="str">
        <f>'IO Pad'!BI56</f>
        <v>test_usb1[13]</v>
      </c>
      <c r="K56" s="163" t="str">
        <f>'IO Pad'!BN56</f>
        <v>test_usb2[13]</v>
      </c>
      <c r="L56" s="163" t="str">
        <f>'IO Pad'!BS56</f>
        <v>test_usb3[13]</v>
      </c>
      <c r="M56" s="163" t="str">
        <f>'IO Pad'!BX56</f>
        <v>test_hsic0[13]</v>
      </c>
      <c r="N56" s="163" t="str">
        <f>'IO Pad'!CC56</f>
        <v>test_hsic1[13]</v>
      </c>
      <c r="O56" s="163" t="str">
        <f>'IO Pad'!CH56</f>
        <v>test_abb0[13]</v>
      </c>
      <c r="P56" s="163" t="str">
        <f>'IO Pad'!CM56</f>
        <v>test_abb1[13]</v>
      </c>
      <c r="Q56" s="163" t="str">
        <f>'IO Pad'!CR56</f>
        <v>test_abb2[13]</v>
      </c>
      <c r="R56" s="163" t="str">
        <f>'IO Pad'!CW56</f>
        <v>test_abb3[13]</v>
      </c>
      <c r="S56" s="163" t="str">
        <f>'IO Pad'!DB56</f>
        <v>test_clk[13]</v>
      </c>
      <c r="T56" s="163" t="str">
        <f>'IO Pad'!DG56</f>
        <v>test_sys0[13]</v>
      </c>
      <c r="U56" s="163" t="str">
        <f>'IO Pad'!DL56</f>
        <v>test_sys1[13]</v>
      </c>
      <c r="V56" s="163" t="str">
        <f>'IO Pad'!DQ56</f>
        <v>test_pcie[13]</v>
      </c>
    </row>
    <row r="57" spans="1:22">
      <c r="A57" s="151" t="s">
        <v>3103</v>
      </c>
      <c r="B57" s="163" t="str">
        <f>'IO Pad'!U57</f>
        <v>gpio2[30]</v>
      </c>
      <c r="C57" s="163" t="str">
        <f>'IO Pad'!Z57</f>
        <v>spi0_dio</v>
      </c>
      <c r="D57" s="163" t="str">
        <f>'IO Pad'!AE57</f>
        <v>gp_pwm1</v>
      </c>
      <c r="E57" s="163" t="str">
        <f>'IO Pad'!AJ57</f>
        <v>lte_tx_active</v>
      </c>
      <c r="F57" s="163" t="str">
        <f>'IO Pad'!AO57</f>
        <v>ptm_do[12]</v>
      </c>
      <c r="G57" s="163" t="str">
        <f>'IO Pad'!AT57</f>
        <v>efusec_addr_pad[4]</v>
      </c>
      <c r="H57" s="163" t="str">
        <f>'IO Pad'!AY57</f>
        <v>cfg_data[0]</v>
      </c>
      <c r="I57" s="163" t="str">
        <f>'IO Pad'!BD57</f>
        <v>test_usb0[14]</v>
      </c>
      <c r="J57" s="163" t="str">
        <f>'IO Pad'!BI57</f>
        <v>test_usb1[14]</v>
      </c>
      <c r="K57" s="163" t="str">
        <f>'IO Pad'!BN57</f>
        <v>test_usb2[14]</v>
      </c>
      <c r="L57" s="163" t="str">
        <f>'IO Pad'!BS57</f>
        <v>test_usb3[14]</v>
      </c>
      <c r="M57" s="163" t="str">
        <f>'IO Pad'!BX57</f>
        <v>test_hsic0[14]</v>
      </c>
      <c r="N57" s="163" t="str">
        <f>'IO Pad'!CC57</f>
        <v>test_hsic1[14]</v>
      </c>
      <c r="O57" s="163" t="str">
        <f>'IO Pad'!CH57</f>
        <v>test_abb0[14]</v>
      </c>
      <c r="P57" s="163" t="str">
        <f>'IO Pad'!CM57</f>
        <v>test_abb1[14]</v>
      </c>
      <c r="Q57" s="163" t="str">
        <f>'IO Pad'!CR57</f>
        <v>test_abb2[14]</v>
      </c>
      <c r="R57" s="163" t="str">
        <f>'IO Pad'!CW57</f>
        <v>test_abb3[14]</v>
      </c>
      <c r="S57" s="163" t="str">
        <f>'IO Pad'!DB57</f>
        <v>test_clk[14]</v>
      </c>
      <c r="T57" s="163" t="str">
        <f>'IO Pad'!DG57</f>
        <v>test_sys0[14]</v>
      </c>
      <c r="U57" s="163" t="str">
        <f>'IO Pad'!DL57</f>
        <v>test_sys1[14]</v>
      </c>
      <c r="V57" s="163" t="str">
        <f>'IO Pad'!DQ57</f>
        <v>test_pcie[14]</v>
      </c>
    </row>
    <row r="58" spans="1:22">
      <c r="A58" s="151" t="s">
        <v>3103</v>
      </c>
      <c r="B58" s="163" t="str">
        <f>'IO Pad'!U58</f>
        <v>gpio2[31]</v>
      </c>
      <c r="C58" s="163" t="str">
        <f>'IO Pad'!Z58</f>
        <v>spi0_do</v>
      </c>
      <c r="D58" s="163" t="str">
        <f>'IO Pad'!AE58</f>
        <v>gp_pwm2</v>
      </c>
      <c r="E58" s="163" t="str">
        <f>'IO Pad'!AO58</f>
        <v>ptm_do[13]</v>
      </c>
      <c r="F58" s="163" t="str">
        <f>'IO Pad'!AT58</f>
        <v>efusec_addr_pad[5]</v>
      </c>
      <c r="G58" s="163" t="str">
        <f>'IO Pad'!AY58</f>
        <v>cfg_data[1]</v>
      </c>
      <c r="H58" s="163" t="str">
        <f>'IO Pad'!BD58</f>
        <v>test_usb0[15]</v>
      </c>
      <c r="I58" s="163" t="str">
        <f>'IO Pad'!BI58</f>
        <v>test_usb1[15]</v>
      </c>
      <c r="J58" s="163" t="str">
        <f>'IO Pad'!BN58</f>
        <v>test_usb2[15]</v>
      </c>
      <c r="K58" s="163" t="str">
        <f>'IO Pad'!BS58</f>
        <v>test_usb3[15]</v>
      </c>
      <c r="L58" s="163" t="str">
        <f>'IO Pad'!BX58</f>
        <v>test_hsic0[15]</v>
      </c>
      <c r="M58" s="163" t="str">
        <f>'IO Pad'!CC58</f>
        <v>test_hsic1[15]</v>
      </c>
      <c r="N58" s="163" t="str">
        <f>'IO Pad'!CH58</f>
        <v>test_abb0[15]</v>
      </c>
      <c r="O58" s="163" t="str">
        <f>'IO Pad'!CM58</f>
        <v>test_abb1[15]</v>
      </c>
      <c r="P58" s="163" t="str">
        <f>'IO Pad'!CR58</f>
        <v>test_abb2[15]</v>
      </c>
      <c r="Q58" s="163" t="str">
        <f>'IO Pad'!CW58</f>
        <v>test_abb3[15]</v>
      </c>
      <c r="R58" s="163" t="str">
        <f>'IO Pad'!DB58</f>
        <v>test_clk[15]</v>
      </c>
      <c r="S58" s="163" t="str">
        <f>'IO Pad'!DG58</f>
        <v>test_sys0[15]</v>
      </c>
      <c r="T58" s="163" t="str">
        <f>'IO Pad'!DL58</f>
        <v>test_sys1[15]</v>
      </c>
      <c r="U58" s="163" t="str">
        <f>'IO Pad'!DQ58</f>
        <v>test_pcie[15]</v>
      </c>
    </row>
    <row r="59" spans="1:22">
      <c r="A59" s="151"/>
    </row>
    <row r="60" spans="1:22">
      <c r="A60" s="151" t="s">
        <v>3103</v>
      </c>
      <c r="B60" s="163" t="str">
        <f>'IO Pad'!U60</f>
        <v>gpio3[0]</v>
      </c>
      <c r="C60" s="163" t="str">
        <f>'IO Pad'!Z60</f>
        <v>spi1_cs0_n</v>
      </c>
      <c r="D60" s="163" t="str">
        <f>'IO Pad'!AE60</f>
        <v>uart1_dcd_n</v>
      </c>
      <c r="E60" s="163" t="str">
        <f>'IO Pad'!AJ60</f>
        <v>clk1_19p2</v>
      </c>
      <c r="F60" s="163" t="str">
        <f>'IO Pad'!AO60</f>
        <v>antpa_sel[21]</v>
      </c>
      <c r="G60" s="163" t="str">
        <f>'IO Pad'!AY60</f>
        <v>cfg_data[7]</v>
      </c>
      <c r="H60" s="163" t="str">
        <f>'IO Pad'!BD60</f>
        <v>test_usb0[16]</v>
      </c>
      <c r="I60" s="163" t="str">
        <f>'IO Pad'!BI60</f>
        <v>test_usb1[16]</v>
      </c>
      <c r="J60" s="163" t="str">
        <f>'IO Pad'!BN60</f>
        <v>test_usb2[16]</v>
      </c>
      <c r="K60" s="163" t="str">
        <f>'IO Pad'!BS60</f>
        <v>test_usb3[16]</v>
      </c>
      <c r="L60" s="163" t="str">
        <f>'IO Pad'!BX60</f>
        <v>test_hsic0[16]</v>
      </c>
      <c r="M60" s="163" t="str">
        <f>'IO Pad'!CC60</f>
        <v>test_hsic1[16]</v>
      </c>
      <c r="N60" s="163" t="str">
        <f>'IO Pad'!CH60</f>
        <v>test_abb0[16]</v>
      </c>
      <c r="O60" s="163" t="str">
        <f>'IO Pad'!CM60</f>
        <v>test_abb1[16]</v>
      </c>
      <c r="P60" s="163" t="str">
        <f>'IO Pad'!CR60</f>
        <v>test_abb2[16]</v>
      </c>
      <c r="Q60" s="163" t="str">
        <f>'IO Pad'!CW60</f>
        <v>test_abb3[16]</v>
      </c>
      <c r="R60" s="163" t="str">
        <f>'IO Pad'!DB60</f>
        <v>test_clk[16]</v>
      </c>
      <c r="S60" s="163" t="str">
        <f>'IO Pad'!DG60</f>
        <v>test_sys0[16]</v>
      </c>
      <c r="T60" s="163" t="str">
        <f>'IO Pad'!DL60</f>
        <v>test_sys1[16]</v>
      </c>
      <c r="U60" s="163" t="str">
        <f>'IO Pad'!DQ60</f>
        <v>test_pcie[16]</v>
      </c>
    </row>
    <row r="61" spans="1:22">
      <c r="A61" s="151" t="s">
        <v>3103</v>
      </c>
      <c r="B61" s="163" t="str">
        <f>'IO Pad'!U61</f>
        <v>gpio3[1]</v>
      </c>
      <c r="C61" s="163" t="str">
        <f>'IO Pad'!Z61</f>
        <v>spi1_clk</v>
      </c>
      <c r="D61" s="163" t="str">
        <f>'IO Pad'!AE61</f>
        <v>uart1_dsr_n</v>
      </c>
      <c r="E61" s="163" t="str">
        <f>'IO Pad'!AJ61</f>
        <v>uicc_dp</v>
      </c>
      <c r="F61" s="163" t="str">
        <f>'IO Pad'!AO61</f>
        <v>antpa_sel[22]</v>
      </c>
      <c r="G61" s="163" t="str">
        <f>'IO Pad'!AT61</f>
        <v>efusec_rwl_pad</v>
      </c>
      <c r="H61" s="163" t="str">
        <f>'IO Pad'!AY61</f>
        <v>ch0_rxa_en</v>
      </c>
      <c r="I61" s="163" t="str">
        <f>'IO Pad'!BD61</f>
        <v>test_usb0[17]</v>
      </c>
      <c r="J61" s="163" t="str">
        <f>'IO Pad'!BI61</f>
        <v>test_usb1[17]</v>
      </c>
      <c r="K61" s="163" t="str">
        <f>'IO Pad'!BN61</f>
        <v>test_usb2[17]</v>
      </c>
      <c r="L61" s="163" t="str">
        <f>'IO Pad'!BS61</f>
        <v>test_usb3[17]</v>
      </c>
      <c r="M61" s="163" t="str">
        <f>'IO Pad'!BX61</f>
        <v>test_hsic0[17]</v>
      </c>
      <c r="N61" s="163" t="str">
        <f>'IO Pad'!CC61</f>
        <v>test_hsic1[17]</v>
      </c>
      <c r="O61" s="163" t="str">
        <f>'IO Pad'!CH61</f>
        <v>test_abb0[17]</v>
      </c>
      <c r="P61" s="163" t="str">
        <f>'IO Pad'!CM61</f>
        <v>test_abb1[17]</v>
      </c>
      <c r="Q61" s="163" t="str">
        <f>'IO Pad'!CR61</f>
        <v>test_abb2[17]</v>
      </c>
      <c r="R61" s="163" t="str">
        <f>'IO Pad'!CW61</f>
        <v>test_abb3[17]</v>
      </c>
      <c r="S61" s="163" t="str">
        <f>'IO Pad'!DB61</f>
        <v>test_clk[17]</v>
      </c>
      <c r="T61" s="163" t="str">
        <f>'IO Pad'!DG61</f>
        <v>test_sys0[17]</v>
      </c>
      <c r="U61" s="163" t="str">
        <f>'IO Pad'!DL61</f>
        <v>test_sys1[17]</v>
      </c>
      <c r="V61" s="163" t="str">
        <f>'IO Pad'!DQ61</f>
        <v>test_pcie[17]</v>
      </c>
    </row>
    <row r="62" spans="1:22">
      <c r="A62" s="151" t="s">
        <v>3103</v>
      </c>
      <c r="B62" s="163" t="str">
        <f>'IO Pad'!U62</f>
        <v>gpio3[2]</v>
      </c>
      <c r="C62" s="163" t="str">
        <f>'IO Pad'!Z62</f>
        <v>spi1_dio</v>
      </c>
      <c r="D62" s="163" t="str">
        <f>'IO Pad'!AE62</f>
        <v>uart1_dtr_n</v>
      </c>
      <c r="E62" s="163" t="str">
        <f>'IO Pad'!AJ62</f>
        <v>uicc_dm</v>
      </c>
      <c r="F62" s="163" t="str">
        <f>'IO Pad'!AO62</f>
        <v>antpa_sel[23]</v>
      </c>
      <c r="G62" s="163" t="str">
        <f>'IO Pad'!AT62</f>
        <v>efusec_pd_pad</v>
      </c>
      <c r="H62" s="163" t="str">
        <f>'IO Pad'!AY62</f>
        <v>ch0_rxb_en</v>
      </c>
      <c r="I62" s="163" t="str">
        <f>'IO Pad'!BD62</f>
        <v>test_usb0[18]</v>
      </c>
      <c r="J62" s="163" t="str">
        <f>'IO Pad'!BI62</f>
        <v>test_usb1[18]</v>
      </c>
      <c r="K62" s="163" t="str">
        <f>'IO Pad'!BN62</f>
        <v>test_usb2[18]</v>
      </c>
      <c r="L62" s="163" t="str">
        <f>'IO Pad'!BS62</f>
        <v>test_usb3[18]</v>
      </c>
      <c r="M62" s="163" t="str">
        <f>'IO Pad'!BX62</f>
        <v>test_hsic0[18]</v>
      </c>
      <c r="N62" s="163" t="str">
        <f>'IO Pad'!CC62</f>
        <v>test_hsic1[18]</v>
      </c>
      <c r="O62" s="163" t="str">
        <f>'IO Pad'!CH62</f>
        <v>test_abb0[18]</v>
      </c>
      <c r="P62" s="163" t="str">
        <f>'IO Pad'!CM62</f>
        <v>test_abb1[18]</v>
      </c>
      <c r="Q62" s="163" t="str">
        <f>'IO Pad'!CR62</f>
        <v>test_abb2[18]</v>
      </c>
      <c r="R62" s="163" t="str">
        <f>'IO Pad'!CW62</f>
        <v>test_abb3[18]</v>
      </c>
      <c r="S62" s="163" t="str">
        <f>'IO Pad'!DB62</f>
        <v>test_clk[18]</v>
      </c>
      <c r="T62" s="163" t="str">
        <f>'IO Pad'!DG62</f>
        <v>test_sys0[18]</v>
      </c>
      <c r="U62" s="163" t="str">
        <f>'IO Pad'!DL62</f>
        <v>test_sys1[18]</v>
      </c>
      <c r="V62" s="163" t="str">
        <f>'IO Pad'!DQ62</f>
        <v>test_pcie[18]</v>
      </c>
    </row>
    <row r="63" spans="1:22">
      <c r="A63" s="151" t="s">
        <v>3103</v>
      </c>
      <c r="B63" s="163" t="str">
        <f>'IO Pad'!U63</f>
        <v>gpio3[3]</v>
      </c>
      <c r="C63" s="163" t="str">
        <f>'IO Pad'!Z63</f>
        <v>spi1_do</v>
      </c>
      <c r="D63" s="163" t="str">
        <f>'IO Pad'!AE63</f>
        <v>uart1_ri_n</v>
      </c>
      <c r="E63" s="163" t="str">
        <f>'IO Pad'!AJ63</f>
        <v>gp_pwm3</v>
      </c>
      <c r="F63" s="163" t="str">
        <f>'IO Pad'!AO63</f>
        <v>antpa_sel[24]</v>
      </c>
      <c r="G63" s="163" t="str">
        <f>'IO Pad'!AT63</f>
        <v>efusec_mr_pad</v>
      </c>
      <c r="H63" s="163" t="str">
        <f>'IO Pad'!AY63</f>
        <v>ch1_rxa_en</v>
      </c>
      <c r="I63" s="163" t="str">
        <f>'IO Pad'!BD63</f>
        <v>test_usb0[19]</v>
      </c>
      <c r="J63" s="163" t="str">
        <f>'IO Pad'!BI63</f>
        <v>test_usb1[19]</v>
      </c>
      <c r="K63" s="163" t="str">
        <f>'IO Pad'!BN63</f>
        <v>test_usb2[19]</v>
      </c>
      <c r="L63" s="163" t="str">
        <f>'IO Pad'!BS63</f>
        <v>test_usb3[19]</v>
      </c>
      <c r="M63" s="163" t="str">
        <f>'IO Pad'!BX63</f>
        <v>test_hsic0[19]</v>
      </c>
      <c r="N63" s="163" t="str">
        <f>'IO Pad'!CC63</f>
        <v>test_hsic1[19]</v>
      </c>
      <c r="O63" s="163" t="str">
        <f>'IO Pad'!CH63</f>
        <v>test_abb0[19]</v>
      </c>
      <c r="P63" s="163" t="str">
        <f>'IO Pad'!CM63</f>
        <v>test_abb1[19]</v>
      </c>
      <c r="Q63" s="163" t="str">
        <f>'IO Pad'!CR63</f>
        <v>test_abb2[19]</v>
      </c>
      <c r="R63" s="163" t="str">
        <f>'IO Pad'!CW63</f>
        <v>test_abb3[19]</v>
      </c>
      <c r="S63" s="163" t="str">
        <f>'IO Pad'!DB63</f>
        <v>test_clk[19]</v>
      </c>
      <c r="T63" s="163" t="str">
        <f>'IO Pad'!DG63</f>
        <v>test_sys0[19]</v>
      </c>
      <c r="U63" s="163" t="str">
        <f>'IO Pad'!DL63</f>
        <v>test_sys1[19]</v>
      </c>
      <c r="V63" s="163" t="str">
        <f>'IO Pad'!DQ63</f>
        <v>test_pcie[19]</v>
      </c>
    </row>
    <row r="64" spans="1:22">
      <c r="A64" s="151" t="s">
        <v>3103</v>
      </c>
      <c r="B64" s="163" t="str">
        <f>'IO Pad'!U64</f>
        <v>gpio3[4]</v>
      </c>
      <c r="C64" s="163" t="str">
        <f>'IO Pad'!Z64</f>
        <v>spi0_cs1_n</v>
      </c>
      <c r="D64" s="163" t="str">
        <f>'IO Pad'!AE64</f>
        <v>uart1_cts_n</v>
      </c>
      <c r="E64" s="163" t="str">
        <f>'IO Pad'!AJ64</f>
        <v>lte_frame_sync</v>
      </c>
      <c r="F64" s="163" t="str">
        <f>'IO Pad'!AO64</f>
        <v>ptm_do[14]</v>
      </c>
      <c r="G64" s="163" t="str">
        <f>'IO Pad'!AT64</f>
        <v>efusec_strobe_pad</v>
      </c>
      <c r="H64" s="163" t="str">
        <f>'IO Pad'!AY64</f>
        <v>ch1_rxb_en</v>
      </c>
      <c r="I64" s="163" t="str">
        <f>'IO Pad'!BD64</f>
        <v>test_usb0[20]</v>
      </c>
      <c r="J64" s="163" t="str">
        <f>'IO Pad'!BI64</f>
        <v>test_usb1[20]</v>
      </c>
      <c r="K64" s="163" t="str">
        <f>'IO Pad'!BN64</f>
        <v>test_usb2[20]</v>
      </c>
      <c r="L64" s="163" t="str">
        <f>'IO Pad'!BS64</f>
        <v>test_usb3[20]</v>
      </c>
      <c r="M64" s="163" t="str">
        <f>'IO Pad'!BX64</f>
        <v>test_hsic0[20]</v>
      </c>
      <c r="N64" s="163" t="str">
        <f>'IO Pad'!CC64</f>
        <v>test_hsic1[20]</v>
      </c>
      <c r="O64" s="163" t="str">
        <f>'IO Pad'!CH64</f>
        <v>test_abb0[20]</v>
      </c>
      <c r="P64" s="163" t="str">
        <f>'IO Pad'!CM64</f>
        <v>test_abb1[20]</v>
      </c>
      <c r="Q64" s="163" t="str">
        <f>'IO Pad'!CR64</f>
        <v>test_abb2[20]</v>
      </c>
      <c r="R64" s="163" t="str">
        <f>'IO Pad'!CW64</f>
        <v>test_abb3[20]</v>
      </c>
      <c r="S64" s="163" t="str">
        <f>'IO Pad'!DB64</f>
        <v>test_clk[20]</v>
      </c>
      <c r="T64" s="163" t="str">
        <f>'IO Pad'!DG64</f>
        <v>test_sys0[20]</v>
      </c>
      <c r="U64" s="163" t="str">
        <f>'IO Pad'!DL64</f>
        <v>test_sys1[20]</v>
      </c>
      <c r="V64" s="163" t="str">
        <f>'IO Pad'!DQ64</f>
        <v>test_pcie[20]</v>
      </c>
    </row>
    <row r="65" spans="1:22">
      <c r="A65" s="151" t="s">
        <v>3103</v>
      </c>
      <c r="B65" s="163" t="str">
        <f>'IO Pad'!U65</f>
        <v>gpio3[5]</v>
      </c>
      <c r="C65" s="163" t="str">
        <f>'IO Pad'!Z65</f>
        <v>spi1_cs1_n</v>
      </c>
      <c r="D65" s="163" t="str">
        <f>'IO Pad'!AE65</f>
        <v>uart1_rts_n</v>
      </c>
      <c r="E65" s="163" t="str">
        <f>'IO Pad'!AJ65</f>
        <v>wlan_bt_rx_priority</v>
      </c>
      <c r="F65" s="163" t="str">
        <f>'IO Pad'!AO65</f>
        <v>ptm_do[15]</v>
      </c>
      <c r="G65" s="163" t="str">
        <f>'IO Pad'!AT65</f>
        <v>efusec_ps_pad</v>
      </c>
      <c r="H65" s="163" t="str">
        <f>'IO Pad'!AY65</f>
        <v>et_tx_en</v>
      </c>
      <c r="I65" s="163" t="str">
        <f>'IO Pad'!BD65</f>
        <v>test_usb0[21]</v>
      </c>
      <c r="J65" s="163" t="str">
        <f>'IO Pad'!BI65</f>
        <v>test_usb1[21]</v>
      </c>
      <c r="K65" s="163" t="str">
        <f>'IO Pad'!BN65</f>
        <v>test_usb2[21]</v>
      </c>
      <c r="L65" s="163" t="str">
        <f>'IO Pad'!BS65</f>
        <v>test_usb3[21]</v>
      </c>
      <c r="M65" s="163" t="str">
        <f>'IO Pad'!BX65</f>
        <v>test_hsic0[21]</v>
      </c>
      <c r="N65" s="163" t="str">
        <f>'IO Pad'!CC65</f>
        <v>test_hsic1[21]</v>
      </c>
      <c r="O65" s="163" t="str">
        <f>'IO Pad'!CH65</f>
        <v>test_abb0[21]</v>
      </c>
      <c r="P65" s="163" t="str">
        <f>'IO Pad'!CM65</f>
        <v>test_abb1[21]</v>
      </c>
      <c r="Q65" s="163" t="str">
        <f>'IO Pad'!CR65</f>
        <v>test_abb2[21]</v>
      </c>
      <c r="R65" s="163" t="str">
        <f>'IO Pad'!CW65</f>
        <v>test_abb3[21]</v>
      </c>
      <c r="S65" s="163" t="str">
        <f>'IO Pad'!DB65</f>
        <v>test_clk[21]</v>
      </c>
      <c r="T65" s="163" t="str">
        <f>'IO Pad'!DG65</f>
        <v>test_sys0[21]</v>
      </c>
      <c r="U65" s="163" t="str">
        <f>'IO Pad'!DL65</f>
        <v>test_sys1[21]</v>
      </c>
      <c r="V65" s="163" t="str">
        <f>'IO Pad'!DQ65</f>
        <v>test_pcie[21]</v>
      </c>
    </row>
    <row r="66" spans="1:22">
      <c r="A66" s="151" t="s">
        <v>3103</v>
      </c>
      <c r="B66" s="163" t="str">
        <f>'IO Pad'!U66</f>
        <v>gpio3[6]</v>
      </c>
      <c r="C66" s="163" t="str">
        <f>'IO Pad'!Z66</f>
        <v>gp_pwm0</v>
      </c>
      <c r="D66" s="163" t="str">
        <f>'IO Pad'!AE66</f>
        <v>clk0_19p2</v>
      </c>
      <c r="E66" s="163" t="str">
        <f>'IO Pad'!AJ66</f>
        <v>lte_rx_active</v>
      </c>
      <c r="F66" s="163" t="str">
        <f>'IO Pad'!AO66</f>
        <v>tcssi</v>
      </c>
      <c r="G66" s="163" t="str">
        <f>'IO Pad'!AT66</f>
        <v>efusec_load_pad</v>
      </c>
      <c r="H66" s="163" t="str">
        <f>'IO Pad'!AY66</f>
        <v>ch1_tcxo_clk</v>
      </c>
      <c r="I66" s="163" t="str">
        <f>'IO Pad'!BD66</f>
        <v>test_usb0[22]</v>
      </c>
      <c r="J66" s="163" t="str">
        <f>'IO Pad'!BI66</f>
        <v>test_usb1[22]</v>
      </c>
      <c r="K66" s="163" t="str">
        <f>'IO Pad'!BN66</f>
        <v>test_usb2[22]</v>
      </c>
      <c r="L66" s="163" t="str">
        <f>'IO Pad'!BS66</f>
        <v>test_usb3[22]</v>
      </c>
      <c r="M66" s="163" t="str">
        <f>'IO Pad'!BX66</f>
        <v>test_hsic0[22]</v>
      </c>
      <c r="N66" s="163" t="str">
        <f>'IO Pad'!CC66</f>
        <v>test_hsic1[22]</v>
      </c>
      <c r="O66" s="163" t="str">
        <f>'IO Pad'!CH66</f>
        <v>test_abb0[22]</v>
      </c>
      <c r="P66" s="163" t="str">
        <f>'IO Pad'!CM66</f>
        <v>test_abb1[22]</v>
      </c>
      <c r="Q66" s="163" t="str">
        <f>'IO Pad'!CR66</f>
        <v>test_abb2[22]</v>
      </c>
      <c r="R66" s="163" t="str">
        <f>'IO Pad'!CW66</f>
        <v>test_abb3[22]</v>
      </c>
      <c r="S66" s="163" t="str">
        <f>'IO Pad'!DB66</f>
        <v>test_clk[22]</v>
      </c>
      <c r="T66" s="163" t="str">
        <f>'IO Pad'!DG66</f>
        <v>test_sys0[22]</v>
      </c>
      <c r="U66" s="163" t="str">
        <f>'IO Pad'!DL66</f>
        <v>test_sys1[22]</v>
      </c>
      <c r="V66" s="163" t="str">
        <f>'IO Pad'!DQ66</f>
        <v>test_pcie[22]</v>
      </c>
    </row>
    <row r="67" spans="1:22">
      <c r="A67" s="151"/>
    </row>
    <row r="68" spans="1:22">
      <c r="A68" s="151" t="s">
        <v>3103</v>
      </c>
      <c r="B68" s="163" t="str">
        <f>'IO Pad'!U68</f>
        <v>ch0_rf_resetn</v>
      </c>
      <c r="C68" s="163" t="str">
        <f>'IO Pad'!Z68</f>
        <v>gpio1[13]</v>
      </c>
      <c r="D68" s="163" t="str">
        <f>'IO Pad'!AJ68</f>
        <v>wlan_bt_ldo_en</v>
      </c>
      <c r="E68" s="163" t="str">
        <f>'IO Pad'!AO68</f>
        <v>lte_mod4_sys_sync</v>
      </c>
      <c r="F68" s="163" t="str">
        <f>'IO Pad'!AT68</f>
        <v>efusec_data_pad[0]</v>
      </c>
      <c r="G68" s="163" t="str">
        <f>'IO Pad'!AY68</f>
        <v>ch0_rx_clk</v>
      </c>
    </row>
    <row r="69" spans="1:22">
      <c r="A69" s="151" t="s">
        <v>3103</v>
      </c>
      <c r="B69" s="163" t="str">
        <f>'IO Pad'!U69</f>
        <v>ch0_rf_ssi</v>
      </c>
      <c r="C69" s="163" t="str">
        <f>'IO Pad'!Z69</f>
        <v>gpio1[14]</v>
      </c>
      <c r="D69" s="163" t="str">
        <f>'IO Pad'!AO69</f>
        <v>lte_multi_sys_sync</v>
      </c>
      <c r="E69" s="163" t="str">
        <f>'IO Pad'!AT69</f>
        <v>efusec_data_pad[1]</v>
      </c>
      <c r="F69" s="163" t="str">
        <f>'IO Pad'!AY69</f>
        <v>ch0_rx_vld</v>
      </c>
    </row>
    <row r="70" spans="1:22">
      <c r="A70" s="151" t="s">
        <v>3103</v>
      </c>
      <c r="B70" s="163" t="str">
        <f>'IO Pad'!U70</f>
        <v>ch0_rf_tcvr_on</v>
      </c>
      <c r="C70" s="163" t="str">
        <f>'IO Pad'!Z70</f>
        <v>gpio1[15]</v>
      </c>
      <c r="D70" s="163" t="str">
        <f>'IO Pad'!AJ70</f>
        <v>lte_tx_active</v>
      </c>
      <c r="E70" s="163" t="str">
        <f>'IO Pad'!AT70</f>
        <v>efusec_data_pad[2]</v>
      </c>
      <c r="F70" s="163" t="str">
        <f>'IO Pad'!AY70</f>
        <v>ch1_rxb_data[0]</v>
      </c>
    </row>
    <row r="71" spans="1:22">
      <c r="A71" s="151" t="s">
        <v>3103</v>
      </c>
      <c r="B71" s="163" t="str">
        <f>'IO Pad'!U71</f>
        <v>gpio1[16]</v>
      </c>
      <c r="C71" s="163" t="str">
        <f>'IO Pad'!Z71</f>
        <v>et_mode</v>
      </c>
      <c r="D71" s="163" t="str">
        <f>'IO Pad'!AE71</f>
        <v>ch0_apt_pdm</v>
      </c>
      <c r="E71" s="163" t="str">
        <f>'IO Pad'!AJ71</f>
        <v>lte_frame_sync</v>
      </c>
      <c r="F71" s="163" t="str">
        <f>'IO Pad'!AO71</f>
        <v>antpa_sel[21]</v>
      </c>
      <c r="G71" s="163" t="str">
        <f>'IO Pad'!AT71</f>
        <v>efusec_data_pad[3]</v>
      </c>
      <c r="H71" s="163" t="str">
        <f>'IO Pad'!AY71</f>
        <v>ch1_rxb_data[1]</v>
      </c>
    </row>
    <row r="72" spans="1:22">
      <c r="A72" s="151" t="s">
        <v>3103</v>
      </c>
      <c r="B72" s="163" t="str">
        <f>'IO Pad'!U72</f>
        <v>gpio1[17]</v>
      </c>
      <c r="C72" s="163" t="str">
        <f>'IO Pad'!Z72</f>
        <v>ch0_mipi_clk</v>
      </c>
      <c r="D72" s="163" t="str">
        <f>'IO Pad'!AJ72</f>
        <v>wlan_bt_rx_priority</v>
      </c>
      <c r="E72" s="163" t="str">
        <f>'IO Pad'!AO72</f>
        <v>antpa_sel[22]</v>
      </c>
      <c r="F72" s="163" t="str">
        <f>'IO Pad'!AT72</f>
        <v>efusec_data_pad[4]</v>
      </c>
      <c r="G72" s="163" t="str">
        <f>'IO Pad'!AY72</f>
        <v>ch1_rxb_data[2]</v>
      </c>
    </row>
    <row r="73" spans="1:22">
      <c r="A73" s="151" t="s">
        <v>3103</v>
      </c>
      <c r="B73" s="163" t="str">
        <f>'IO Pad'!U73</f>
        <v>gpio1[18]</v>
      </c>
      <c r="C73" s="163" t="str">
        <f>'IO Pad'!Z73</f>
        <v>ch0_mipi_data</v>
      </c>
      <c r="D73" s="163" t="str">
        <f>'IO Pad'!AJ73</f>
        <v>lte_rx_active</v>
      </c>
      <c r="E73" s="163" t="str">
        <f>'IO Pad'!AO73</f>
        <v>antpa_sel[23]</v>
      </c>
      <c r="F73" s="163" t="str">
        <f>'IO Pad'!AT73</f>
        <v>efusec_data_pad[5]</v>
      </c>
      <c r="G73" s="163" t="str">
        <f>'IO Pad'!AY73</f>
        <v>ch1_rxb_data[3]</v>
      </c>
    </row>
    <row r="74" spans="1:22">
      <c r="A74" s="151"/>
    </row>
    <row r="75" spans="1:22">
      <c r="A75" s="151" t="s">
        <v>3103</v>
      </c>
      <c r="B75" s="163" t="str">
        <f>'IO Pad'!U75</f>
        <v>ch1_rf_resetn</v>
      </c>
      <c r="C75" s="163" t="str">
        <f>'IO Pad'!Z75</f>
        <v>gpio1[19]</v>
      </c>
      <c r="D75" s="163" t="str">
        <f>'IO Pad'!AJ75</f>
        <v>wlan_bt_ldo_en</v>
      </c>
      <c r="E75" s="163" t="str">
        <f>'IO Pad'!AO75</f>
        <v>lte_mod4_sys_sync</v>
      </c>
      <c r="F75" s="163" t="str">
        <f>'IO Pad'!AY75</f>
        <v>ch0_rxa_data[0]</v>
      </c>
    </row>
    <row r="76" spans="1:22">
      <c r="A76" s="151" t="s">
        <v>3103</v>
      </c>
      <c r="B76" s="163" t="str">
        <f>'IO Pad'!U76</f>
        <v>ch1_rf_ssi</v>
      </c>
      <c r="C76" s="163" t="str">
        <f>'IO Pad'!Z76</f>
        <v>gpio1[20]</v>
      </c>
      <c r="D76" s="163" t="str">
        <f>'IO Pad'!AO76</f>
        <v>lte_multi_sys_sync</v>
      </c>
      <c r="E76" s="163" t="str">
        <f>'IO Pad'!AY76</f>
        <v>ch0_rxa_data[1]</v>
      </c>
    </row>
    <row r="77" spans="1:22">
      <c r="A77" s="151" t="s">
        <v>3103</v>
      </c>
      <c r="B77" s="163" t="str">
        <f>'IO Pad'!U77</f>
        <v>ch1_rf_tcvr_on</v>
      </c>
      <c r="C77" s="163" t="str">
        <f>'IO Pad'!Z77</f>
        <v>gpio1[21]</v>
      </c>
      <c r="D77" s="163" t="str">
        <f>'IO Pad'!AJ77</f>
        <v>lte_tx_active</v>
      </c>
      <c r="E77" s="163" t="str">
        <f>'IO Pad'!AY77</f>
        <v>ch0_rxa_data[2]</v>
      </c>
    </row>
    <row r="78" spans="1:22">
      <c r="A78" s="151" t="s">
        <v>3103</v>
      </c>
      <c r="B78" s="163" t="str">
        <f>'IO Pad'!U78</f>
        <v>gpio1[22]</v>
      </c>
      <c r="C78" s="163" t="str">
        <f>'IO Pad'!Z78</f>
        <v>et_mode</v>
      </c>
      <c r="D78" s="163" t="str">
        <f>'IO Pad'!AE78</f>
        <v>ch1_apt_pdm</v>
      </c>
      <c r="E78" s="163" t="str">
        <f>'IO Pad'!AJ78</f>
        <v>lte_frame_sync</v>
      </c>
      <c r="F78" s="163" t="str">
        <f>'IO Pad'!AO78</f>
        <v>antpa_sel[21]</v>
      </c>
      <c r="G78" s="163" t="str">
        <f>'IO Pad'!AY78</f>
        <v>ch0_rxa_data[3]</v>
      </c>
    </row>
    <row r="79" spans="1:22">
      <c r="A79" s="151" t="s">
        <v>3103</v>
      </c>
      <c r="B79" s="163" t="str">
        <f>'IO Pad'!U79</f>
        <v>gpio1[23]</v>
      </c>
      <c r="C79" s="163" t="str">
        <f>'IO Pad'!Z79</f>
        <v>ch1_mipi_clk</v>
      </c>
      <c r="D79" s="163" t="str">
        <f>'IO Pad'!AJ79</f>
        <v>wlan_bt_rx_priority</v>
      </c>
      <c r="E79" s="163" t="str">
        <f>'IO Pad'!AO79</f>
        <v>antpa_sel[22]</v>
      </c>
      <c r="F79" s="163" t="str">
        <f>'IO Pad'!AY79</f>
        <v>ch0_rxa_data[4]</v>
      </c>
    </row>
    <row r="80" spans="1:22">
      <c r="A80" s="151" t="s">
        <v>3103</v>
      </c>
      <c r="B80" s="163" t="str">
        <f>'IO Pad'!U80</f>
        <v>gpio1[24]</v>
      </c>
      <c r="C80" s="163" t="str">
        <f>'IO Pad'!Z80</f>
        <v>ch1_mipi_data</v>
      </c>
      <c r="D80" s="163" t="str">
        <f>'IO Pad'!AJ80</f>
        <v>lte_rx_active</v>
      </c>
      <c r="E80" s="163" t="str">
        <f>'IO Pad'!AO80</f>
        <v>antpa_sel[23]</v>
      </c>
      <c r="F80" s="163" t="str">
        <f>'IO Pad'!AY80</f>
        <v>ch0_rxa_data[5]</v>
      </c>
    </row>
    <row r="81" spans="1:7">
      <c r="A81" s="151"/>
    </row>
    <row r="82" spans="1:7">
      <c r="A82" s="151" t="s">
        <v>3103</v>
      </c>
      <c r="B82" s="163" t="str">
        <f>'IO Pad'!U82</f>
        <v>ch0_afc_pdm</v>
      </c>
      <c r="C82" s="163" t="str">
        <f>'IO Pad'!Z82</f>
        <v>gpio1[25]</v>
      </c>
      <c r="D82" s="163" t="str">
        <f>'IO Pad'!AE82</f>
        <v>ch1_afc_pdm</v>
      </c>
      <c r="E82" s="163" t="str">
        <f>'IO Pad'!AO82</f>
        <v>antpa_sel[24]</v>
      </c>
      <c r="F82" s="163" t="str">
        <f>'IO Pad'!AT82</f>
        <v>efusec_data_pad[6]</v>
      </c>
      <c r="G82" s="163" t="str">
        <f>'IO Pad'!AY82</f>
        <v>ch1_rxb_data[4]</v>
      </c>
    </row>
    <row r="83" spans="1:7">
      <c r="A83" s="151" t="s">
        <v>3103</v>
      </c>
      <c r="B83" s="163" t="str">
        <f>'IO Pad'!U83</f>
        <v>ch1_afc_pdm</v>
      </c>
      <c r="C83" s="163" t="str">
        <f>'IO Pad'!Z83</f>
        <v>gpio1[26]</v>
      </c>
      <c r="D83" s="163" t="str">
        <f>'IO Pad'!AE83</f>
        <v>ch0_afc_pdm</v>
      </c>
      <c r="E83" s="163" t="str">
        <f>'IO Pad'!AO83</f>
        <v>antpa_sel[24]</v>
      </c>
      <c r="F83" s="163" t="str">
        <f>'IO Pad'!AY83</f>
        <v>ch0_rxa_data[6]</v>
      </c>
    </row>
    <row r="84" spans="1:7">
      <c r="A84" s="151"/>
    </row>
    <row r="85" spans="1:7">
      <c r="A85" s="151" t="s">
        <v>3103</v>
      </c>
      <c r="B85" s="163" t="str">
        <f>'IO Pad'!U85</f>
        <v>gpio1[27]</v>
      </c>
      <c r="C85" s="163" t="str">
        <f>'IO Pad'!Z85</f>
        <v>antpa_sel[0]</v>
      </c>
      <c r="D85" s="163" t="str">
        <f>'IO Pad'!AE85</f>
        <v>nf_data[9]</v>
      </c>
      <c r="E85" s="163" t="str">
        <f>'IO Pad'!AY85</f>
        <v>ch1_tx_data[0]</v>
      </c>
    </row>
    <row r="86" spans="1:7">
      <c r="A86" s="151" t="s">
        <v>3103</v>
      </c>
      <c r="B86" s="163" t="str">
        <f>'IO Pad'!U86</f>
        <v>gpio1[28]</v>
      </c>
      <c r="C86" s="163" t="str">
        <f>'IO Pad'!Z86</f>
        <v>antpa_sel[1]</v>
      </c>
      <c r="D86" s="163" t="str">
        <f>'IO Pad'!AE86</f>
        <v>nf_data[10]</v>
      </c>
      <c r="E86" s="163" t="str">
        <f>'IO Pad'!AY86</f>
        <v>ch1_tx_data[1]</v>
      </c>
    </row>
    <row r="87" spans="1:7">
      <c r="A87" s="151" t="s">
        <v>3103</v>
      </c>
      <c r="B87" s="163" t="str">
        <f>'IO Pad'!U87</f>
        <v>gpio1[29]</v>
      </c>
      <c r="C87" s="163" t="str">
        <f>'IO Pad'!Z87</f>
        <v>antpa_sel[2]</v>
      </c>
      <c r="D87" s="163" t="str">
        <f>'IO Pad'!AE87</f>
        <v>nf_data[11]</v>
      </c>
      <c r="E87" s="163" t="str">
        <f>'IO Pad'!AY87</f>
        <v>ch1_tx_data[2]</v>
      </c>
    </row>
    <row r="88" spans="1:7">
      <c r="A88" s="151" t="s">
        <v>3103</v>
      </c>
      <c r="B88" s="163" t="str">
        <f>'IO Pad'!U88</f>
        <v>gpio1[30]</v>
      </c>
      <c r="C88" s="163" t="str">
        <f>'IO Pad'!Z88</f>
        <v>antpa_sel[3]</v>
      </c>
      <c r="D88" s="163" t="str">
        <f>'IO Pad'!AE88</f>
        <v>nf_data[12]</v>
      </c>
      <c r="E88" s="163" t="str">
        <f>'IO Pad'!AY88</f>
        <v>ch1_tx_data[3]</v>
      </c>
    </row>
    <row r="89" spans="1:7">
      <c r="A89" s="151" t="s">
        <v>3103</v>
      </c>
      <c r="B89" s="163" t="str">
        <f>'IO Pad'!U89</f>
        <v>gpio1[31]</v>
      </c>
      <c r="C89" s="163" t="str">
        <f>'IO Pad'!Z89</f>
        <v>antpa_sel[4]</v>
      </c>
      <c r="D89" s="163" t="str">
        <f>'IO Pad'!AE89</f>
        <v>nf_data[13]</v>
      </c>
      <c r="E89" s="163" t="str">
        <f>'IO Pad'!AY89</f>
        <v>ch1_tx_data[4]</v>
      </c>
    </row>
    <row r="90" spans="1:7">
      <c r="A90" s="151" t="s">
        <v>3103</v>
      </c>
      <c r="B90" s="163" t="str">
        <f>'IO Pad'!U90</f>
        <v>gpio2[0]</v>
      </c>
      <c r="C90" s="163" t="str">
        <f>'IO Pad'!Z90</f>
        <v>antpa_sel[5]</v>
      </c>
      <c r="D90" s="163" t="str">
        <f>'IO Pad'!AE90</f>
        <v>nf_data[14]</v>
      </c>
      <c r="E90" s="163" t="str">
        <f>'IO Pad'!AY90</f>
        <v>ch1_tx_data[5]</v>
      </c>
    </row>
    <row r="91" spans="1:7">
      <c r="A91" s="151" t="s">
        <v>3103</v>
      </c>
      <c r="B91" s="163" t="str">
        <f>'IO Pad'!U91</f>
        <v>gpio2[1]</v>
      </c>
      <c r="C91" s="163" t="str">
        <f>'IO Pad'!Z91</f>
        <v>antpa_sel[6]</v>
      </c>
      <c r="D91" s="163" t="str">
        <f>'IO Pad'!AE91</f>
        <v>nf_data[15]</v>
      </c>
      <c r="E91" s="163" t="str">
        <f>'IO Pad'!AY91</f>
        <v>ch1_tx_data[6]</v>
      </c>
    </row>
    <row r="92" spans="1:7">
      <c r="A92" s="151" t="s">
        <v>3103</v>
      </c>
      <c r="B92" s="163" t="str">
        <f>'IO Pad'!U92</f>
        <v>gpio2[2]</v>
      </c>
      <c r="C92" s="163" t="str">
        <f>'IO Pad'!Z92</f>
        <v>antpa_sel[7]</v>
      </c>
      <c r="D92" s="163" t="str">
        <f>'IO Pad'!AE92</f>
        <v>nf_ce1_n</v>
      </c>
      <c r="E92" s="163" t="str">
        <f>'IO Pad'!AY92</f>
        <v>ch1_tx_data[7]</v>
      </c>
    </row>
    <row r="93" spans="1:7">
      <c r="A93" s="151" t="s">
        <v>3103</v>
      </c>
      <c r="B93" s="163" t="str">
        <f>'IO Pad'!U93</f>
        <v>gpio2[3]</v>
      </c>
      <c r="C93" s="163" t="str">
        <f>'IO Pad'!Z93</f>
        <v>antpa_sel[8]</v>
      </c>
      <c r="D93" s="163" t="str">
        <f>'IO Pad'!AT93</f>
        <v>efusec_data_pad[7]</v>
      </c>
      <c r="E93" s="163" t="str">
        <f>'IO Pad'!AY93</f>
        <v>ch1_rxb_data[5]</v>
      </c>
    </row>
    <row r="94" spans="1:7">
      <c r="A94" s="151" t="s">
        <v>3103</v>
      </c>
      <c r="B94" s="163" t="str">
        <f>'IO Pad'!U94</f>
        <v>gpio2[4]</v>
      </c>
      <c r="C94" s="163" t="str">
        <f>'IO Pad'!Z94</f>
        <v>antpa_sel[9]</v>
      </c>
      <c r="D94" s="163" t="str">
        <f>'IO Pad'!AT94</f>
        <v>efusec_data_pad[8]</v>
      </c>
      <c r="E94" s="163" t="str">
        <f>'IO Pad'!AY94</f>
        <v>ch1_rxb_data[6]</v>
      </c>
    </row>
    <row r="95" spans="1:7">
      <c r="A95" s="151" t="s">
        <v>3103</v>
      </c>
      <c r="B95" s="163" t="str">
        <f>'IO Pad'!U95</f>
        <v>gpio2[5]</v>
      </c>
      <c r="C95" s="163" t="str">
        <f>'IO Pad'!Z95</f>
        <v>antpa_sel[10]</v>
      </c>
      <c r="D95" s="163" t="str">
        <f>'IO Pad'!AT95</f>
        <v>efusec_data_pad[9]</v>
      </c>
      <c r="E95" s="163" t="str">
        <f>'IO Pad'!AY95</f>
        <v>ch1_rxb_data[7]</v>
      </c>
    </row>
    <row r="96" spans="1:7">
      <c r="A96" s="151" t="s">
        <v>3103</v>
      </c>
      <c r="B96" s="163" t="str">
        <f>'IO Pad'!U96</f>
        <v>gpio2[6]</v>
      </c>
      <c r="C96" s="163" t="str">
        <f>'IO Pad'!Z96</f>
        <v>antpa_sel[11]</v>
      </c>
      <c r="D96" s="163" t="str">
        <f>'IO Pad'!AT96</f>
        <v>efusec_data_pad[10]</v>
      </c>
      <c r="E96" s="163" t="str">
        <f>'IO Pad'!AY96</f>
        <v>ch1_rxb_data[8]</v>
      </c>
    </row>
    <row r="97" spans="1:22">
      <c r="A97" s="151" t="s">
        <v>3103</v>
      </c>
      <c r="B97" s="163" t="str">
        <f>'IO Pad'!U97</f>
        <v>gpio2[7]</v>
      </c>
      <c r="C97" s="163" t="str">
        <f>'IO Pad'!Z97</f>
        <v>antpa_sel[12]</v>
      </c>
      <c r="D97" s="352" t="s">
        <v>3104</v>
      </c>
      <c r="E97" s="352" t="s">
        <v>2074</v>
      </c>
      <c r="F97" s="352" t="s">
        <v>804</v>
      </c>
      <c r="G97" s="352" t="s">
        <v>812</v>
      </c>
      <c r="H97" s="352" t="s">
        <v>820</v>
      </c>
      <c r="I97" s="352" t="s">
        <v>828</v>
      </c>
      <c r="J97" s="352" t="s">
        <v>836</v>
      </c>
      <c r="K97" s="352" t="s">
        <v>844</v>
      </c>
      <c r="L97" s="352" t="s">
        <v>858</v>
      </c>
      <c r="M97" s="352" t="s">
        <v>859</v>
      </c>
      <c r="N97" s="352" t="s">
        <v>860</v>
      </c>
      <c r="O97" s="352" t="s">
        <v>861</v>
      </c>
      <c r="P97" s="352" t="s">
        <v>895</v>
      </c>
      <c r="Q97" s="352" t="s">
        <v>903</v>
      </c>
      <c r="R97" s="352" t="s">
        <v>911</v>
      </c>
      <c r="S97" s="352" t="s">
        <v>2228</v>
      </c>
      <c r="T97" s="163" t="str">
        <f>'IO Pad'!DG97</f>
        <v>test_sys0[23]</v>
      </c>
      <c r="U97" s="163" t="str">
        <f>'IO Pad'!DL97</f>
        <v>test_sys1[23]</v>
      </c>
      <c r="V97" s="163" t="str">
        <f>'IO Pad'!DQ97</f>
        <v>test_pcie[23]</v>
      </c>
    </row>
    <row r="98" spans="1:22">
      <c r="A98" s="151" t="s">
        <v>3103</v>
      </c>
      <c r="B98" s="163" t="str">
        <f>'IO Pad'!U98</f>
        <v>gpio2[8]</v>
      </c>
      <c r="C98" s="163" t="str">
        <f>'IO Pad'!Z98</f>
        <v>antpa_sel[13]</v>
      </c>
      <c r="D98" s="163" t="str">
        <f>'IO Pad'!AE98</f>
        <v>uart3_txd</v>
      </c>
      <c r="E98" s="163" t="str">
        <f>'IO Pad'!AT98</f>
        <v>efusec_data_pad[12]</v>
      </c>
      <c r="F98" s="163" t="str">
        <f>'IO Pad'!AY98</f>
        <v>ch1_rxb_data[10]</v>
      </c>
      <c r="G98" s="163" t="str">
        <f>'IO Pad'!BD98</f>
        <v>test_usb0[24]</v>
      </c>
      <c r="H98" s="163" t="str">
        <f>'IO Pad'!BI98</f>
        <v>test_usb1[24]</v>
      </c>
      <c r="I98" s="163" t="str">
        <f>'IO Pad'!BN98</f>
        <v>test_usb2[24]</v>
      </c>
      <c r="J98" s="163" t="str">
        <f>'IO Pad'!BS98</f>
        <v>test_usb3[24]</v>
      </c>
      <c r="K98" s="163" t="str">
        <f>'IO Pad'!BX98</f>
        <v>test_hsic0[24]</v>
      </c>
      <c r="L98" s="163" t="str">
        <f>'IO Pad'!CC98</f>
        <v>test_hsic1[24]</v>
      </c>
      <c r="M98" s="163" t="str">
        <f>'IO Pad'!CH98</f>
        <v>test_abb0[24]</v>
      </c>
      <c r="N98" s="163" t="str">
        <f>'IO Pad'!CM98</f>
        <v>test_abb1[24]</v>
      </c>
      <c r="O98" s="163" t="str">
        <f>'IO Pad'!CR98</f>
        <v>test_abb2[24]</v>
      </c>
      <c r="P98" s="163" t="str">
        <f>'IO Pad'!CW98</f>
        <v>test_abb3[24]</v>
      </c>
      <c r="Q98" s="163" t="str">
        <f>'IO Pad'!DB98</f>
        <v>test_clk[24]</v>
      </c>
      <c r="R98" s="163" t="str">
        <f>'IO Pad'!DG98</f>
        <v>test_sys0[24]</v>
      </c>
      <c r="S98" s="163" t="str">
        <f>'IO Pad'!DL98</f>
        <v>test_sys1[24]</v>
      </c>
      <c r="T98" s="163" t="str">
        <f>'IO Pad'!DQ98</f>
        <v>test_pcie[24]</v>
      </c>
    </row>
    <row r="99" spans="1:22">
      <c r="A99" s="151" t="s">
        <v>3103</v>
      </c>
      <c r="B99" s="163" t="str">
        <f>'IO Pad'!U99</f>
        <v>gpio2[9]</v>
      </c>
      <c r="C99" s="163" t="str">
        <f>'IO Pad'!Z99</f>
        <v>antpa_sel[14]</v>
      </c>
      <c r="D99" s="163" t="str">
        <f>'IO Pad'!AE99</f>
        <v>uart3_rxd</v>
      </c>
      <c r="E99" s="163" t="str">
        <f>'IO Pad'!AT99</f>
        <v>efusec_data_pad[13]</v>
      </c>
      <c r="F99" s="163" t="str">
        <f>'IO Pad'!AY99</f>
        <v>ch1_rxb_data[11]</v>
      </c>
      <c r="G99" s="163" t="str">
        <f>'IO Pad'!BD99</f>
        <v>test_usb0[25]</v>
      </c>
      <c r="H99" s="163" t="str">
        <f>'IO Pad'!BI99</f>
        <v>test_usb1[25]</v>
      </c>
      <c r="I99" s="163" t="str">
        <f>'IO Pad'!BN99</f>
        <v>test_usb2[25]</v>
      </c>
      <c r="J99" s="163" t="str">
        <f>'IO Pad'!BS99</f>
        <v>test_usb3[25]</v>
      </c>
      <c r="K99" s="163" t="str">
        <f>'IO Pad'!BX99</f>
        <v>test_hsic0[25]</v>
      </c>
      <c r="L99" s="163" t="str">
        <f>'IO Pad'!CC99</f>
        <v>test_hsic1[25]</v>
      </c>
      <c r="M99" s="163" t="str">
        <f>'IO Pad'!CH99</f>
        <v>test_abb0[25]</v>
      </c>
      <c r="N99" s="163" t="str">
        <f>'IO Pad'!CM99</f>
        <v>test_abb1[25]</v>
      </c>
      <c r="O99" s="163" t="str">
        <f>'IO Pad'!CR99</f>
        <v>test_abb2[25]</v>
      </c>
      <c r="P99" s="163" t="str">
        <f>'IO Pad'!CW99</f>
        <v>test_abb3[25]</v>
      </c>
      <c r="Q99" s="163" t="str">
        <f>'IO Pad'!DB99</f>
        <v>test_clk[25]</v>
      </c>
      <c r="R99" s="163" t="str">
        <f>'IO Pad'!DG99</f>
        <v>test_sys0[25]</v>
      </c>
      <c r="S99" s="163" t="str">
        <f>'IO Pad'!DL99</f>
        <v>test_sys1[25]</v>
      </c>
      <c r="T99" s="163" t="str">
        <f>'IO Pad'!DQ99</f>
        <v>test_pcie[25]</v>
      </c>
    </row>
    <row r="100" spans="1:22">
      <c r="A100" s="151" t="s">
        <v>3103</v>
      </c>
      <c r="B100" s="163" t="str">
        <f>'IO Pad'!U100</f>
        <v>gpio2[10]</v>
      </c>
      <c r="C100" s="163" t="str">
        <f>'IO Pad'!Z100</f>
        <v>antpa_sel[15]</v>
      </c>
      <c r="D100" s="163" t="str">
        <f>'IO Pad'!AE100</f>
        <v>uart1_cts_n</v>
      </c>
      <c r="E100" s="163" t="str">
        <f>'IO Pad'!AJ100</f>
        <v>lte_frame_sync</v>
      </c>
      <c r="F100" s="163" t="str">
        <f>'IO Pad'!AT100</f>
        <v>efusec_data_pad[14]</v>
      </c>
      <c r="G100" s="163" t="str">
        <f>'IO Pad'!AY100</f>
        <v>ch1_rxb_data[12]</v>
      </c>
      <c r="H100" s="163" t="str">
        <f>'IO Pad'!BD100</f>
        <v>test_usb0[26]</v>
      </c>
      <c r="I100" s="163" t="str">
        <f>'IO Pad'!BI100</f>
        <v>test_usb1[26]</v>
      </c>
      <c r="J100" s="163" t="str">
        <f>'IO Pad'!BN100</f>
        <v>test_usb2[26]</v>
      </c>
      <c r="K100" s="163" t="str">
        <f>'IO Pad'!BS100</f>
        <v>test_usb3[26]</v>
      </c>
      <c r="L100" s="163" t="str">
        <f>'IO Pad'!BX100</f>
        <v>test_hsic0[26]</v>
      </c>
      <c r="M100" s="163" t="str">
        <f>'IO Pad'!CC100</f>
        <v>test_hsic1[26]</v>
      </c>
      <c r="N100" s="163" t="str">
        <f>'IO Pad'!CH100</f>
        <v>test_abb0[26]</v>
      </c>
      <c r="O100" s="163" t="str">
        <f>'IO Pad'!CM100</f>
        <v>test_abb1[26]</v>
      </c>
      <c r="P100" s="163" t="str">
        <f>'IO Pad'!CR100</f>
        <v>test_abb2[26]</v>
      </c>
      <c r="Q100" s="163" t="str">
        <f>'IO Pad'!CW100</f>
        <v>test_abb3[26]</v>
      </c>
      <c r="R100" s="163" t="str">
        <f>'IO Pad'!DB100</f>
        <v>test_clk[26]</v>
      </c>
      <c r="S100" s="163" t="str">
        <f>'IO Pad'!DG100</f>
        <v>test_sys0[26]</v>
      </c>
      <c r="T100" s="163" t="str">
        <f>'IO Pad'!DL100</f>
        <v>test_sys1[26]</v>
      </c>
      <c r="U100" s="163" t="str">
        <f>'IO Pad'!DQ100</f>
        <v>test_pcie[26]</v>
      </c>
    </row>
    <row r="101" spans="1:22">
      <c r="A101" s="151" t="s">
        <v>3103</v>
      </c>
      <c r="B101" s="163" t="str">
        <f>'IO Pad'!U101</f>
        <v>gpio2[11]</v>
      </c>
      <c r="C101" s="163" t="str">
        <f>'IO Pad'!Z101</f>
        <v>antpa_sel[16]</v>
      </c>
      <c r="D101" s="163" t="str">
        <f>'IO Pad'!AE101</f>
        <v>uart1_rts_n</v>
      </c>
      <c r="E101" s="163" t="str">
        <f>'IO Pad'!AJ101</f>
        <v>lte_rx_active</v>
      </c>
      <c r="F101" s="163" t="str">
        <f>'IO Pad'!AT101</f>
        <v>efusec_data_pad[15]</v>
      </c>
      <c r="G101" s="163" t="str">
        <f>'IO Pad'!AY101</f>
        <v>ch1_rxb_data[13]</v>
      </c>
      <c r="H101" s="163" t="str">
        <f>'IO Pad'!BD101</f>
        <v>test_usb0[27]</v>
      </c>
      <c r="I101" s="163" t="str">
        <f>'IO Pad'!BI101</f>
        <v>test_usb1[27]</v>
      </c>
      <c r="J101" s="163" t="str">
        <f>'IO Pad'!BN101</f>
        <v>test_usb2[27]</v>
      </c>
      <c r="K101" s="163" t="str">
        <f>'IO Pad'!BS101</f>
        <v>test_usb3[27]</v>
      </c>
      <c r="L101" s="163" t="str">
        <f>'IO Pad'!BX101</f>
        <v>test_hsic0[27]</v>
      </c>
      <c r="M101" s="163" t="str">
        <f>'IO Pad'!CC101</f>
        <v>test_hsic1[27]</v>
      </c>
      <c r="N101" s="163" t="str">
        <f>'IO Pad'!CH101</f>
        <v>test_abb0[27]</v>
      </c>
      <c r="O101" s="163" t="str">
        <f>'IO Pad'!CM101</f>
        <v>test_abb1[27]</v>
      </c>
      <c r="P101" s="163" t="str">
        <f>'IO Pad'!CR101</f>
        <v>test_abb2[27]</v>
      </c>
      <c r="Q101" s="163" t="str">
        <f>'IO Pad'!CW101</f>
        <v>test_abb3[27]</v>
      </c>
      <c r="R101" s="163" t="str">
        <f>'IO Pad'!DB101</f>
        <v>test_clk[27]</v>
      </c>
      <c r="S101" s="163" t="str">
        <f>'IO Pad'!DG101</f>
        <v>test_sys0[27]</v>
      </c>
      <c r="T101" s="163" t="str">
        <f>'IO Pad'!DL101</f>
        <v>test_sys1[27]</v>
      </c>
      <c r="U101" s="163" t="str">
        <f>'IO Pad'!DQ101</f>
        <v>test_pcie[27]</v>
      </c>
    </row>
    <row r="102" spans="1:22">
      <c r="A102" s="151" t="s">
        <v>3103</v>
      </c>
      <c r="B102" s="163" t="str">
        <f>'IO Pad'!U102</f>
        <v>gpio2[12]</v>
      </c>
      <c r="C102" s="163" t="str">
        <f>'IO Pad'!Z102</f>
        <v>antpa_sel[17]</v>
      </c>
      <c r="D102" s="163" t="str">
        <f>'IO Pad'!AE102</f>
        <v>uart1_dcd_n</v>
      </c>
      <c r="E102" s="163" t="str">
        <f>'IO Pad'!AJ102</f>
        <v>lte_tx_active</v>
      </c>
      <c r="F102" s="163" t="str">
        <f>'IO Pad'!AT102</f>
        <v>efusec_data_pad[16]</v>
      </c>
      <c r="G102" s="163" t="str">
        <f>'IO Pad'!AY102</f>
        <v>et_tx_data[0]</v>
      </c>
      <c r="H102" s="163" t="str">
        <f>'IO Pad'!BD102</f>
        <v>test_usb0[28]</v>
      </c>
      <c r="I102" s="163" t="str">
        <f>'IO Pad'!BI102</f>
        <v>test_usb1[28]</v>
      </c>
      <c r="J102" s="163" t="str">
        <f>'IO Pad'!BN102</f>
        <v>test_usb2[28]</v>
      </c>
      <c r="K102" s="163" t="str">
        <f>'IO Pad'!BS102</f>
        <v>test_usb3[28]</v>
      </c>
      <c r="L102" s="163" t="str">
        <f>'IO Pad'!BX102</f>
        <v>test_hsic0[28]</v>
      </c>
      <c r="M102" s="163" t="str">
        <f>'IO Pad'!CC102</f>
        <v>test_hsic1[28]</v>
      </c>
      <c r="N102" s="163" t="str">
        <f>'IO Pad'!CH102</f>
        <v>test_abb0[28]</v>
      </c>
      <c r="O102" s="163" t="str">
        <f>'IO Pad'!CM102</f>
        <v>test_abb1[28]</v>
      </c>
      <c r="P102" s="163" t="str">
        <f>'IO Pad'!CR102</f>
        <v>test_abb2[28]</v>
      </c>
      <c r="Q102" s="163" t="str">
        <f>'IO Pad'!CW102</f>
        <v>test_abb3[28]</v>
      </c>
      <c r="R102" s="163" t="str">
        <f>'IO Pad'!DB102</f>
        <v>test_clk[28]</v>
      </c>
      <c r="S102" s="163" t="str">
        <f>'IO Pad'!DG102</f>
        <v>test_sys0[28]</v>
      </c>
      <c r="T102" s="163" t="str">
        <f>'IO Pad'!DL102</f>
        <v>test_sys1[28]</v>
      </c>
      <c r="U102" s="163" t="str">
        <f>'IO Pad'!DQ102</f>
        <v>test_pcie[28]</v>
      </c>
    </row>
    <row r="103" spans="1:22">
      <c r="A103" s="151" t="s">
        <v>3103</v>
      </c>
      <c r="B103" s="163" t="str">
        <f>'IO Pad'!U103</f>
        <v>gpio2[13]</v>
      </c>
      <c r="C103" s="163" t="str">
        <f>'IO Pad'!Z103</f>
        <v>antpa_sel[18]</v>
      </c>
      <c r="D103" s="163" t="str">
        <f>'IO Pad'!AE103</f>
        <v>uart1_dsr_n</v>
      </c>
      <c r="E103" s="163" t="str">
        <f>'IO Pad'!AJ103</f>
        <v>wlan_bt_ldo_en</v>
      </c>
      <c r="F103" s="163" t="str">
        <f>'IO Pad'!AT103</f>
        <v>efusec_data_pad[17]</v>
      </c>
      <c r="G103" s="163" t="str">
        <f>'IO Pad'!AY103</f>
        <v>et_tx_data[1]</v>
      </c>
      <c r="H103" s="163" t="str">
        <f>'IO Pad'!BD103</f>
        <v>test_usb0[29]</v>
      </c>
      <c r="I103" s="163" t="str">
        <f>'IO Pad'!BI103</f>
        <v>test_usb1[29]</v>
      </c>
      <c r="J103" s="163" t="str">
        <f>'IO Pad'!BN103</f>
        <v>test_usb2[29]</v>
      </c>
      <c r="K103" s="163" t="str">
        <f>'IO Pad'!BS103</f>
        <v>test_usb3[29]</v>
      </c>
      <c r="L103" s="163" t="str">
        <f>'IO Pad'!BX103</f>
        <v>test_hsic0[29]</v>
      </c>
      <c r="M103" s="163" t="str">
        <f>'IO Pad'!CC103</f>
        <v>test_hsic1[29]</v>
      </c>
      <c r="N103" s="163" t="str">
        <f>'IO Pad'!CH103</f>
        <v>test_abb0[29]</v>
      </c>
      <c r="O103" s="163" t="str">
        <f>'IO Pad'!CM103</f>
        <v>test_abb1[29]</v>
      </c>
      <c r="P103" s="163" t="str">
        <f>'IO Pad'!CR103</f>
        <v>test_abb2[29]</v>
      </c>
      <c r="Q103" s="163" t="str">
        <f>'IO Pad'!CW103</f>
        <v>test_abb3[29]</v>
      </c>
      <c r="R103" s="163" t="str">
        <f>'IO Pad'!DB103</f>
        <v>test_clk[29]</v>
      </c>
      <c r="S103" s="163" t="str">
        <f>'IO Pad'!DG103</f>
        <v>test_sys0[29]</v>
      </c>
      <c r="T103" s="163" t="str">
        <f>'IO Pad'!DL103</f>
        <v>test_sys1[29]</v>
      </c>
      <c r="U103" s="163" t="str">
        <f>'IO Pad'!DQ103</f>
        <v>test_pcie[29]</v>
      </c>
    </row>
    <row r="104" spans="1:22">
      <c r="A104" s="151" t="s">
        <v>3103</v>
      </c>
      <c r="B104" s="163" t="str">
        <f>'IO Pad'!U104</f>
        <v>gpio2[14]</v>
      </c>
      <c r="C104" s="163" t="str">
        <f>'IO Pad'!Z104</f>
        <v>antpa_sel[19]</v>
      </c>
      <c r="D104" s="163" t="str">
        <f>'IO Pad'!AE104</f>
        <v>uart1_dtr_n</v>
      </c>
      <c r="E104" s="163" t="str">
        <f>'IO Pad'!AJ104</f>
        <v>wlan_bt_rx_priority</v>
      </c>
      <c r="F104" s="163" t="str">
        <f>'IO Pad'!AT104</f>
        <v>efusec_data_pad[18]</v>
      </c>
      <c r="G104" s="163" t="str">
        <f>'IO Pad'!AY104</f>
        <v>et_tx_data[2]</v>
      </c>
      <c r="H104" s="163" t="str">
        <f>'IO Pad'!BD104</f>
        <v>test_usb0[30]</v>
      </c>
      <c r="I104" s="163" t="str">
        <f>'IO Pad'!BI104</f>
        <v>test_usb1[30]</v>
      </c>
      <c r="J104" s="163" t="str">
        <f>'IO Pad'!BN104</f>
        <v>test_usb2[30]</v>
      </c>
      <c r="K104" s="163" t="str">
        <f>'IO Pad'!BS104</f>
        <v>test_usb3[30]</v>
      </c>
      <c r="L104" s="163" t="str">
        <f>'IO Pad'!BX104</f>
        <v>test_hsic0[30]</v>
      </c>
      <c r="M104" s="163" t="str">
        <f>'IO Pad'!CC104</f>
        <v>test_hsic1[30]</v>
      </c>
      <c r="N104" s="163" t="str">
        <f>'IO Pad'!CH104</f>
        <v>test_abb0[30]</v>
      </c>
      <c r="O104" s="163" t="str">
        <f>'IO Pad'!CM104</f>
        <v>test_abb1[30]</v>
      </c>
      <c r="P104" s="163" t="str">
        <f>'IO Pad'!CR104</f>
        <v>test_abb2[30]</v>
      </c>
      <c r="Q104" s="163" t="str">
        <f>'IO Pad'!CW104</f>
        <v>test_abb3[30]</v>
      </c>
      <c r="R104" s="163" t="str">
        <f>'IO Pad'!DB104</f>
        <v>test_clk[30]</v>
      </c>
      <c r="S104" s="163" t="str">
        <f>'IO Pad'!DG104</f>
        <v>test_sys0[30]</v>
      </c>
      <c r="T104" s="163" t="str">
        <f>'IO Pad'!DL104</f>
        <v>test_sys1[30]</v>
      </c>
      <c r="U104" s="163" t="str">
        <f>'IO Pad'!DQ104</f>
        <v>test_pcie[30]</v>
      </c>
    </row>
    <row r="105" spans="1:22">
      <c r="A105" s="151" t="s">
        <v>3103</v>
      </c>
      <c r="B105" s="163" t="str">
        <f>'IO Pad'!U105</f>
        <v>gpio2[15]</v>
      </c>
      <c r="C105" s="163" t="str">
        <f>'IO Pad'!Z105</f>
        <v>antpa_sel[20]</v>
      </c>
      <c r="D105" s="163" t="str">
        <f>'IO Pad'!AE105</f>
        <v>uart1_ri_n</v>
      </c>
      <c r="E105" s="163" t="str">
        <f>'IO Pad'!AJ105</f>
        <v>wlan_bt_tx_active</v>
      </c>
      <c r="F105" s="163" t="str">
        <f>'IO Pad'!AT105</f>
        <v>efusec_data_pad[19]</v>
      </c>
      <c r="G105" s="163" t="str">
        <f>'IO Pad'!AY105</f>
        <v>et_tx_data[3]</v>
      </c>
      <c r="H105" s="163" t="str">
        <f>'IO Pad'!BD105</f>
        <v>test_usb0[31]</v>
      </c>
      <c r="I105" s="163" t="str">
        <f>'IO Pad'!BI105</f>
        <v>test_usb1[31]</v>
      </c>
      <c r="J105" s="163" t="str">
        <f>'IO Pad'!BN105</f>
        <v>test_usb2[31]</v>
      </c>
      <c r="K105" s="163" t="str">
        <f>'IO Pad'!BS105</f>
        <v>test_usb3[31]</v>
      </c>
      <c r="L105" s="163" t="str">
        <f>'IO Pad'!BX105</f>
        <v>test_hsic0[31]</v>
      </c>
      <c r="M105" s="163" t="str">
        <f>'IO Pad'!CC105</f>
        <v>test_hsic1[31]</v>
      </c>
      <c r="N105" s="163" t="str">
        <f>'IO Pad'!CH105</f>
        <v>test_abb0[31]</v>
      </c>
      <c r="O105" s="163" t="str">
        <f>'IO Pad'!CM105</f>
        <v>test_abb1[31]</v>
      </c>
      <c r="P105" s="163" t="str">
        <f>'IO Pad'!CR105</f>
        <v>test_abb2[31]</v>
      </c>
      <c r="Q105" s="163" t="str">
        <f>'IO Pad'!CW105</f>
        <v>test_abb3[31]</v>
      </c>
      <c r="R105" s="163" t="str">
        <f>'IO Pad'!DB105</f>
        <v>test_clk[31]</v>
      </c>
      <c r="S105" s="163" t="str">
        <f>'IO Pad'!DG105</f>
        <v>test_sys0[31]</v>
      </c>
      <c r="T105" s="163" t="str">
        <f>'IO Pad'!DL105</f>
        <v>test_sys1[31]</v>
      </c>
      <c r="U105" s="163" t="str">
        <f>'IO Pad'!DQ105</f>
        <v>test_pcie[31]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92</vt:i4>
      </vt:variant>
    </vt:vector>
  </HeadingPairs>
  <TitlesOfParts>
    <vt:vector size="106" baseType="lpstr">
      <vt:lpstr>note</vt:lpstr>
      <vt:lpstr>Package</vt:lpstr>
      <vt:lpstr>Die</vt:lpstr>
      <vt:lpstr>Performance</vt:lpstr>
      <vt:lpstr>IO Pad</vt:lpstr>
      <vt:lpstr>GSBI复用说明</vt:lpstr>
      <vt:lpstr>Power&amp;Gnd</vt:lpstr>
      <vt:lpstr>硬件使用说明</vt:lpstr>
      <vt:lpstr>接口位置图</vt:lpstr>
      <vt:lpstr>IP list</vt:lpstr>
      <vt:lpstr>特殊信号处理</vt:lpstr>
      <vt:lpstr>代码生成</vt:lpstr>
      <vt:lpstr>使用手册</vt:lpstr>
      <vt:lpstr>Sheet1</vt:lpstr>
      <vt:lpstr>_10</vt:lpstr>
      <vt:lpstr>_100</vt:lpstr>
      <vt:lpstr>_101</vt:lpstr>
      <vt:lpstr>_102</vt:lpstr>
      <vt:lpstr>_103</vt:lpstr>
      <vt:lpstr>_104</vt:lpstr>
      <vt:lpstr>_105</vt:lpstr>
      <vt:lpstr>_11</vt:lpstr>
      <vt:lpstr>_12</vt:lpstr>
      <vt:lpstr>_13</vt:lpstr>
      <vt:lpstr>_14</vt:lpstr>
      <vt:lpstr>_15</vt:lpstr>
      <vt:lpstr>_16</vt:lpstr>
      <vt:lpstr>_17</vt:lpstr>
      <vt:lpstr>_18</vt:lpstr>
      <vt:lpstr>_20</vt:lpstr>
      <vt:lpstr>_21</vt:lpstr>
      <vt:lpstr>_22</vt:lpstr>
      <vt:lpstr>_23</vt:lpstr>
      <vt:lpstr>_24</vt:lpstr>
      <vt:lpstr>_25</vt:lpstr>
      <vt:lpstr>_27</vt:lpstr>
      <vt:lpstr>_28</vt:lpstr>
      <vt:lpstr>_29</vt:lpstr>
      <vt:lpstr>_30</vt:lpstr>
      <vt:lpstr>_31</vt:lpstr>
      <vt:lpstr>_32</vt:lpstr>
      <vt:lpstr>_36</vt:lpstr>
      <vt:lpstr>_37</vt:lpstr>
      <vt:lpstr>_38</vt:lpstr>
      <vt:lpstr>_39</vt:lpstr>
      <vt:lpstr>_4</vt:lpstr>
      <vt:lpstr>_40</vt:lpstr>
      <vt:lpstr>_41</vt:lpstr>
      <vt:lpstr>_43</vt:lpstr>
      <vt:lpstr>_44</vt:lpstr>
      <vt:lpstr>_45</vt:lpstr>
      <vt:lpstr>_46</vt:lpstr>
      <vt:lpstr>_47</vt:lpstr>
      <vt:lpstr>_48</vt:lpstr>
      <vt:lpstr>_49</vt:lpstr>
      <vt:lpstr>_5</vt:lpstr>
      <vt:lpstr>_50</vt:lpstr>
      <vt:lpstr>_51</vt:lpstr>
      <vt:lpstr>_52</vt:lpstr>
      <vt:lpstr>_53</vt:lpstr>
      <vt:lpstr>_54</vt:lpstr>
      <vt:lpstr>_55</vt:lpstr>
      <vt:lpstr>_56</vt:lpstr>
      <vt:lpstr>_57</vt:lpstr>
      <vt:lpstr>_58</vt:lpstr>
      <vt:lpstr>_6</vt:lpstr>
      <vt:lpstr>_60</vt:lpstr>
      <vt:lpstr>_61</vt:lpstr>
      <vt:lpstr>_62</vt:lpstr>
      <vt:lpstr>_63</vt:lpstr>
      <vt:lpstr>_64</vt:lpstr>
      <vt:lpstr>_65</vt:lpstr>
      <vt:lpstr>_66</vt:lpstr>
      <vt:lpstr>_68</vt:lpstr>
      <vt:lpstr>_69</vt:lpstr>
      <vt:lpstr>_7</vt:lpstr>
      <vt:lpstr>_70</vt:lpstr>
      <vt:lpstr>_71</vt:lpstr>
      <vt:lpstr>_72</vt:lpstr>
      <vt:lpstr>_73</vt:lpstr>
      <vt:lpstr>_75</vt:lpstr>
      <vt:lpstr>_76</vt:lpstr>
      <vt:lpstr>_77</vt:lpstr>
      <vt:lpstr>_78</vt:lpstr>
      <vt:lpstr>_79</vt:lpstr>
      <vt:lpstr>_8</vt:lpstr>
      <vt:lpstr>_80</vt:lpstr>
      <vt:lpstr>_82</vt:lpstr>
      <vt:lpstr>_83</vt:lpstr>
      <vt:lpstr>_85</vt:lpstr>
      <vt:lpstr>_86</vt:lpstr>
      <vt:lpstr>_87</vt:lpstr>
      <vt:lpstr>_88</vt:lpstr>
      <vt:lpstr>_89</vt:lpstr>
      <vt:lpstr>_9</vt:lpstr>
      <vt:lpstr>_90</vt:lpstr>
      <vt:lpstr>_91</vt:lpstr>
      <vt:lpstr>_92</vt:lpstr>
      <vt:lpstr>_93</vt:lpstr>
      <vt:lpstr>_94</vt:lpstr>
      <vt:lpstr>_95</vt:lpstr>
      <vt:lpstr>_96</vt:lpstr>
      <vt:lpstr>_97</vt:lpstr>
      <vt:lpstr>_98</vt:lpstr>
      <vt:lpstr>_99</vt:lpstr>
      <vt:lpstr>'IO Pad'!Print_Area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zyb</dc:creator>
  <cp:lastModifiedBy>l00225826</cp:lastModifiedBy>
  <cp:lastPrinted>2010-07-08T11:53:37Z</cp:lastPrinted>
  <dcterms:created xsi:type="dcterms:W3CDTF">2004-05-21T06:54:18Z</dcterms:created>
  <dcterms:modified xsi:type="dcterms:W3CDTF">2013-09-18T10:13:03Z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(3)XD9yLC04bo5nFnCiCMZCOExnnu1p9pBY1lW+ZHr72dLPGTg/A9Sa5C00MsIbo8SGqO4XyHso
Gz4xznzqqSoYI3AhQ2FDeO3xZLfeF3SfhZE08Za+GXilo7swfJckZbDSAklzBOPj53tBxp1H
EgAHXDZ5DE4XSIi0jq40bkmEVH06LldatlbrH5RR/F9Ujw+/8qCGrcVXiB4cnarPSA1xiuDD
voay9cfeQp10JJQyC9IG7</vt:lpwstr>
  </property>
  <property fmtid="{D5CDD505-2E9C-101B-9397-08002B2CF9AE}" pid="3" name="_ms_pID_7253431">
    <vt:lpwstr>I3umUgvSGp8V2Aemv5lw9UjIlj8PqS1fwvGozf8lkVSM8oErgvb
rmkUz4WQXbyHgZC1Ra8DPWWfvKt5KWh03EOTCuxJxqhFsGiHB/jH0vUnAkGF4qgmCiFna6QU
AkuzFXWRrAoClV2oIvu+URThbf7fvu2YZkeN9Cd7b7Kn1KRNXuCUJZFUk6242n7YYnWHHOLL
RGCU3rT3nZfRUL9Uma2T0RI0zB2eAWCtQ5ASgPt5o3</vt:lpwstr>
  </property>
  <property fmtid="{D5CDD505-2E9C-101B-9397-08002B2CF9AE}" pid="4" name="_ms_pID_7253432">
    <vt:lpwstr>c8QpIDRLrgaH2E7fpGzip4ZSWA2idz
AS2qEQOyDfaBu1IO2p9on1YZ+ckET121IFavs2z1PiUNhC/nMH0=</vt:lpwstr>
  </property>
  <property fmtid="{D5CDD505-2E9C-101B-9397-08002B2CF9AE}" pid="5" name="sflag">
    <vt:lpwstr>1379299193</vt:lpwstr>
  </property>
</Properties>
</file>